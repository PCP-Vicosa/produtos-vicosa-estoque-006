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2435" tabRatio="600" firstSheet="0" activeTab="0" autoFilterDateGrouping="1"/>
  </bookViews>
  <sheets>
    <sheet xmlns:r="http://schemas.openxmlformats.org/officeDocument/2006/relationships" name="Dados_Consolidados" sheetId="1" state="visible" r:id="rId1"/>
    <sheet xmlns:r="http://schemas.openxmlformats.org/officeDocument/2006/relationships" name="Dicionario_Colunas" sheetId="2" state="visible" r:id="rId2"/>
  </sheets>
  <definedNames>
    <definedName name="_xlnm._FilterDatabase" localSheetId="0" hidden="1">'Dados_Consolidados'!$A$1:$U$1262</definedName>
  </definedNames>
  <calcPr calcId="152511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#,##0.0"/>
  </numFmts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0"/>
    </font>
    <font>
      <name val="Arial"/>
      <family val="2"/>
      <sz val="9"/>
    </font>
    <font>
      <name val="Arial"/>
      <family val="2"/>
      <b val="1"/>
      <sz val="9"/>
    </font>
    <font>
      <name val="Calibri"/>
      <family val="2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rgb="FFC8102E"/>
      </patternFill>
    </fill>
    <fill>
      <patternFill patternType="solid">
        <fgColor rgb="FF1B4332"/>
      </patternFill>
    </fill>
    <fill>
      <patternFill patternType="solid">
        <fgColor rgb="FF145226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E8F5E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2D9B4E"/>
      </left>
      <right style="thin">
        <color rgb="FF2D9B4E"/>
      </right>
      <top style="thin">
        <color rgb="FF2D9B4E"/>
      </top>
      <bottom style="thin">
        <color rgb="FF2D9B4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2D9B4E"/>
      </left>
      <right/>
      <top style="thin">
        <color rgb="FF2D9B4E"/>
      </top>
      <bottom style="thin">
        <color rgb="FF2D9B4E"/>
      </bottom>
      <diagonal/>
    </border>
    <border>
      <left/>
      <right/>
      <top style="thin">
        <color rgb="FF2D9B4E"/>
      </top>
      <bottom style="thin">
        <color rgb="FF2D9B4E"/>
      </bottom>
      <diagonal/>
    </border>
    <border>
      <left style="thin">
        <color rgb="FF2D9B4E"/>
      </left>
      <right style="thin">
        <color rgb="FF2D9B4E"/>
      </right>
      <top style="thin">
        <color rgb="FF2D9B4E"/>
      </top>
      <bottom/>
      <diagonal/>
    </border>
  </borders>
  <cellStyleXfs count="2">
    <xf numFmtId="0" fontId="5" fillId="0" borderId="0"/>
    <xf numFmtId="9" fontId="5" fillId="0" borderId="0"/>
  </cellStyleXfs>
  <cellXfs count="42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0" fillId="0" borderId="0" pivotButton="0" quotePrefix="0" xfId="0"/>
    <xf numFmtId="9" fontId="0" fillId="0" borderId="0" pivotButton="0" quotePrefix="0" xfId="1"/>
    <xf numFmtId="0" fontId="0" fillId="0" borderId="0" pivotButton="0" quotePrefix="0" xfId="0"/>
    <xf numFmtId="1" fontId="2" fillId="3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2" fillId="4" borderId="3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49" fontId="0" fillId="0" borderId="2" pivotButton="0" quotePrefix="0" xfId="0"/>
    <xf numFmtId="0" fontId="0" fillId="0" borderId="0" pivotButton="0" quotePrefix="0" xfId="0"/>
    <xf numFmtId="9" fontId="2" fillId="4" borderId="5" applyAlignment="1" pivotButton="0" quotePrefix="0" xfId="1">
      <alignment horizontal="center" vertical="center" wrapText="1"/>
    </xf>
    <xf numFmtId="10" fontId="3" fillId="5" borderId="4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/>
    </xf>
    <xf numFmtId="3" fontId="3" fillId="5" borderId="1" applyAlignment="1" pivotButton="0" quotePrefix="0" xfId="0">
      <alignment horizontal="right" vertical="center"/>
    </xf>
    <xf numFmtId="14" fontId="3" fillId="5" borderId="1" applyAlignment="1" pivotButton="0" quotePrefix="0" xfId="0">
      <alignment horizontal="center" vertical="center" wrapText="1"/>
    </xf>
    <xf numFmtId="4" fontId="3" fillId="5" borderId="1" applyAlignment="1" pivotButton="0" quotePrefix="0" xfId="0">
      <alignment horizontal="right" vertical="center"/>
    </xf>
    <xf numFmtId="1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/>
    </xf>
    <xf numFmtId="3" fontId="3" fillId="6" borderId="1" applyAlignment="1" pivotButton="0" quotePrefix="0" xfId="0">
      <alignment horizontal="right" vertical="center"/>
    </xf>
    <xf numFmtId="14" fontId="3" fillId="6" borderId="1" applyAlignment="1" pivotButton="0" quotePrefix="0" xfId="0">
      <alignment horizontal="center" vertical="center" wrapText="1"/>
    </xf>
    <xf numFmtId="4" fontId="3" fillId="6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/>
    </xf>
    <xf numFmtId="1" fontId="3" fillId="5" borderId="1" applyAlignment="1" pivotButton="0" quotePrefix="0" xfId="0">
      <alignment horizontal="right" vertical="center"/>
    </xf>
    <xf numFmtId="10" fontId="3" fillId="5" borderId="3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/>
    </xf>
    <xf numFmtId="0" fontId="0" fillId="0" borderId="2" pivotButton="0" quotePrefix="0" xfId="0"/>
    <xf numFmtId="164" fontId="3" fillId="5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3" fontId="3" fillId="9" borderId="1" applyAlignment="1" pivotButton="0" quotePrefix="0" xfId="0">
      <alignment horizontal="right" vertical="center"/>
    </xf>
    <xf numFmtId="165" fontId="3" fillId="9" borderId="1" applyAlignment="1" pivotButton="0" quotePrefix="0" xfId="0">
      <alignment horizontal="right" vertical="center"/>
    </xf>
    <xf numFmtId="9" fontId="0" fillId="0" borderId="2" applyAlignment="1" pivotButton="0" quotePrefix="0" xfId="1">
      <alignment horizontal="center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9" fontId="5" fillId="0" borderId="2" applyAlignment="1" pivotButton="0" quotePrefix="0" xfId="0">
      <alignment horizontal="center"/>
    </xf>
  </cellXfs>
  <cellStyles count="2">
    <cellStyle name="Normal" xfId="0" builtinId="0"/>
    <cellStyle name="Porcentagem" xfId="1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V1330"/>
  <sheetViews>
    <sheetView showGridLines="0" tabSelected="1" topLeftCell="I1" workbookViewId="0">
      <pane ySplit="1" topLeftCell="A2" activePane="bottomLeft" state="frozen"/>
      <selection pane="bottomLeft" activeCell="R1265" sqref="R1265"/>
    </sheetView>
  </sheetViews>
  <sheetFormatPr baseColWidth="8" defaultRowHeight="15"/>
  <cols>
    <col width="22" customWidth="1" style="40" min="1" max="1"/>
    <col width="22" customWidth="1" style="40" min="2" max="2"/>
    <col width="14" customWidth="1" style="40" min="3" max="3"/>
    <col width="9" customWidth="1" style="40" min="4" max="4"/>
    <col width="20" customWidth="1" style="40" min="5" max="5"/>
    <col width="52.28515625" bestFit="1" customWidth="1" style="40" min="6" max="6"/>
    <col width="14" customWidth="1" style="40" min="7" max="8"/>
    <col width="16" customWidth="1" style="40" min="9" max="10"/>
    <col width="22" customWidth="1" style="40" min="11" max="11"/>
    <col width="16" customWidth="1" style="40" min="12" max="13"/>
    <col width="22" customWidth="1" style="40" min="14" max="14"/>
    <col width="16" customWidth="1" style="40" min="15" max="16"/>
    <col width="16" customWidth="1" style="11" min="17" max="17"/>
    <col width="22" customWidth="1" style="40" min="18" max="18"/>
    <col width="22" customWidth="1" style="8" min="19" max="19"/>
    <col width="22" customWidth="1" style="40" min="20" max="20"/>
    <col width="22" customWidth="1" style="14" min="21" max="21"/>
  </cols>
  <sheetData>
    <row r="1" ht="36" customHeight="1" s="40">
      <c r="A1" s="1" t="inlineStr">
        <is>
          <t>Semana</t>
        </is>
      </c>
      <c r="B1" s="1" t="inlineStr">
        <is>
          <t>Ano</t>
        </is>
      </c>
      <c r="C1" s="1" t="inlineStr">
        <is>
          <t>Mês</t>
        </is>
      </c>
      <c r="D1" s="1" t="inlineStr">
        <is>
          <t>Nº Semana</t>
        </is>
      </c>
      <c r="E1" s="1" t="inlineStr">
        <is>
          <t>Data Início Semana</t>
        </is>
      </c>
      <c r="F1" s="1" t="inlineStr">
        <is>
          <t>Produto</t>
        </is>
      </c>
      <c r="G1" s="1" t="inlineStr">
        <is>
          <t>Setor</t>
        </is>
      </c>
      <c r="H1" s="1" t="inlineStr">
        <is>
          <t>Gramatura (KG)</t>
        </is>
      </c>
      <c r="I1" s="1" t="inlineStr">
        <is>
          <t>Programado (UN)</t>
        </is>
      </c>
      <c r="J1" s="1" t="inlineStr">
        <is>
          <t>Programado (KG)</t>
        </is>
      </c>
      <c r="K1" s="1" t="inlineStr">
        <is>
          <t>Programado Ajustado (KG)</t>
        </is>
      </c>
      <c r="L1" s="1" t="inlineStr">
        <is>
          <t>Produzido (UN)</t>
        </is>
      </c>
      <c r="M1" s="1" t="inlineStr">
        <is>
          <t>Produzido (KG)</t>
        </is>
      </c>
      <c r="N1" s="1" t="inlineStr">
        <is>
          <t>Produzido Ajustado (KG)</t>
        </is>
      </c>
      <c r="O1" s="1" t="inlineStr">
        <is>
          <t>Demanda (UN)</t>
        </is>
      </c>
      <c r="P1" s="1" t="inlineStr">
        <is>
          <t>Demanda (KG)</t>
        </is>
      </c>
      <c r="Q1" s="10" t="inlineStr">
        <is>
          <t>Mês Nº</t>
        </is>
      </c>
      <c r="R1" s="2" t="inlineStr">
        <is>
          <t>Aderência Programado x Demanda</t>
        </is>
      </c>
      <c r="S1" s="16" t="inlineStr">
        <is>
          <t>Aderência Produzido x Demanda</t>
        </is>
      </c>
      <c r="T1" s="12" t="inlineStr">
        <is>
          <t>Aderência Produzido x Programado</t>
        </is>
      </c>
      <c r="U1" s="13" t="inlineStr">
        <is>
          <t>Comentários</t>
        </is>
      </c>
    </row>
    <row r="2" hidden="1" s="40">
      <c r="A2" s="18" t="inlineStr">
        <is>
          <t>Semana 2 - janeiro</t>
        </is>
      </c>
      <c r="B2" s="27">
        <f>YEAR(E2)</f>
        <v/>
      </c>
      <c r="C2" s="18">
        <f>INDEX({"Janeiro";"Fevereiro";"Março";"Abril";"Maio";"Junho";"Julho";"Agosto";"Setembro";"Outubro";"Novembro";"Dezembro"},Q2)</f>
        <v/>
      </c>
      <c r="D2" s="19" t="n">
        <v>2</v>
      </c>
      <c r="E2" s="20" t="n">
        <v>46026</v>
      </c>
      <c r="F2" s="18" t="inlineStr">
        <is>
          <t>Doce de Leite 400g</t>
        </is>
      </c>
      <c r="G2" s="18" t="inlineStr">
        <is>
          <t>DOCE</t>
        </is>
      </c>
      <c r="H2" s="21" t="n">
        <v>0.4</v>
      </c>
      <c r="I2" s="36" t="n">
        <v>28000</v>
      </c>
      <c r="J2" s="21">
        <f>I2*H2</f>
        <v/>
      </c>
      <c r="K2" s="21">
        <f>IFERROR(IF(J2/P2&gt;1,P2,J2),0)</f>
        <v/>
      </c>
      <c r="L2" s="36" t="n">
        <v>24002</v>
      </c>
      <c r="M2" s="21">
        <f>L2*H2</f>
        <v/>
      </c>
      <c r="N2" s="21">
        <f>IFERROR(IF(M2/K2&gt;1,K2,M2),0)</f>
        <v/>
      </c>
      <c r="O2" s="36" t="n">
        <v>24000</v>
      </c>
      <c r="P2" s="21">
        <f>O2*H2</f>
        <v/>
      </c>
      <c r="Q2" s="30">
        <f>IF(MONTH(E2+1)=MONTH(E2+6),MONTH(E2+1),IF(MIN(EOMONTH(E2+1,0),E2+6)-(E2+1)+1&gt;=3,MONTH(E2+1),MONTH(E2+6)))</f>
        <v/>
      </c>
      <c r="R2" s="31">
        <f>IFERROR(K2/P2, 0)</f>
        <v/>
      </c>
      <c r="S2" s="38">
        <f>IFERROR(N2/P2,0)</f>
        <v/>
      </c>
      <c r="T2" s="17">
        <f>IFERROR(IF(N2&gt;0,(N2/K2),MIN(1,M2/J2)),0)</f>
        <v/>
      </c>
      <c r="U2" s="32" t="n"/>
    </row>
    <row r="3" hidden="1" s="40">
      <c r="A3" s="23" t="inlineStr">
        <is>
          <t>Semana 2 - janeiro</t>
        </is>
      </c>
      <c r="B3" s="27">
        <f>YEAR(E3)</f>
        <v/>
      </c>
      <c r="C3" s="18">
        <f>INDEX({"Janeiro";"Fevereiro";"Março";"Abril";"Maio";"Junho";"Julho";"Agosto";"Setembro";"Outubro";"Novembro";"Dezembro"},Q3)</f>
        <v/>
      </c>
      <c r="D3" s="24" t="n">
        <v>2</v>
      </c>
      <c r="E3" s="25" t="n">
        <v>46026</v>
      </c>
      <c r="F3" s="23" t="inlineStr">
        <is>
          <t>Doce de Leite 5kg</t>
        </is>
      </c>
      <c r="G3" s="23" t="inlineStr">
        <is>
          <t>DOCE</t>
        </is>
      </c>
      <c r="H3" s="26" t="n">
        <v>5</v>
      </c>
      <c r="I3" s="36" t="n">
        <v>3565</v>
      </c>
      <c r="J3" s="21">
        <f>I3*H3</f>
        <v/>
      </c>
      <c r="K3" s="21">
        <f>IFERROR(IF(J3/P3&gt;1,P3,J3),0)</f>
        <v/>
      </c>
      <c r="L3" s="36" t="n">
        <v>3937</v>
      </c>
      <c r="M3" s="21">
        <f>L3*H3</f>
        <v/>
      </c>
      <c r="N3" s="21">
        <f>IFERROR(IF(M3/K3&gt;1,K3,M3),0)</f>
        <v/>
      </c>
      <c r="O3" s="36" t="n">
        <v>2700</v>
      </c>
      <c r="P3" s="21">
        <f>O3*H3</f>
        <v/>
      </c>
      <c r="Q3" s="30">
        <f>IF(MONTH(E3+1)=MONTH(E3+6),MONTH(E3+1),IF(MIN(EOMONTH(E3+1,0),E3+6)-(E3+1)+1&gt;=3,MONTH(E3+1),MONTH(E3+6)))</f>
        <v/>
      </c>
      <c r="R3" s="22">
        <f>IFERROR(K3/P3, 0)</f>
        <v/>
      </c>
      <c r="S3" s="38">
        <f>IFERROR(N3/P3,0)</f>
        <v/>
      </c>
      <c r="T3" s="31">
        <f>IFERROR(IF(N3&gt;0,(N3/K3),MIN(1,M3/J3)),0)</f>
        <v/>
      </c>
      <c r="U3" s="32" t="n"/>
    </row>
    <row r="4" hidden="1" s="40">
      <c r="A4" s="18" t="inlineStr">
        <is>
          <t>Semana 2 - janeiro</t>
        </is>
      </c>
      <c r="B4" s="27">
        <f>YEAR(E4)</f>
        <v/>
      </c>
      <c r="C4" s="18">
        <f>INDEX({"Janeiro";"Fevereiro";"Março";"Abril";"Maio";"Junho";"Julho";"Agosto";"Setembro";"Outubro";"Novembro";"Dezembro"},Q4)</f>
        <v/>
      </c>
      <c r="D4" s="19" t="n">
        <v>2</v>
      </c>
      <c r="E4" s="20" t="n">
        <v>46026</v>
      </c>
      <c r="F4" s="18" t="inlineStr">
        <is>
          <t>Doce de Leite 5kg - Bombeável</t>
        </is>
      </c>
      <c r="G4" s="18" t="inlineStr">
        <is>
          <t>DOCE</t>
        </is>
      </c>
      <c r="H4" s="21" t="n">
        <v>5</v>
      </c>
      <c r="I4" s="36" t="n">
        <v>0</v>
      </c>
      <c r="J4" s="21">
        <f>I4*H4</f>
        <v/>
      </c>
      <c r="K4" s="21">
        <f>IFERROR(IF(J4/P4&gt;1,P4,J4),0)</f>
        <v/>
      </c>
      <c r="L4" s="36" t="n">
        <v>0</v>
      </c>
      <c r="M4" s="21">
        <f>L4*H4</f>
        <v/>
      </c>
      <c r="N4" s="21">
        <f>IFERROR(IF(M4/K4&gt;1,K4,M4),0)</f>
        <v/>
      </c>
      <c r="O4" s="36" t="n">
        <v>0</v>
      </c>
      <c r="P4" s="21">
        <f>O4*H4</f>
        <v/>
      </c>
      <c r="Q4" s="30">
        <f>IF(MONTH(E4+1)=MONTH(E4+6),MONTH(E4+1),IF(MIN(EOMONTH(E4+1,0),E4+6)-(E4+1)+1&gt;=3,MONTH(E4+1),MONTH(E4+6)))</f>
        <v/>
      </c>
      <c r="R4" s="22">
        <f>IFERROR(K4/P4, 0)</f>
        <v/>
      </c>
      <c r="S4" s="38">
        <f>IFERROR(N4/P4,0)</f>
        <v/>
      </c>
      <c r="T4" s="31">
        <f>IFERROR(IF(N4&gt;0,(N4/K4),MIN(1,M4/J4)),0)</f>
        <v/>
      </c>
      <c r="U4" s="32" t="n"/>
    </row>
    <row r="5" hidden="1" s="40">
      <c r="A5" s="23" t="inlineStr">
        <is>
          <t>Semana 2 - janeiro</t>
        </is>
      </c>
      <c r="B5" s="27">
        <f>YEAR(E5)</f>
        <v/>
      </c>
      <c r="C5" s="18">
        <f>INDEX({"Janeiro";"Fevereiro";"Março";"Abril";"Maio";"Junho";"Julho";"Agosto";"Setembro";"Outubro";"Novembro";"Dezembro"},Q5)</f>
        <v/>
      </c>
      <c r="D5" s="24" t="n">
        <v>2</v>
      </c>
      <c r="E5" s="25" t="n">
        <v>46026</v>
      </c>
      <c r="F5" s="23" t="inlineStr">
        <is>
          <t>Doce de Leite 5kg - Forneável</t>
        </is>
      </c>
      <c r="G5" s="23" t="inlineStr">
        <is>
          <t>DOCE</t>
        </is>
      </c>
      <c r="H5" s="26" t="n">
        <v>5</v>
      </c>
      <c r="I5" s="36" t="n">
        <v>0</v>
      </c>
      <c r="J5" s="21">
        <f>I5*H5</f>
        <v/>
      </c>
      <c r="K5" s="21">
        <f>IFERROR(IF(J5/P5&gt;1,P5,J5),0)</f>
        <v/>
      </c>
      <c r="L5" s="36" t="n">
        <v>0</v>
      </c>
      <c r="M5" s="21">
        <f>L5*H5</f>
        <v/>
      </c>
      <c r="N5" s="21">
        <f>IFERROR(IF(M5/K5&gt;1,K5,M5),0)</f>
        <v/>
      </c>
      <c r="O5" s="36" t="n">
        <v>0</v>
      </c>
      <c r="P5" s="21">
        <f>O5*H5</f>
        <v/>
      </c>
      <c r="Q5" s="30">
        <f>IF(MONTH(E5+1)=MONTH(E5+6),MONTH(E5+1),IF(MIN(EOMONTH(E5+1,0),E5+6)-(E5+1)+1&gt;=3,MONTH(E5+1),MONTH(E5+6)))</f>
        <v/>
      </c>
      <c r="R5" s="22">
        <f>IFERROR(K5/P5, 0)</f>
        <v/>
      </c>
      <c r="S5" s="38">
        <f>IFERROR(N5/P5,0)</f>
        <v/>
      </c>
      <c r="T5" s="31">
        <f>IFERROR(IF(N5&gt;0,(N5/K5),MIN(1,M5/J5)),0)</f>
        <v/>
      </c>
      <c r="U5" s="32" t="n"/>
    </row>
    <row r="6" hidden="1" s="40">
      <c r="A6" s="18" t="inlineStr">
        <is>
          <t>Semana 2 - janeiro</t>
        </is>
      </c>
      <c r="B6" s="27">
        <f>YEAR(E6)</f>
        <v/>
      </c>
      <c r="C6" s="18">
        <f>INDEX({"Janeiro";"Fevereiro";"Março";"Abril";"Maio";"Junho";"Julho";"Agosto";"Setembro";"Outubro";"Novembro";"Dezembro"},Q6)</f>
        <v/>
      </c>
      <c r="D6" s="19" t="n">
        <v>2</v>
      </c>
      <c r="E6" s="20" t="n">
        <v>46026</v>
      </c>
      <c r="F6" s="18" t="inlineStr">
        <is>
          <t>Doce de Leite 800g</t>
        </is>
      </c>
      <c r="G6" s="18" t="inlineStr">
        <is>
          <t>DOCE</t>
        </is>
      </c>
      <c r="H6" s="21" t="n">
        <v>0.8</v>
      </c>
      <c r="I6" s="36" t="n">
        <v>14000</v>
      </c>
      <c r="J6" s="21">
        <f>I6*H6</f>
        <v/>
      </c>
      <c r="K6" s="21">
        <f>IFERROR(IF(J6/P6&gt;1,P6,J6),0)</f>
        <v/>
      </c>
      <c r="L6" s="36" t="n">
        <v>26842</v>
      </c>
      <c r="M6" s="21">
        <f>L6*H6</f>
        <v/>
      </c>
      <c r="N6" s="21">
        <f>IFERROR(IF(M6/K6&gt;1,K6,M6),0)</f>
        <v/>
      </c>
      <c r="O6" s="36" t="n">
        <v>18000</v>
      </c>
      <c r="P6" s="21">
        <f>O6*H6</f>
        <v/>
      </c>
      <c r="Q6" s="30">
        <f>IF(MONTH(E6+1)=MONTH(E6+6),MONTH(E6+1),IF(MIN(EOMONTH(E6+1,0),E6+6)-(E6+1)+1&gt;=3,MONTH(E6+1),MONTH(E6+6)))</f>
        <v/>
      </c>
      <c r="R6" s="22">
        <f>IFERROR(K6/P6, 0)</f>
        <v/>
      </c>
      <c r="S6" s="38">
        <f>IFERROR(N6/P6,0)</f>
        <v/>
      </c>
      <c r="T6" s="31">
        <f>IFERROR(IF(N6&gt;0,(N6/K6),MIN(1,M6/J6)),0)</f>
        <v/>
      </c>
      <c r="U6" s="32" t="n"/>
    </row>
    <row r="7" hidden="1" s="40">
      <c r="A7" s="23" t="inlineStr">
        <is>
          <t>Semana 2 - janeiro</t>
        </is>
      </c>
      <c r="B7" s="27">
        <f>YEAR(E7)</f>
        <v/>
      </c>
      <c r="C7" s="18">
        <f>INDEX({"Janeiro";"Fevereiro";"Março";"Abril";"Maio";"Junho";"Julho";"Agosto";"Setembro";"Outubro";"Novembro";"Dezembro"},Q7)</f>
        <v/>
      </c>
      <c r="D7" s="24" t="n">
        <v>2</v>
      </c>
      <c r="E7" s="25" t="n">
        <v>46026</v>
      </c>
      <c r="F7" s="23" t="inlineStr">
        <is>
          <t>Doce de Leite Cacau 400g</t>
        </is>
      </c>
      <c r="G7" s="23" t="inlineStr">
        <is>
          <t>DOCE</t>
        </is>
      </c>
      <c r="H7" s="26" t="n">
        <v>0.4</v>
      </c>
      <c r="I7" s="36" t="n">
        <v>6000</v>
      </c>
      <c r="J7" s="21">
        <f>I7*H7</f>
        <v/>
      </c>
      <c r="K7" s="21">
        <f>IFERROR(IF(J7/P7&gt;1,P7,J7),0)</f>
        <v/>
      </c>
      <c r="L7" s="36" t="n">
        <v>0</v>
      </c>
      <c r="M7" s="21">
        <f>L7*H7</f>
        <v/>
      </c>
      <c r="N7" s="21">
        <f>IFERROR(IF(M7/K7&gt;1,K7,M7),0)</f>
        <v/>
      </c>
      <c r="O7" s="36" t="n">
        <v>0</v>
      </c>
      <c r="P7" s="21">
        <f>O7*H7</f>
        <v/>
      </c>
      <c r="Q7" s="30">
        <f>IF(MONTH(E7+1)=MONTH(E7+6),MONTH(E7+1),IF(MIN(EOMONTH(E7+1,0),E7+6)-(E7+1)+1&gt;=3,MONTH(E7+1),MONTH(E7+6)))</f>
        <v/>
      </c>
      <c r="R7" s="22">
        <f>IFERROR(K7/P7, 0)</f>
        <v/>
      </c>
      <c r="S7" s="38">
        <f>IFERROR(N7/P7,0)</f>
        <v/>
      </c>
      <c r="T7" s="31">
        <f>IFERROR(IF(N7&gt;0,(N7/K7),MIN(1,M7/J7)),0)</f>
        <v/>
      </c>
      <c r="U7" s="32" t="n"/>
    </row>
    <row r="8" hidden="1" s="40">
      <c r="A8" s="18" t="inlineStr">
        <is>
          <t>Semana 2 - janeiro</t>
        </is>
      </c>
      <c r="B8" s="27">
        <f>YEAR(E8)</f>
        <v/>
      </c>
      <c r="C8" s="18">
        <f>INDEX({"Janeiro";"Fevereiro";"Março";"Abril";"Maio";"Junho";"Julho";"Agosto";"Setembro";"Outubro";"Novembro";"Dezembro"},Q8)</f>
        <v/>
      </c>
      <c r="D8" s="19" t="n">
        <v>2</v>
      </c>
      <c r="E8" s="20" t="n">
        <v>46026</v>
      </c>
      <c r="F8" s="18" t="inlineStr">
        <is>
          <t>Doce de Leite Cacau 5kg - Bombeável</t>
        </is>
      </c>
      <c r="G8" s="18" t="inlineStr">
        <is>
          <t>DOCE</t>
        </is>
      </c>
      <c r="H8" s="21" t="n">
        <v>5</v>
      </c>
      <c r="I8" s="36" t="n">
        <v>0</v>
      </c>
      <c r="J8" s="21">
        <f>I8*H8</f>
        <v/>
      </c>
      <c r="K8" s="21">
        <f>IFERROR(IF(J8/P8&gt;1,P8,J8),0)</f>
        <v/>
      </c>
      <c r="L8" s="36" t="n">
        <v>0</v>
      </c>
      <c r="M8" s="21">
        <f>L8*H8</f>
        <v/>
      </c>
      <c r="N8" s="21">
        <f>IFERROR(IF(M8/K8&gt;1,K8,M8),0)</f>
        <v/>
      </c>
      <c r="O8" s="36" t="n">
        <v>0</v>
      </c>
      <c r="P8" s="21">
        <f>O8*H8</f>
        <v/>
      </c>
      <c r="Q8" s="30">
        <f>IF(MONTH(E8+1)=MONTH(E8+6),MONTH(E8+1),IF(MIN(EOMONTH(E8+1,0),E8+6)-(E8+1)+1&gt;=3,MONTH(E8+1),MONTH(E8+6)))</f>
        <v/>
      </c>
      <c r="R8" s="22">
        <f>IFERROR(K8/P8, 0)</f>
        <v/>
      </c>
      <c r="S8" s="38">
        <f>IFERROR(N8/P8,0)</f>
        <v/>
      </c>
      <c r="T8" s="31">
        <f>IFERROR(IF(N8&gt;0,(N8/K8),MIN(1,M8/J8)),0)</f>
        <v/>
      </c>
      <c r="U8" s="32" t="n"/>
    </row>
    <row r="9" hidden="1" s="40">
      <c r="A9" s="23" t="inlineStr">
        <is>
          <t>Semana 2 - janeiro</t>
        </is>
      </c>
      <c r="B9" s="27">
        <f>YEAR(E9)</f>
        <v/>
      </c>
      <c r="C9" s="18">
        <f>INDEX({"Janeiro";"Fevereiro";"Março";"Abril";"Maio";"Junho";"Julho";"Agosto";"Setembro";"Outubro";"Novembro";"Dezembro"},Q9)</f>
        <v/>
      </c>
      <c r="D9" s="24" t="n">
        <v>2</v>
      </c>
      <c r="E9" s="25" t="n">
        <v>46026</v>
      </c>
      <c r="F9" s="23" t="inlineStr">
        <is>
          <t>Doce de Leite Cacau 5kg - FOOD</t>
        </is>
      </c>
      <c r="G9" s="23" t="inlineStr">
        <is>
          <t>DOCE</t>
        </is>
      </c>
      <c r="H9" s="26" t="n">
        <v>5</v>
      </c>
      <c r="I9" s="36" t="n">
        <v>465</v>
      </c>
      <c r="J9" s="21">
        <f>I9*H9</f>
        <v/>
      </c>
      <c r="K9" s="21">
        <f>IFERROR(IF(J9/P9&gt;1,P9,J9),0)</f>
        <v/>
      </c>
      <c r="L9" s="36" t="n">
        <v>552</v>
      </c>
      <c r="M9" s="21">
        <f>L9*H9</f>
        <v/>
      </c>
      <c r="N9" s="21">
        <f>IFERROR(IF(M9/K9&gt;1,K9,M9),0)</f>
        <v/>
      </c>
      <c r="O9" s="36" t="n">
        <v>465</v>
      </c>
      <c r="P9" s="21">
        <f>O9*H9</f>
        <v/>
      </c>
      <c r="Q9" s="30">
        <f>IF(MONTH(E9+1)=MONTH(E9+6),MONTH(E9+1),IF(MIN(EOMONTH(E9+1,0),E9+6)-(E9+1)+1&gt;=3,MONTH(E9+1),MONTH(E9+6)))</f>
        <v/>
      </c>
      <c r="R9" s="22">
        <f>IFERROR(K9/P9, 0)</f>
        <v/>
      </c>
      <c r="S9" s="38">
        <f>IFERROR(N9/P9,0)</f>
        <v/>
      </c>
      <c r="T9" s="31">
        <f>IFERROR(IF(N9&gt;0,(N9/K9),MIN(1,M9/J9)),0)</f>
        <v/>
      </c>
      <c r="U9" s="32" t="n"/>
    </row>
    <row r="10" hidden="1" s="40">
      <c r="A10" s="18" t="inlineStr">
        <is>
          <t>Semana 2 - janeiro</t>
        </is>
      </c>
      <c r="B10" s="27">
        <f>YEAR(E10)</f>
        <v/>
      </c>
      <c r="C10" s="18">
        <f>INDEX({"Janeiro";"Fevereiro";"Março";"Abril";"Maio";"Junho";"Julho";"Agosto";"Setembro";"Outubro";"Novembro";"Dezembro"},Q10)</f>
        <v/>
      </c>
      <c r="D10" s="19" t="n">
        <v>2</v>
      </c>
      <c r="E10" s="20" t="n">
        <v>46026</v>
      </c>
      <c r="F10" s="18" t="inlineStr">
        <is>
          <t>Doce de Leite c/ Café 400</t>
        </is>
      </c>
      <c r="G10" s="18" t="inlineStr">
        <is>
          <t>DOCE</t>
        </is>
      </c>
      <c r="H10" s="21" t="n">
        <v>0.4</v>
      </c>
      <c r="I10" s="36" t="n">
        <v>4000</v>
      </c>
      <c r="J10" s="21">
        <f>I10*H10</f>
        <v/>
      </c>
      <c r="K10" s="21">
        <f>IFERROR(IF(J10/P10&gt;1,P10,J10),0)</f>
        <v/>
      </c>
      <c r="L10" s="36" t="n">
        <v>0</v>
      </c>
      <c r="M10" s="21">
        <f>L10*H10</f>
        <v/>
      </c>
      <c r="N10" s="21">
        <f>IFERROR(IF(M10/K10&gt;1,K10,M10),0)</f>
        <v/>
      </c>
      <c r="O10" s="36" t="n">
        <v>0</v>
      </c>
      <c r="P10" s="21">
        <f>O10*H10</f>
        <v/>
      </c>
      <c r="Q10" s="30">
        <f>IF(MONTH(E10+1)=MONTH(E10+6),MONTH(E10+1),IF(MIN(EOMONTH(E10+1,0),E10+6)-(E10+1)+1&gt;=3,MONTH(E10+1),MONTH(E10+6)))</f>
        <v/>
      </c>
      <c r="R10" s="22">
        <f>IFERROR(K10/P10, 0)</f>
        <v/>
      </c>
      <c r="S10" s="38">
        <f>IFERROR(N10/P10,0)</f>
        <v/>
      </c>
      <c r="T10" s="31">
        <f>IFERROR(IF(N10&gt;0,(N10/K10),MIN(1,M10/J10)),0)</f>
        <v/>
      </c>
      <c r="U10" s="32" t="n"/>
    </row>
    <row r="11" hidden="1" s="40">
      <c r="A11" s="23" t="inlineStr">
        <is>
          <t>Semana 2 - janeiro</t>
        </is>
      </c>
      <c r="B11" s="27">
        <f>YEAR(E11)</f>
        <v/>
      </c>
      <c r="C11" s="18">
        <f>INDEX({"Janeiro";"Fevereiro";"Março";"Abril";"Maio";"Junho";"Julho";"Agosto";"Setembro";"Outubro";"Novembro";"Dezembro"},Q11)</f>
        <v/>
      </c>
      <c r="D11" s="24" t="n">
        <v>2</v>
      </c>
      <c r="E11" s="25" t="n">
        <v>46026</v>
      </c>
      <c r="F11" s="23" t="inlineStr">
        <is>
          <t>Doce de Leite c/ Café 5kg</t>
        </is>
      </c>
      <c r="G11" s="23" t="inlineStr">
        <is>
          <t>DOCE</t>
        </is>
      </c>
      <c r="H11" s="26" t="n">
        <v>5</v>
      </c>
      <c r="I11" s="36" t="n">
        <v>0</v>
      </c>
      <c r="J11" s="21">
        <f>I11*H11</f>
        <v/>
      </c>
      <c r="K11" s="21">
        <f>IFERROR(IF(J11/P11&gt;1,P11,J11),0)</f>
        <v/>
      </c>
      <c r="L11" s="36" t="n">
        <v>0</v>
      </c>
      <c r="M11" s="21">
        <f>L11*H11</f>
        <v/>
      </c>
      <c r="N11" s="21">
        <f>IFERROR(IF(M11/K11&gt;1,K11,M11),0)</f>
        <v/>
      </c>
      <c r="O11" s="36" t="n">
        <v>0</v>
      </c>
      <c r="P11" s="21">
        <f>O11*H11</f>
        <v/>
      </c>
      <c r="Q11" s="30">
        <f>IF(MONTH(E11+1)=MONTH(E11+6),MONTH(E11+1),IF(MIN(EOMONTH(E11+1,0),E11+6)-(E11+1)+1&gt;=3,MONTH(E11+1),MONTH(E11+6)))</f>
        <v/>
      </c>
      <c r="R11" s="22">
        <f>IFERROR(K11/P11, 0)</f>
        <v/>
      </c>
      <c r="S11" s="38">
        <f>IFERROR(N11/P11,0)</f>
        <v/>
      </c>
      <c r="T11" s="31">
        <f>IFERROR(IF(N11&gt;0,(N11/K11),MIN(1,M11/J11)),0)</f>
        <v/>
      </c>
      <c r="U11" s="32" t="n"/>
    </row>
    <row r="12" hidden="1" s="40">
      <c r="A12" s="18" t="inlineStr">
        <is>
          <t>Semana 2 - janeiro</t>
        </is>
      </c>
      <c r="B12" s="27">
        <f>YEAR(E12)</f>
        <v/>
      </c>
      <c r="C12" s="18">
        <f>INDEX({"Janeiro";"Fevereiro";"Março";"Abril";"Maio";"Junho";"Julho";"Agosto";"Setembro";"Outubro";"Novembro";"Dezembro"},Q12)</f>
        <v/>
      </c>
      <c r="D12" s="19" t="n">
        <v>2</v>
      </c>
      <c r="E12" s="20" t="n">
        <v>46026</v>
      </c>
      <c r="F12" s="18" t="inlineStr">
        <is>
          <t>Doce de Leite c/ coco 400</t>
        </is>
      </c>
      <c r="G12" s="18" t="inlineStr">
        <is>
          <t>DOCE</t>
        </is>
      </c>
      <c r="H12" s="21" t="n">
        <v>0.4</v>
      </c>
      <c r="I12" s="36" t="n">
        <v>0</v>
      </c>
      <c r="J12" s="21">
        <f>I12*H12</f>
        <v/>
      </c>
      <c r="K12" s="21">
        <f>IFERROR(IF(J12/P12&gt;1,P12,J12),0)</f>
        <v/>
      </c>
      <c r="L12" s="36" t="n">
        <v>0</v>
      </c>
      <c r="M12" s="21">
        <f>L12*H12</f>
        <v/>
      </c>
      <c r="N12" s="21">
        <f>IFERROR(IF(M12/K12&gt;1,K12,M12),0)</f>
        <v/>
      </c>
      <c r="O12" s="36" t="n">
        <v>0</v>
      </c>
      <c r="P12" s="21">
        <f>O12*H12</f>
        <v/>
      </c>
      <c r="Q12" s="30">
        <f>IF(MONTH(E12+1)=MONTH(E12+6),MONTH(E12+1),IF(MIN(EOMONTH(E12+1,0),E12+6)-(E12+1)+1&gt;=3,MONTH(E12+1),MONTH(E12+6)))</f>
        <v/>
      </c>
      <c r="R12" s="22">
        <f>IFERROR(K12/P12, 0)</f>
        <v/>
      </c>
      <c r="S12" s="38">
        <f>IFERROR(N12/P12,0)</f>
        <v/>
      </c>
      <c r="T12" s="31">
        <f>IFERROR(IF(N12&gt;0,(N12/K12),MIN(1,M12/J12)),0)</f>
        <v/>
      </c>
      <c r="U12" s="32" t="n"/>
    </row>
    <row r="13" hidden="1" s="40">
      <c r="A13" s="23" t="inlineStr">
        <is>
          <t>Semana 2 - janeiro</t>
        </is>
      </c>
      <c r="B13" s="27">
        <f>YEAR(E13)</f>
        <v/>
      </c>
      <c r="C13" s="18">
        <f>INDEX({"Janeiro";"Fevereiro";"Março";"Abril";"Maio";"Junho";"Julho";"Agosto";"Setembro";"Outubro";"Novembro";"Dezembro"},Q13)</f>
        <v/>
      </c>
      <c r="D13" s="24" t="n">
        <v>2</v>
      </c>
      <c r="E13" s="25" t="n">
        <v>46026</v>
      </c>
      <c r="F13" s="23" t="inlineStr">
        <is>
          <t>IOGURTE VIÇOSA MORANGO LIGHT 180g</t>
        </is>
      </c>
      <c r="G13" s="23" t="inlineStr">
        <is>
          <t>IOGURTE</t>
        </is>
      </c>
      <c r="H13" s="26" t="n">
        <v>0.18</v>
      </c>
      <c r="I13" s="36" t="n">
        <v>0</v>
      </c>
      <c r="J13" s="21">
        <f>I13*H13</f>
        <v/>
      </c>
      <c r="K13" s="21">
        <f>IFERROR(IF(J13/P13&gt;1,P13,J13),0)</f>
        <v/>
      </c>
      <c r="L13" s="36" t="n">
        <v>0</v>
      </c>
      <c r="M13" s="21">
        <f>L13*H13</f>
        <v/>
      </c>
      <c r="N13" s="21">
        <f>IFERROR(IF(M13/K13&gt;1,K13,M13),0)</f>
        <v/>
      </c>
      <c r="O13" s="36" t="n">
        <v>0</v>
      </c>
      <c r="P13" s="21">
        <f>O13*H13</f>
        <v/>
      </c>
      <c r="Q13" s="30">
        <f>IF(MONTH(E13+1)=MONTH(E13+6),MONTH(E13+1),IF(MIN(EOMONTH(E13+1,0),E13+6)-(E13+1)+1&gt;=3,MONTH(E13+1),MONTH(E13+6)))</f>
        <v/>
      </c>
      <c r="R13" s="22">
        <f>IFERROR(K13/P13, 0)</f>
        <v/>
      </c>
      <c r="S13" s="38">
        <f>IFERROR(N13/P13,0)</f>
        <v/>
      </c>
      <c r="T13" s="31">
        <f>IFERROR(IF(N13&gt;0,(N13/K13),MIN(1,M13/J13)),0)</f>
        <v/>
      </c>
      <c r="U13" s="32" t="n"/>
    </row>
    <row r="14" hidden="1" s="40">
      <c r="A14" s="18" t="inlineStr">
        <is>
          <t>Semana 2 - janeiro</t>
        </is>
      </c>
      <c r="B14" s="27">
        <f>YEAR(E14)</f>
        <v/>
      </c>
      <c r="C14" s="18">
        <f>INDEX({"Janeiro";"Fevereiro";"Março";"Abril";"Maio";"Junho";"Julho";"Agosto";"Setembro";"Outubro";"Novembro";"Dezembro"},Q14)</f>
        <v/>
      </c>
      <c r="D14" s="19" t="n">
        <v>2</v>
      </c>
      <c r="E14" s="20" t="n">
        <v>46026</v>
      </c>
      <c r="F14" s="18" t="inlineStr">
        <is>
          <t>IOGURTE VIÇOSA MORANGO LIGHT 800g</t>
        </is>
      </c>
      <c r="G14" s="18" t="inlineStr">
        <is>
          <t>IOGURTE</t>
        </is>
      </c>
      <c r="H14" s="21" t="n">
        <v>0.8</v>
      </c>
      <c r="I14" s="36" t="n">
        <v>0</v>
      </c>
      <c r="J14" s="21">
        <f>I14*H14</f>
        <v/>
      </c>
      <c r="K14" s="21">
        <f>IFERROR(IF(J14/P14&gt;1,P14,J14),0)</f>
        <v/>
      </c>
      <c r="L14" s="36" t="n">
        <v>0</v>
      </c>
      <c r="M14" s="21">
        <f>L14*H14</f>
        <v/>
      </c>
      <c r="N14" s="21">
        <f>IFERROR(IF(M14/K14&gt;1,K14,M14),0)</f>
        <v/>
      </c>
      <c r="O14" s="36" t="n">
        <v>0</v>
      </c>
      <c r="P14" s="21">
        <f>O14*H14</f>
        <v/>
      </c>
      <c r="Q14" s="30">
        <f>IF(MONTH(E14+1)=MONTH(E14+6),MONTH(E14+1),IF(MIN(EOMONTH(E14+1,0),E14+6)-(E14+1)+1&gt;=3,MONTH(E14+1),MONTH(E14+6)))</f>
        <v/>
      </c>
      <c r="R14" s="22">
        <f>IFERROR(K14/P14, 0)</f>
        <v/>
      </c>
      <c r="S14" s="38">
        <f>IFERROR(N14/P14,0)</f>
        <v/>
      </c>
      <c r="T14" s="31">
        <f>IFERROR(IF(N14&gt;0,(N14/K14),MIN(1,M14/J14)),0)</f>
        <v/>
      </c>
      <c r="U14" s="32" t="n"/>
    </row>
    <row r="15" hidden="1" s="40">
      <c r="A15" s="18" t="inlineStr">
        <is>
          <t>Semana 2 - janeiro</t>
        </is>
      </c>
      <c r="B15" s="27">
        <f>YEAR(E15)</f>
        <v/>
      </c>
      <c r="C15" s="18">
        <f>INDEX({"Janeiro";"Fevereiro";"Março";"Abril";"Maio";"Junho";"Julho";"Agosto";"Setembro";"Outubro";"Novembro";"Dezembro"},Q15)</f>
        <v/>
      </c>
      <c r="D15" s="19" t="n">
        <v>2</v>
      </c>
      <c r="E15" s="20" t="n">
        <v>46026</v>
      </c>
      <c r="F15" s="18" t="inlineStr">
        <is>
          <t>Iogurte Abacaxi c/ Coco 120g</t>
        </is>
      </c>
      <c r="G15" s="18" t="inlineStr">
        <is>
          <t>IOGURTE</t>
        </is>
      </c>
      <c r="H15" s="21" t="n">
        <v>0.12</v>
      </c>
      <c r="I15" s="36" t="n">
        <v>0</v>
      </c>
      <c r="J15" s="21">
        <f>I15*H15</f>
        <v/>
      </c>
      <c r="K15" s="21">
        <f>IFERROR(IF(J15/P15&gt;1,P15,J15),0)</f>
        <v/>
      </c>
      <c r="L15" s="36" t="n">
        <v>3050</v>
      </c>
      <c r="M15" s="21">
        <f>L15*H15</f>
        <v/>
      </c>
      <c r="N15" s="21">
        <f>IFERROR(IF(M15/K15&gt;1,K15,M15),0)</f>
        <v/>
      </c>
      <c r="O15" s="36" t="n">
        <v>2000</v>
      </c>
      <c r="P15" s="21">
        <f>O15*H15</f>
        <v/>
      </c>
      <c r="Q15" s="30">
        <f>IF(MONTH(E15+1)=MONTH(E15+6),MONTH(E15+1),IF(MIN(EOMONTH(E15+1,0),E15+6)-(E15+1)+1&gt;=3,MONTH(E15+1),MONTH(E15+6)))</f>
        <v/>
      </c>
      <c r="R15" s="22">
        <f>IFERROR(K15/P15, 0)</f>
        <v/>
      </c>
      <c r="S15" s="38">
        <f>IFERROR(N15/P15,0)</f>
        <v/>
      </c>
      <c r="T15" s="31">
        <f>IFERROR(IF(N15&gt;0,(N15/K15),MIN(1,M15/J15)),0)</f>
        <v/>
      </c>
      <c r="U15" s="32" t="n"/>
    </row>
    <row r="16" hidden="1" s="40">
      <c r="A16" s="23" t="inlineStr">
        <is>
          <t>Semana 2 - janeiro</t>
        </is>
      </c>
      <c r="B16" s="27">
        <f>YEAR(E16)</f>
        <v/>
      </c>
      <c r="C16" s="18">
        <f>INDEX({"Janeiro";"Fevereiro";"Março";"Abril";"Maio";"Junho";"Julho";"Agosto";"Setembro";"Outubro";"Novembro";"Dezembro"},Q16)</f>
        <v/>
      </c>
      <c r="D16" s="24" t="n">
        <v>2</v>
      </c>
      <c r="E16" s="25" t="n">
        <v>46026</v>
      </c>
      <c r="F16" s="23" t="inlineStr">
        <is>
          <t>Iogurte Abacaxi c/ Coco 185g</t>
        </is>
      </c>
      <c r="G16" s="23" t="inlineStr">
        <is>
          <t>IOGURTE</t>
        </is>
      </c>
      <c r="H16" s="26" t="n">
        <v>0.185</v>
      </c>
      <c r="I16" s="36" t="n">
        <v>260</v>
      </c>
      <c r="J16" s="21">
        <f>I16*H16</f>
        <v/>
      </c>
      <c r="K16" s="21">
        <f>IFERROR(IF(J16/P16&gt;1,P16,J16),0)</f>
        <v/>
      </c>
      <c r="L16" s="36" t="n">
        <v>253</v>
      </c>
      <c r="M16" s="21">
        <f>L16*H16</f>
        <v/>
      </c>
      <c r="N16" s="21">
        <f>IFERROR(IF(M16/K16&gt;1,K16,M16),0)</f>
        <v/>
      </c>
      <c r="O16" s="36" t="n">
        <v>260</v>
      </c>
      <c r="P16" s="21">
        <f>O16*H16</f>
        <v/>
      </c>
      <c r="Q16" s="30">
        <f>IF(MONTH(E16+1)=MONTH(E16+6),MONTH(E16+1),IF(MIN(EOMONTH(E16+1,0),E16+6)-(E16+1)+1&gt;=3,MONTH(E16+1),MONTH(E16+6)))</f>
        <v/>
      </c>
      <c r="R16" s="22">
        <f>IFERROR(K16/P16, 0)</f>
        <v/>
      </c>
      <c r="S16" s="38">
        <f>IFERROR(N16/P16,0)</f>
        <v/>
      </c>
      <c r="T16" s="31">
        <f>IFERROR(IF(N16&gt;0,(N16/K16),MIN(1,M16/J16)),0)</f>
        <v/>
      </c>
      <c r="U16" s="32" t="n"/>
    </row>
    <row r="17" hidden="1" s="40">
      <c r="A17" s="18" t="inlineStr">
        <is>
          <t>Semana 2 - janeiro</t>
        </is>
      </c>
      <c r="B17" s="27">
        <f>YEAR(E17)</f>
        <v/>
      </c>
      <c r="C17" s="18">
        <f>INDEX({"Janeiro";"Fevereiro";"Março";"Abril";"Maio";"Junho";"Julho";"Agosto";"Setembro";"Outubro";"Novembro";"Dezembro"},Q17)</f>
        <v/>
      </c>
      <c r="D17" s="19" t="n">
        <v>2</v>
      </c>
      <c r="E17" s="20" t="n">
        <v>46026</v>
      </c>
      <c r="F17" s="18" t="inlineStr">
        <is>
          <t>Iogurte Abacaxi c/ Coco 900g</t>
        </is>
      </c>
      <c r="G17" s="18" t="inlineStr">
        <is>
          <t>IOGURTE</t>
        </is>
      </c>
      <c r="H17" s="21" t="n">
        <v>0.9</v>
      </c>
      <c r="I17" s="36" t="n">
        <v>1530</v>
      </c>
      <c r="J17" s="21">
        <f>I17*H17</f>
        <v/>
      </c>
      <c r="K17" s="21">
        <f>IFERROR(IF(J17/P17&gt;1,P17,J17),0)</f>
        <v/>
      </c>
      <c r="L17" s="36" t="n">
        <v>1167</v>
      </c>
      <c r="M17" s="21">
        <f>L17*H17</f>
        <v/>
      </c>
      <c r="N17" s="21">
        <f>IFERROR(IF(M17/K17&gt;1,K17,M17),0)</f>
        <v/>
      </c>
      <c r="O17" s="36" t="n">
        <v>1200</v>
      </c>
      <c r="P17" s="21">
        <f>O17*H17</f>
        <v/>
      </c>
      <c r="Q17" s="30">
        <f>IF(MONTH(E17+1)=MONTH(E17+6),MONTH(E17+1),IF(MIN(EOMONTH(E17+1,0),E17+6)-(E17+1)+1&gt;=3,MONTH(E17+1),MONTH(E17+6)))</f>
        <v/>
      </c>
      <c r="R17" s="22">
        <f>IFERROR(K17/P17, 0)</f>
        <v/>
      </c>
      <c r="S17" s="38">
        <f>IFERROR(N17/P17,0)</f>
        <v/>
      </c>
      <c r="T17" s="31">
        <f>IFERROR(IF(N17&gt;0,(N17/K17),MIN(1,M17/J17)),0)</f>
        <v/>
      </c>
      <c r="U17" s="32" t="n"/>
    </row>
    <row r="18" hidden="1" s="40">
      <c r="A18" s="18" t="inlineStr">
        <is>
          <t>Semana 2 - janeiro</t>
        </is>
      </c>
      <c r="B18" s="27">
        <f>YEAR(E18)</f>
        <v/>
      </c>
      <c r="C18" s="18">
        <f>INDEX({"Janeiro";"Fevereiro";"Março";"Abril";"Maio";"Junho";"Julho";"Agosto";"Setembro";"Outubro";"Novembro";"Dezembro"},Q18)</f>
        <v/>
      </c>
      <c r="D18" s="19" t="n">
        <v>2</v>
      </c>
      <c r="E18" s="20" t="n">
        <v>46026</v>
      </c>
      <c r="F18" s="18" t="inlineStr">
        <is>
          <t>Iogurte Coco 120g</t>
        </is>
      </c>
      <c r="G18" s="18" t="inlineStr">
        <is>
          <t>IOGURTE</t>
        </is>
      </c>
      <c r="H18" s="21" t="n">
        <v>0.12</v>
      </c>
      <c r="I18" s="36" t="n">
        <v>3000</v>
      </c>
      <c r="J18" s="21">
        <f>I18*H18</f>
        <v/>
      </c>
      <c r="K18" s="21">
        <f>IFERROR(IF(J18/P18&gt;1,P18,J18),0)</f>
        <v/>
      </c>
      <c r="L18" s="36" t="n">
        <v>3073</v>
      </c>
      <c r="M18" s="21">
        <f>L18*H18</f>
        <v/>
      </c>
      <c r="N18" s="21">
        <f>IFERROR(IF(M18/K18&gt;1,K18,M18),0)</f>
        <v/>
      </c>
      <c r="O18" s="36" t="n">
        <v>5000</v>
      </c>
      <c r="P18" s="21">
        <f>O18*H18</f>
        <v/>
      </c>
      <c r="Q18" s="30">
        <f>IF(MONTH(E18+1)=MONTH(E18+6),MONTH(E18+1),IF(MIN(EOMONTH(E18+1,0),E18+6)-(E18+1)+1&gt;=3,MONTH(E18+1),MONTH(E18+6)))</f>
        <v/>
      </c>
      <c r="R18" s="22">
        <f>IFERROR(K18/P18, 0)</f>
        <v/>
      </c>
      <c r="S18" s="38">
        <f>IFERROR(N18/P18,0)</f>
        <v/>
      </c>
      <c r="T18" s="31">
        <f>IFERROR(IF(N18&gt;0,(N18/K18),MIN(1,M18/J18)),0)</f>
        <v/>
      </c>
      <c r="U18" s="32" t="n"/>
    </row>
    <row r="19" hidden="1" s="40">
      <c r="A19" s="23" t="inlineStr">
        <is>
          <t>Semana 2 - janeiro</t>
        </is>
      </c>
      <c r="B19" s="27">
        <f>YEAR(E19)</f>
        <v/>
      </c>
      <c r="C19" s="18">
        <f>INDEX({"Janeiro";"Fevereiro";"Março";"Abril";"Maio";"Junho";"Julho";"Agosto";"Setembro";"Outubro";"Novembro";"Dezembro"},Q19)</f>
        <v/>
      </c>
      <c r="D19" s="24" t="n">
        <v>2</v>
      </c>
      <c r="E19" s="25" t="n">
        <v>46026</v>
      </c>
      <c r="F19" s="23" t="inlineStr">
        <is>
          <t>Iogurte Coco 185g</t>
        </is>
      </c>
      <c r="G19" s="23" t="inlineStr">
        <is>
          <t>IOGURTE</t>
        </is>
      </c>
      <c r="H19" s="26" t="n">
        <v>0.185</v>
      </c>
      <c r="I19" s="36" t="n">
        <v>260</v>
      </c>
      <c r="J19" s="21">
        <f>I19*H19</f>
        <v/>
      </c>
      <c r="K19" s="21">
        <f>IFERROR(IF(J19/P19&gt;1,P19,J19),0)</f>
        <v/>
      </c>
      <c r="L19" s="36" t="n">
        <v>516</v>
      </c>
      <c r="M19" s="21">
        <f>L19*H19</f>
        <v/>
      </c>
      <c r="N19" s="21">
        <f>IFERROR(IF(M19/K19&gt;1,K19,M19),0)</f>
        <v/>
      </c>
      <c r="O19" s="36" t="n">
        <v>520</v>
      </c>
      <c r="P19" s="21">
        <f>O19*H19</f>
        <v/>
      </c>
      <c r="Q19" s="30">
        <f>IF(MONTH(E19+1)=MONTH(E19+6),MONTH(E19+1),IF(MIN(EOMONTH(E19+1,0),E19+6)-(E19+1)+1&gt;=3,MONTH(E19+1),MONTH(E19+6)))</f>
        <v/>
      </c>
      <c r="R19" s="22">
        <f>IFERROR(K19/P19, 0)</f>
        <v/>
      </c>
      <c r="S19" s="38">
        <f>IFERROR(N19/P19,0)</f>
        <v/>
      </c>
      <c r="T19" s="31">
        <f>IFERROR(IF(N19&gt;0,(N19/K19),MIN(1,M19/J19)),0)</f>
        <v/>
      </c>
      <c r="U19" s="32" t="n"/>
    </row>
    <row r="20" hidden="1" s="40">
      <c r="A20" s="18" t="inlineStr">
        <is>
          <t>Semana 2 - janeiro</t>
        </is>
      </c>
      <c r="B20" s="27">
        <f>YEAR(E20)</f>
        <v/>
      </c>
      <c r="C20" s="18">
        <f>INDEX({"Janeiro";"Fevereiro";"Março";"Abril";"Maio";"Junho";"Julho";"Agosto";"Setembro";"Outubro";"Novembro";"Dezembro"},Q20)</f>
        <v/>
      </c>
      <c r="D20" s="19" t="n">
        <v>2</v>
      </c>
      <c r="E20" s="20" t="n">
        <v>46026</v>
      </c>
      <c r="F20" s="18" t="inlineStr">
        <is>
          <t>Iogurte Coco 900g</t>
        </is>
      </c>
      <c r="G20" s="18" t="inlineStr">
        <is>
          <t>IOGURTE</t>
        </is>
      </c>
      <c r="H20" s="21" t="n">
        <v>0.9</v>
      </c>
      <c r="I20" s="36" t="n">
        <v>1170</v>
      </c>
      <c r="J20" s="21">
        <f>I20*H20</f>
        <v/>
      </c>
      <c r="K20" s="21">
        <f>IFERROR(IF(J20/P20&gt;1,P20,J20),0)</f>
        <v/>
      </c>
      <c r="L20" s="36" t="n">
        <v>1074</v>
      </c>
      <c r="M20" s="21">
        <f>L20*H20</f>
        <v/>
      </c>
      <c r="N20" s="21">
        <f>IFERROR(IF(M20/K20&gt;1,K20,M20),0)</f>
        <v/>
      </c>
      <c r="O20" s="36" t="n">
        <v>1800</v>
      </c>
      <c r="P20" s="21">
        <f>O20*H20</f>
        <v/>
      </c>
      <c r="Q20" s="30">
        <f>IF(MONTH(E20+1)=MONTH(E20+6),MONTH(E20+1),IF(MIN(EOMONTH(E20+1,0),E20+6)-(E20+1)+1&gt;=3,MONTH(E20+1),MONTH(E20+6)))</f>
        <v/>
      </c>
      <c r="R20" s="22">
        <f>IFERROR(K20/P20, 0)</f>
        <v/>
      </c>
      <c r="S20" s="38">
        <f>IFERROR(N20/P20,0)</f>
        <v/>
      </c>
      <c r="T20" s="31">
        <f>IFERROR(IF(N20&gt;0,(N20/K20),MIN(1,M20/J20)),0)</f>
        <v/>
      </c>
      <c r="U20" s="32" t="n"/>
    </row>
    <row r="21" hidden="1" s="40">
      <c r="A21" s="23" t="inlineStr">
        <is>
          <t>Semana 2 - janeiro</t>
        </is>
      </c>
      <c r="B21" s="27">
        <f>YEAR(E21)</f>
        <v/>
      </c>
      <c r="C21" s="18">
        <f>INDEX({"Janeiro";"Fevereiro";"Março";"Abril";"Maio";"Junho";"Julho";"Agosto";"Setembro";"Outubro";"Novembro";"Dezembro"},Q21)</f>
        <v/>
      </c>
      <c r="D21" s="24" t="n">
        <v>2</v>
      </c>
      <c r="E21" s="25" t="n">
        <v>46026</v>
      </c>
      <c r="F21" s="23" t="inlineStr">
        <is>
          <t>Iogurte Grego Frutas vermelhas 120g</t>
        </is>
      </c>
      <c r="G21" s="23" t="inlineStr">
        <is>
          <t>IOGURTE</t>
        </is>
      </c>
      <c r="H21" s="26" t="n">
        <v>0.17</v>
      </c>
      <c r="I21" s="36" t="n">
        <v>0</v>
      </c>
      <c r="J21" s="21">
        <f>I21*H21</f>
        <v/>
      </c>
      <c r="K21" s="21">
        <f>IFERROR(IF(J21/P21&gt;1,P21,J21),0)</f>
        <v/>
      </c>
      <c r="L21" s="36" t="n">
        <v>0</v>
      </c>
      <c r="M21" s="21">
        <f>L21*H21</f>
        <v/>
      </c>
      <c r="N21" s="21">
        <f>IFERROR(IF(M21/K21&gt;1,K21,M21),0)</f>
        <v/>
      </c>
      <c r="O21" s="36" t="n">
        <v>0</v>
      </c>
      <c r="P21" s="21">
        <f>O21*H21</f>
        <v/>
      </c>
      <c r="Q21" s="30">
        <f>IF(MONTH(E21+1)=MONTH(E21+6),MONTH(E21+1),IF(MIN(EOMONTH(E21+1,0),E21+6)-(E21+1)+1&gt;=3,MONTH(E21+1),MONTH(E21+6)))</f>
        <v/>
      </c>
      <c r="R21" s="22">
        <f>IFERROR(K21/P21, 0)</f>
        <v/>
      </c>
      <c r="S21" s="38">
        <f>IFERROR(N21/P21,0)</f>
        <v/>
      </c>
      <c r="T21" s="31">
        <f>IFERROR(IF(N21&gt;0,(N21/K21),MIN(1,M21/J21)),0)</f>
        <v/>
      </c>
      <c r="U21" s="32" t="n"/>
    </row>
    <row r="22" hidden="1" s="40">
      <c r="A22" s="23" t="inlineStr">
        <is>
          <t>Semana 2 - janeiro</t>
        </is>
      </c>
      <c r="B22" s="27">
        <f>YEAR(E22)</f>
        <v/>
      </c>
      <c r="C22" s="18">
        <f>INDEX({"Janeiro";"Fevereiro";"Março";"Abril";"Maio";"Junho";"Julho";"Agosto";"Setembro";"Outubro";"Novembro";"Dezembro"},Q22)</f>
        <v/>
      </c>
      <c r="D22" s="24" t="n">
        <v>2</v>
      </c>
      <c r="E22" s="25" t="n">
        <v>46026</v>
      </c>
      <c r="F22" s="23" t="inlineStr">
        <is>
          <t>Iogurte Morango 120g</t>
        </is>
      </c>
      <c r="G22" s="23" t="inlineStr">
        <is>
          <t>IOGURTE</t>
        </is>
      </c>
      <c r="H22" s="26" t="n">
        <v>0.12</v>
      </c>
      <c r="I22" s="36" t="n">
        <v>41000</v>
      </c>
      <c r="J22" s="21">
        <f>I22*H22</f>
        <v/>
      </c>
      <c r="K22" s="21">
        <f>IFERROR(IF(J22/P22&gt;1,P22,J22),0)</f>
        <v/>
      </c>
      <c r="L22" s="36" t="n">
        <v>15220</v>
      </c>
      <c r="M22" s="21">
        <f>L22*H22</f>
        <v/>
      </c>
      <c r="N22" s="21">
        <f>IFERROR(IF(M22/K22&gt;1,K22,M22),0)</f>
        <v/>
      </c>
      <c r="O22" s="36" t="n">
        <v>22000</v>
      </c>
      <c r="P22" s="21">
        <f>O22*H22</f>
        <v/>
      </c>
      <c r="Q22" s="30">
        <f>IF(MONTH(E22+1)=MONTH(E22+6),MONTH(E22+1),IF(MIN(EOMONTH(E22+1,0),E22+6)-(E22+1)+1&gt;=3,MONTH(E22+1),MONTH(E22+6)))</f>
        <v/>
      </c>
      <c r="R22" s="22">
        <f>IFERROR(K22/P22, 0)</f>
        <v/>
      </c>
      <c r="S22" s="38">
        <f>IFERROR(N22/P22,0)</f>
        <v/>
      </c>
      <c r="T22" s="31">
        <f>IFERROR(IF(N22&gt;0,(N22/K22),MIN(1,M22/J22)),0)</f>
        <v/>
      </c>
      <c r="U22" s="32" t="n"/>
    </row>
    <row r="23" hidden="1" s="40">
      <c r="A23" s="18" t="inlineStr">
        <is>
          <t>Semana 2 - janeiro</t>
        </is>
      </c>
      <c r="B23" s="27">
        <f>YEAR(E23)</f>
        <v/>
      </c>
      <c r="C23" s="18">
        <f>INDEX({"Janeiro";"Fevereiro";"Março";"Abril";"Maio";"Junho";"Julho";"Agosto";"Setembro";"Outubro";"Novembro";"Dezembro"},Q23)</f>
        <v/>
      </c>
      <c r="D23" s="19" t="n">
        <v>2</v>
      </c>
      <c r="E23" s="20" t="n">
        <v>46026</v>
      </c>
      <c r="F23" s="18" t="inlineStr">
        <is>
          <t>Iogurte Morango 185g</t>
        </is>
      </c>
      <c r="G23" s="18" t="inlineStr">
        <is>
          <t>IOGURTE</t>
        </is>
      </c>
      <c r="H23" s="21" t="n">
        <v>0.185</v>
      </c>
      <c r="I23" s="36" t="n">
        <v>1040</v>
      </c>
      <c r="J23" s="21">
        <f>I23*H23</f>
        <v/>
      </c>
      <c r="K23" s="21">
        <f>IFERROR(IF(J23/P23&gt;1,P23,J23),0)</f>
        <v/>
      </c>
      <c r="L23" s="36" t="n">
        <v>1518</v>
      </c>
      <c r="M23" s="21">
        <f>L23*H23</f>
        <v/>
      </c>
      <c r="N23" s="21">
        <f>IFERROR(IF(M23/K23&gt;1,K23,M23),0)</f>
        <v/>
      </c>
      <c r="O23" s="36" t="n">
        <v>1300</v>
      </c>
      <c r="P23" s="21">
        <f>O23*H23</f>
        <v/>
      </c>
      <c r="Q23" s="30">
        <f>IF(MONTH(E23+1)=MONTH(E23+6),MONTH(E23+1),IF(MIN(EOMONTH(E23+1,0),E23+6)-(E23+1)+1&gt;=3,MONTH(E23+1),MONTH(E23+6)))</f>
        <v/>
      </c>
      <c r="R23" s="22">
        <f>IFERROR(K23/P23, 0)</f>
        <v/>
      </c>
      <c r="S23" s="38">
        <f>IFERROR(N23/P23,0)</f>
        <v/>
      </c>
      <c r="T23" s="31">
        <f>IFERROR(IF(N23&gt;0,(N23/K23),MIN(1,M23/J23)),0)</f>
        <v/>
      </c>
      <c r="U23" s="32" t="n"/>
    </row>
    <row r="24" hidden="1" s="40">
      <c r="A24" s="23" t="inlineStr">
        <is>
          <t>Semana 2 - janeiro</t>
        </is>
      </c>
      <c r="B24" s="27">
        <f>YEAR(E24)</f>
        <v/>
      </c>
      <c r="C24" s="18">
        <f>INDEX({"Janeiro";"Fevereiro";"Março";"Abril";"Maio";"Junho";"Julho";"Agosto";"Setembro";"Outubro";"Novembro";"Dezembro"},Q24)</f>
        <v/>
      </c>
      <c r="D24" s="24" t="n">
        <v>2</v>
      </c>
      <c r="E24" s="25" t="n">
        <v>46026</v>
      </c>
      <c r="F24" s="23" t="inlineStr">
        <is>
          <t>Iogurte Morango 900G</t>
        </is>
      </c>
      <c r="G24" s="23" t="inlineStr">
        <is>
          <t>IOGURTE</t>
        </is>
      </c>
      <c r="H24" s="26" t="n">
        <v>0.9</v>
      </c>
      <c r="I24" s="36" t="n">
        <v>7020</v>
      </c>
      <c r="J24" s="21">
        <f>I24*H24</f>
        <v/>
      </c>
      <c r="K24" s="21">
        <f>IFERROR(IF(J24/P24&gt;1,P24,J24),0)</f>
        <v/>
      </c>
      <c r="L24" s="36" t="n">
        <v>4560</v>
      </c>
      <c r="M24" s="21">
        <f>L24*H24</f>
        <v/>
      </c>
      <c r="N24" s="21">
        <f>IFERROR(IF(M24/K24&gt;1,K24,M24),0)</f>
        <v/>
      </c>
      <c r="O24" s="36" t="n">
        <v>4200</v>
      </c>
      <c r="P24" s="21">
        <f>O24*H24</f>
        <v/>
      </c>
      <c r="Q24" s="30">
        <f>IF(MONTH(E24+1)=MONTH(E24+6),MONTH(E24+1),IF(MIN(EOMONTH(E24+1,0),E24+6)-(E24+1)+1&gt;=3,MONTH(E24+1),MONTH(E24+6)))</f>
        <v/>
      </c>
      <c r="R24" s="22">
        <f>IFERROR(K24/P24, 0)</f>
        <v/>
      </c>
      <c r="S24" s="38">
        <f>IFERROR(N24/P24,0)</f>
        <v/>
      </c>
      <c r="T24" s="31">
        <f>IFERROR(IF(N24&gt;0,(N24/K24),MIN(1,M24/J24)),0)</f>
        <v/>
      </c>
      <c r="U24" s="32" t="n"/>
    </row>
    <row r="25" hidden="1" s="40">
      <c r="A25" s="18" t="inlineStr">
        <is>
          <t>Semana 2 - janeiro</t>
        </is>
      </c>
      <c r="B25" s="27">
        <f>YEAR(E25)</f>
        <v/>
      </c>
      <c r="C25" s="18">
        <f>INDEX({"Janeiro";"Fevereiro";"Março";"Abril";"Maio";"Junho";"Julho";"Agosto";"Setembro";"Outubro";"Novembro";"Dezembro"},Q25)</f>
        <v/>
      </c>
      <c r="D25" s="19" t="n">
        <v>2</v>
      </c>
      <c r="E25" s="20" t="n">
        <v>46026</v>
      </c>
      <c r="F25" s="18" t="inlineStr">
        <is>
          <t>Iogurte Natural Integral 170g</t>
        </is>
      </c>
      <c r="G25" s="18" t="inlineStr">
        <is>
          <t>IOGURTE</t>
        </is>
      </c>
      <c r="H25" s="21" t="n">
        <v>0.17</v>
      </c>
      <c r="I25" s="36" t="n">
        <v>1500</v>
      </c>
      <c r="J25" s="21">
        <f>I25*H25</f>
        <v/>
      </c>
      <c r="K25" s="21">
        <f>IFERROR(IF(J25/P25&gt;1,P25,J25),0)</f>
        <v/>
      </c>
      <c r="L25" s="36" t="n">
        <v>3528</v>
      </c>
      <c r="M25" s="21">
        <f>L25*H25</f>
        <v/>
      </c>
      <c r="N25" s="21">
        <f>IFERROR(IF(M25/K25&gt;1,K25,M25),0)</f>
        <v/>
      </c>
      <c r="O25" s="36" t="n">
        <v>3800</v>
      </c>
      <c r="P25" s="21">
        <f>O25*H25</f>
        <v/>
      </c>
      <c r="Q25" s="30">
        <f>IF(MONTH(E25+1)=MONTH(E25+6),MONTH(E25+1),IF(MIN(EOMONTH(E25+1,0),E25+6)-(E25+1)+1&gt;=3,MONTH(E25+1),MONTH(E25+6)))</f>
        <v/>
      </c>
      <c r="R25" s="22">
        <f>IFERROR(K25/P25, 0)</f>
        <v/>
      </c>
      <c r="S25" s="38">
        <f>IFERROR(N25/P25,0)</f>
        <v/>
      </c>
      <c r="T25" s="31">
        <f>IFERROR(IF(N25&gt;0,(N25/K25),MIN(1,M25/J25)),0)</f>
        <v/>
      </c>
      <c r="U25" s="32" t="n"/>
    </row>
    <row r="26" hidden="1" s="40">
      <c r="A26" s="23" t="inlineStr">
        <is>
          <t>Semana 2 - janeiro</t>
        </is>
      </c>
      <c r="B26" s="27">
        <f>YEAR(E26)</f>
        <v/>
      </c>
      <c r="C26" s="18">
        <f>INDEX({"Janeiro";"Fevereiro";"Março";"Abril";"Maio";"Junho";"Julho";"Agosto";"Setembro";"Outubro";"Novembro";"Dezembro"},Q26)</f>
        <v/>
      </c>
      <c r="D26" s="24" t="n">
        <v>2</v>
      </c>
      <c r="E26" s="25" t="n">
        <v>46026</v>
      </c>
      <c r="F26" s="23" t="inlineStr">
        <is>
          <t>Iogurte Natural Triplo Zero 170g</t>
        </is>
      </c>
      <c r="G26" s="23" t="inlineStr">
        <is>
          <t>IOGURTE</t>
        </is>
      </c>
      <c r="H26" s="26" t="n">
        <v>0.17</v>
      </c>
      <c r="I26" s="36" t="n">
        <v>0</v>
      </c>
      <c r="J26" s="21">
        <f>I26*H26</f>
        <v/>
      </c>
      <c r="K26" s="21">
        <f>IFERROR(IF(J26/P26&gt;1,P26,J26),0)</f>
        <v/>
      </c>
      <c r="L26" s="36" t="n">
        <v>3007</v>
      </c>
      <c r="M26" s="21">
        <f>L26*H26</f>
        <v/>
      </c>
      <c r="N26" s="21">
        <f>IFERROR(IF(M26/K26&gt;1,K26,M26),0)</f>
        <v/>
      </c>
      <c r="O26" s="36" t="n">
        <v>3800</v>
      </c>
      <c r="P26" s="21">
        <f>O26*H26</f>
        <v/>
      </c>
      <c r="Q26" s="30">
        <f>IF(MONTH(E26+1)=MONTH(E26+6),MONTH(E26+1),IF(MIN(EOMONTH(E26+1,0),E26+6)-(E26+1)+1&gt;=3,MONTH(E26+1),MONTH(E26+6)))</f>
        <v/>
      </c>
      <c r="R26" s="22">
        <f>IFERROR(K26/P26, 0)</f>
        <v/>
      </c>
      <c r="S26" s="38">
        <f>IFERROR(N26/P26,0)</f>
        <v/>
      </c>
      <c r="T26" s="31">
        <f>IFERROR(IF(N26&gt;0,(N26/K26),MIN(1,M26/J26)),0)</f>
        <v/>
      </c>
      <c r="U26" s="32" t="n"/>
    </row>
    <row r="27" hidden="1" s="40">
      <c r="A27" s="23" t="inlineStr">
        <is>
          <t>Semana 2 - janeiro</t>
        </is>
      </c>
      <c r="B27" s="27">
        <f>YEAR(E27)</f>
        <v/>
      </c>
      <c r="C27" s="18">
        <f>INDEX({"Janeiro";"Fevereiro";"Março";"Abril";"Maio";"Junho";"Julho";"Agosto";"Setembro";"Outubro";"Novembro";"Dezembro"},Q27)</f>
        <v/>
      </c>
      <c r="D27" s="24" t="n">
        <v>2</v>
      </c>
      <c r="E27" s="25" t="n">
        <v>46026</v>
      </c>
      <c r="F27" s="23" t="inlineStr">
        <is>
          <t>Iogurte Salada 120g</t>
        </is>
      </c>
      <c r="G27" s="23" t="inlineStr">
        <is>
          <t>IOGURTE</t>
        </is>
      </c>
      <c r="H27" s="26" t="n">
        <v>0.12</v>
      </c>
      <c r="I27" s="36" t="n">
        <v>2000</v>
      </c>
      <c r="J27" s="21">
        <f>I27*H27</f>
        <v/>
      </c>
      <c r="K27" s="21">
        <f>IFERROR(IF(J27/P27&gt;1,P27,J27),0)</f>
        <v/>
      </c>
      <c r="L27" s="36" t="n">
        <v>3119</v>
      </c>
      <c r="M27" s="21">
        <f>L27*H27</f>
        <v/>
      </c>
      <c r="N27" s="21">
        <f>IFERROR(IF(M27/K27&gt;1,K27,M27),0)</f>
        <v/>
      </c>
      <c r="O27" s="36" t="n">
        <v>3000</v>
      </c>
      <c r="P27" s="21">
        <f>O27*H27</f>
        <v/>
      </c>
      <c r="Q27" s="30">
        <f>IF(MONTH(E27+1)=MONTH(E27+6),MONTH(E27+1),IF(MIN(EOMONTH(E27+1,0),E27+6)-(E27+1)+1&gt;=3,MONTH(E27+1),MONTH(E27+6)))</f>
        <v/>
      </c>
      <c r="R27" s="22">
        <f>IFERROR(K27/P27, 0)</f>
        <v/>
      </c>
      <c r="S27" s="38">
        <f>IFERROR(N27/P27,0)</f>
        <v/>
      </c>
      <c r="T27" s="31">
        <f>IFERROR(IF(N27&gt;0,(N27/K27),MIN(1,M27/J27)),0)</f>
        <v/>
      </c>
      <c r="U27" s="32" t="n"/>
    </row>
    <row r="28" hidden="1" s="40">
      <c r="A28" s="18" t="inlineStr">
        <is>
          <t>Semana 2 - janeiro</t>
        </is>
      </c>
      <c r="B28" s="27">
        <f>YEAR(E28)</f>
        <v/>
      </c>
      <c r="C28" s="18">
        <f>INDEX({"Janeiro";"Fevereiro";"Março";"Abril";"Maio";"Junho";"Julho";"Agosto";"Setembro";"Outubro";"Novembro";"Dezembro"},Q28)</f>
        <v/>
      </c>
      <c r="D28" s="19" t="n">
        <v>2</v>
      </c>
      <c r="E28" s="20" t="n">
        <v>46026</v>
      </c>
      <c r="F28" s="18" t="inlineStr">
        <is>
          <t>Iogurte Salada 185g</t>
        </is>
      </c>
      <c r="G28" s="18" t="inlineStr">
        <is>
          <t>IOGURTE</t>
        </is>
      </c>
      <c r="H28" s="21" t="n">
        <v>0.185</v>
      </c>
      <c r="I28" s="36" t="n">
        <v>260</v>
      </c>
      <c r="J28" s="21">
        <f>I28*H28</f>
        <v/>
      </c>
      <c r="K28" s="21">
        <f>IFERROR(IF(J28/P28&gt;1,P28,J28),0)</f>
        <v/>
      </c>
      <c r="L28" s="36" t="n">
        <v>515</v>
      </c>
      <c r="M28" s="21">
        <f>L28*H28</f>
        <v/>
      </c>
      <c r="N28" s="21">
        <f>IFERROR(IF(M28/K28&gt;1,K28,M28),0)</f>
        <v/>
      </c>
      <c r="O28" s="36" t="n">
        <v>520</v>
      </c>
      <c r="P28" s="21">
        <f>O28*H28</f>
        <v/>
      </c>
      <c r="Q28" s="30">
        <f>IF(MONTH(E28+1)=MONTH(E28+6),MONTH(E28+1),IF(MIN(EOMONTH(E28+1,0),E28+6)-(E28+1)+1&gt;=3,MONTH(E28+1),MONTH(E28+6)))</f>
        <v/>
      </c>
      <c r="R28" s="22">
        <f>IFERROR(K28/P28, 0)</f>
        <v/>
      </c>
      <c r="S28" s="38">
        <f>IFERROR(N28/P28,0)</f>
        <v/>
      </c>
      <c r="T28" s="31">
        <f>IFERROR(IF(N28&gt;0,(N28/K28),MIN(1,M28/J28)),0)</f>
        <v/>
      </c>
      <c r="U28" s="32" t="n"/>
    </row>
    <row r="29" hidden="1" s="40">
      <c r="A29" s="23" t="inlineStr">
        <is>
          <t>Semana 2 - janeiro</t>
        </is>
      </c>
      <c r="B29" s="27">
        <f>YEAR(E29)</f>
        <v/>
      </c>
      <c r="C29" s="18">
        <f>INDEX({"Janeiro";"Fevereiro";"Março";"Abril";"Maio";"Junho";"Julho";"Agosto";"Setembro";"Outubro";"Novembro";"Dezembro"},Q29)</f>
        <v/>
      </c>
      <c r="D29" s="24" t="n">
        <v>2</v>
      </c>
      <c r="E29" s="25" t="n">
        <v>46026</v>
      </c>
      <c r="F29" s="23" t="inlineStr">
        <is>
          <t>Iogurte Salada 900g</t>
        </is>
      </c>
      <c r="G29" s="23" t="inlineStr">
        <is>
          <t>IOGURTE</t>
        </is>
      </c>
      <c r="H29" s="26" t="n">
        <v>0.9</v>
      </c>
      <c r="I29" s="36" t="n">
        <v>720</v>
      </c>
      <c r="J29" s="21">
        <f>I29*H29</f>
        <v/>
      </c>
      <c r="K29" s="21">
        <f>IFERROR(IF(J29/P29&gt;1,P29,J29),0)</f>
        <v/>
      </c>
      <c r="L29" s="36" t="n">
        <v>2137</v>
      </c>
      <c r="M29" s="21">
        <f>L29*H29</f>
        <v/>
      </c>
      <c r="N29" s="21">
        <f>IFERROR(IF(M29/K29&gt;1,K29,M29),0)</f>
        <v/>
      </c>
      <c r="O29" s="36" t="n">
        <v>2100</v>
      </c>
      <c r="P29" s="21">
        <f>O29*H29</f>
        <v/>
      </c>
      <c r="Q29" s="30">
        <f>IF(MONTH(E29+1)=MONTH(E29+6),MONTH(E29+1),IF(MIN(EOMONTH(E29+1,0),E29+6)-(E29+1)+1&gt;=3,MONTH(E29+1),MONTH(E29+6)))</f>
        <v/>
      </c>
      <c r="R29" s="22">
        <f>IFERROR(K29/P29, 0)</f>
        <v/>
      </c>
      <c r="S29" s="38">
        <f>IFERROR(N29/P29,0)</f>
        <v/>
      </c>
      <c r="T29" s="31">
        <f>IFERROR(IF(N29&gt;0,(N29/K29),MIN(1,M29/J29)),0)</f>
        <v/>
      </c>
      <c r="U29" s="32" t="n"/>
    </row>
    <row r="30" hidden="1" s="40">
      <c r="A30" s="18" t="inlineStr">
        <is>
          <t>Semana 2 - janeiro</t>
        </is>
      </c>
      <c r="B30" s="27">
        <f>YEAR(E30)</f>
        <v/>
      </c>
      <c r="C30" s="18">
        <f>INDEX({"Janeiro";"Fevereiro";"Março";"Abril";"Maio";"Junho";"Julho";"Agosto";"Setembro";"Outubro";"Novembro";"Dezembro"},Q30)</f>
        <v/>
      </c>
      <c r="D30" s="19" t="n">
        <v>2</v>
      </c>
      <c r="E30" s="20" t="n">
        <v>46026</v>
      </c>
      <c r="F30" s="18" t="inlineStr">
        <is>
          <t>Iogurte Vida Leve Ameixa c/ Grãos 180g</t>
        </is>
      </c>
      <c r="G30" s="18" t="inlineStr">
        <is>
          <t>IOGURTE</t>
        </is>
      </c>
      <c r="H30" s="21" t="n">
        <v>0.18</v>
      </c>
      <c r="I30" s="36" t="n">
        <v>0</v>
      </c>
      <c r="J30" s="21">
        <f>I30*H30</f>
        <v/>
      </c>
      <c r="K30" s="21">
        <f>IFERROR(IF(J30/P30&gt;1,P30,J30),0)</f>
        <v/>
      </c>
      <c r="L30" s="36" t="n">
        <v>1016</v>
      </c>
      <c r="M30" s="21">
        <f>L30*H30</f>
        <v/>
      </c>
      <c r="N30" s="21">
        <f>IFERROR(IF(M30/K30&gt;1,K30,M30),0)</f>
        <v/>
      </c>
      <c r="O30" s="36" t="n">
        <v>1100</v>
      </c>
      <c r="P30" s="21">
        <f>O30*H30</f>
        <v/>
      </c>
      <c r="Q30" s="30">
        <f>IF(MONTH(E30+1)=MONTH(E30+6),MONTH(E30+1),IF(MIN(EOMONTH(E30+1,0),E30+6)-(E30+1)+1&gt;=3,MONTH(E30+1),MONTH(E30+6)))</f>
        <v/>
      </c>
      <c r="R30" s="22">
        <f>IFERROR(K30/P30, 0)</f>
        <v/>
      </c>
      <c r="S30" s="38">
        <f>IFERROR(N30/P30,0)</f>
        <v/>
      </c>
      <c r="T30" s="31">
        <f>IFERROR(IF(N30&gt;0,(N30/K30),MIN(1,M30/J30)),0)</f>
        <v/>
      </c>
      <c r="U30" s="32" t="n"/>
    </row>
    <row r="31" hidden="1" s="40">
      <c r="A31" s="23" t="inlineStr">
        <is>
          <t>Semana 2 - janeiro</t>
        </is>
      </c>
      <c r="B31" s="27">
        <f>YEAR(E31)</f>
        <v/>
      </c>
      <c r="C31" s="18">
        <f>INDEX({"Janeiro";"Fevereiro";"Março";"Abril";"Maio";"Junho";"Julho";"Agosto";"Setembro";"Outubro";"Novembro";"Dezembro"},Q31)</f>
        <v/>
      </c>
      <c r="D31" s="24" t="n">
        <v>2</v>
      </c>
      <c r="E31" s="25" t="n">
        <v>46026</v>
      </c>
      <c r="F31" s="23" t="inlineStr">
        <is>
          <t>Iogurte Vida Leve Ameixa c/ Grãos 500g</t>
        </is>
      </c>
      <c r="G31" s="23" t="inlineStr">
        <is>
          <t>IOGURTE</t>
        </is>
      </c>
      <c r="H31" s="26" t="n">
        <v>0.5</v>
      </c>
      <c r="I31" s="36" t="n">
        <v>0</v>
      </c>
      <c r="J31" s="21">
        <f>I31*H31</f>
        <v/>
      </c>
      <c r="K31" s="21">
        <f>IFERROR(IF(J31/P31&gt;1,P31,J31),0)</f>
        <v/>
      </c>
      <c r="L31" s="36" t="n">
        <v>1322</v>
      </c>
      <c r="M31" s="21">
        <f>L31*H31</f>
        <v/>
      </c>
      <c r="N31" s="21">
        <f>IFERROR(IF(M31/K31&gt;1,K31,M31),0)</f>
        <v/>
      </c>
      <c r="O31" s="36" t="n">
        <v>1300</v>
      </c>
      <c r="P31" s="21">
        <f>O31*H31</f>
        <v/>
      </c>
      <c r="Q31" s="30">
        <f>IF(MONTH(E31+1)=MONTH(E31+6),MONTH(E31+1),IF(MIN(EOMONTH(E31+1,0),E31+6)-(E31+1)+1&gt;=3,MONTH(E31+1),MONTH(E31+6)))</f>
        <v/>
      </c>
      <c r="R31" s="22">
        <f>IFERROR(K31/P31, 0)</f>
        <v/>
      </c>
      <c r="S31" s="38">
        <f>IFERROR(N31/P31,0)</f>
        <v/>
      </c>
      <c r="T31" s="31">
        <f>IFERROR(IF(N31&gt;0,(N31/K31),MIN(1,M31/J31)),0)</f>
        <v/>
      </c>
      <c r="U31" s="32" t="n"/>
    </row>
    <row r="32" hidden="1" s="40">
      <c r="A32" s="18" t="inlineStr">
        <is>
          <t>Semana 2 - janeiro</t>
        </is>
      </c>
      <c r="B32" s="27">
        <f>YEAR(E32)</f>
        <v/>
      </c>
      <c r="C32" s="18">
        <f>INDEX({"Janeiro";"Fevereiro";"Março";"Abril";"Maio";"Junho";"Julho";"Agosto";"Setembro";"Outubro";"Novembro";"Dezembro"},Q32)</f>
        <v/>
      </c>
      <c r="D32" s="19" t="n">
        <v>2</v>
      </c>
      <c r="E32" s="20" t="n">
        <v>46026</v>
      </c>
      <c r="F32" s="18" t="inlineStr">
        <is>
          <t>Iogurte Vida Leve Morango 180g</t>
        </is>
      </c>
      <c r="G32" s="18" t="inlineStr">
        <is>
          <t>IOGURTE</t>
        </is>
      </c>
      <c r="H32" s="21" t="n">
        <v>0.185</v>
      </c>
      <c r="I32" s="36" t="n">
        <v>0</v>
      </c>
      <c r="J32" s="21">
        <f>I32*H32</f>
        <v/>
      </c>
      <c r="K32" s="21">
        <f>IFERROR(IF(J32/P32&gt;1,P32,J32),0)</f>
        <v/>
      </c>
      <c r="L32" s="36" t="n">
        <v>1541</v>
      </c>
      <c r="M32" s="21">
        <f>L32*H32</f>
        <v/>
      </c>
      <c r="N32" s="21">
        <f>IFERROR(IF(M32/K32&gt;1,K32,M32),0)</f>
        <v/>
      </c>
      <c r="O32" s="36" t="n">
        <v>1800</v>
      </c>
      <c r="P32" s="21">
        <f>O32*H32</f>
        <v/>
      </c>
      <c r="Q32" s="30">
        <f>IF(MONTH(E32+1)=MONTH(E32+6),MONTH(E32+1),IF(MIN(EOMONTH(E32+1,0),E32+6)-(E32+1)+1&gt;=3,MONTH(E32+1),MONTH(E32+6)))</f>
        <v/>
      </c>
      <c r="R32" s="22">
        <f>IFERROR(K32/P32, 0)</f>
        <v/>
      </c>
      <c r="S32" s="38">
        <f>IFERROR(N32/P32,0)</f>
        <v/>
      </c>
      <c r="T32" s="31">
        <f>IFERROR(IF(N32&gt;0,(N32/K32),MIN(1,M32/J32)),0)</f>
        <v/>
      </c>
      <c r="U32" s="32" t="n"/>
    </row>
    <row r="33" hidden="1" s="40">
      <c r="A33" s="23" t="inlineStr">
        <is>
          <t>Semana 2 - janeiro</t>
        </is>
      </c>
      <c r="B33" s="27">
        <f>YEAR(E33)</f>
        <v/>
      </c>
      <c r="C33" s="18">
        <f>INDEX({"Janeiro";"Fevereiro";"Março";"Abril";"Maio";"Junho";"Julho";"Agosto";"Setembro";"Outubro";"Novembro";"Dezembro"},Q33)</f>
        <v/>
      </c>
      <c r="D33" s="24" t="n">
        <v>2</v>
      </c>
      <c r="E33" s="25" t="n">
        <v>46026</v>
      </c>
      <c r="F33" s="23" t="inlineStr">
        <is>
          <t>Iogurte Vida Leve Morango 500g</t>
        </is>
      </c>
      <c r="G33" s="23" t="inlineStr">
        <is>
          <t>IOGURTE</t>
        </is>
      </c>
      <c r="H33" s="26" t="n">
        <v>0.5</v>
      </c>
      <c r="I33" s="36" t="n">
        <v>0</v>
      </c>
      <c r="J33" s="21">
        <f>I33*H33</f>
        <v/>
      </c>
      <c r="K33" s="21">
        <f>IFERROR(IF(J33/P33&gt;1,P33,J33),0)</f>
        <v/>
      </c>
      <c r="L33" s="36" t="n">
        <v>2340</v>
      </c>
      <c r="M33" s="21">
        <f>L33*H33</f>
        <v/>
      </c>
      <c r="N33" s="21">
        <f>IFERROR(IF(M33/K33&gt;1,K33,M33),0)</f>
        <v/>
      </c>
      <c r="O33" s="36" t="n">
        <v>2500</v>
      </c>
      <c r="P33" s="21">
        <f>O33*H33</f>
        <v/>
      </c>
      <c r="Q33" s="30">
        <f>IF(MONTH(E33+1)=MONTH(E33+6),MONTH(E33+1),IF(MIN(EOMONTH(E33+1,0),E33+6)-(E33+1)+1&gt;=3,MONTH(E33+1),MONTH(E33+6)))</f>
        <v/>
      </c>
      <c r="R33" s="22">
        <f>IFERROR(K33/P33, 0)</f>
        <v/>
      </c>
      <c r="S33" s="38">
        <f>IFERROR(N33/P33,0)</f>
        <v/>
      </c>
      <c r="T33" s="31">
        <f>IFERROR(IF(N33&gt;0,(N33/K33),MIN(1,M33/J33)),0)</f>
        <v/>
      </c>
      <c r="U33" s="32" t="n"/>
    </row>
    <row r="34" hidden="1" s="40">
      <c r="A34" s="18" t="inlineStr">
        <is>
          <t>Semana 2 - janeiro</t>
        </is>
      </c>
      <c r="B34" s="27">
        <f>YEAR(E34)</f>
        <v/>
      </c>
      <c r="C34" s="18">
        <f>INDEX({"Janeiro";"Fevereiro";"Março";"Abril";"Maio";"Junho";"Julho";"Agosto";"Setembro";"Outubro";"Novembro";"Dezembro"},Q34)</f>
        <v/>
      </c>
      <c r="D34" s="19" t="n">
        <v>2</v>
      </c>
      <c r="E34" s="20" t="n">
        <v>46026</v>
      </c>
      <c r="F34" s="18" t="inlineStr">
        <is>
          <t>LEITE PASTEURIZADO VIÇOSA DESNATADO</t>
        </is>
      </c>
      <c r="G34" s="18" t="inlineStr">
        <is>
          <t>LEITE PAST.</t>
        </is>
      </c>
      <c r="H34" s="21" t="n">
        <v>1</v>
      </c>
      <c r="I34" s="36" t="n">
        <v>680</v>
      </c>
      <c r="J34" s="21">
        <f>I34*H34</f>
        <v/>
      </c>
      <c r="K34" s="21">
        <f>IFERROR(IF(J34/P34&gt;1,P34,J34),0)</f>
        <v/>
      </c>
      <c r="L34" s="36" t="n">
        <v>680</v>
      </c>
      <c r="M34" s="21">
        <f>L34*H34</f>
        <v/>
      </c>
      <c r="N34" s="21">
        <f>IFERROR(IF(M34/K34&gt;1,K34,M34),0)</f>
        <v/>
      </c>
      <c r="O34" s="36" t="n">
        <v>680</v>
      </c>
      <c r="P34" s="21">
        <f>O34*H34</f>
        <v/>
      </c>
      <c r="Q34" s="30">
        <f>IF(MONTH(E34+1)=MONTH(E34+6),MONTH(E34+1),IF(MIN(EOMONTH(E34+1,0),E34+6)-(E34+1)+1&gt;=3,MONTH(E34+1),MONTH(E34+6)))</f>
        <v/>
      </c>
      <c r="R34" s="22">
        <f>IFERROR(K34/P34, 0)</f>
        <v/>
      </c>
      <c r="S34" s="38">
        <f>IFERROR(N34/P34,0)</f>
        <v/>
      </c>
      <c r="T34" s="31">
        <f>IFERROR(IF(N34&gt;0,(N34/K34),MIN(1,M34/J34)),0)</f>
        <v/>
      </c>
      <c r="U34" s="32" t="n"/>
    </row>
    <row r="35" hidden="1" s="40">
      <c r="A35" s="23" t="inlineStr">
        <is>
          <t>Semana 2 - janeiro</t>
        </is>
      </c>
      <c r="B35" s="27">
        <f>YEAR(E35)</f>
        <v/>
      </c>
      <c r="C35" s="18">
        <f>INDEX({"Janeiro";"Fevereiro";"Março";"Abril";"Maio";"Junho";"Julho";"Agosto";"Setembro";"Outubro";"Novembro";"Dezembro"},Q35)</f>
        <v/>
      </c>
      <c r="D35" s="24" t="n">
        <v>2</v>
      </c>
      <c r="E35" s="25" t="n">
        <v>46026</v>
      </c>
      <c r="F35" s="23" t="inlineStr">
        <is>
          <t>LEITE PASTEURIZADO VIÇOSA INTEGRAL</t>
        </is>
      </c>
      <c r="G35" s="23" t="inlineStr">
        <is>
          <t>LEITE PAST.</t>
        </is>
      </c>
      <c r="H35" s="26" t="n">
        <v>1</v>
      </c>
      <c r="I35" s="36" t="n">
        <v>17705</v>
      </c>
      <c r="J35" s="21">
        <f>I35*H35</f>
        <v/>
      </c>
      <c r="K35" s="21">
        <f>IFERROR(IF(J35/P35&gt;1,P35,J35),0)</f>
        <v/>
      </c>
      <c r="L35" s="36" t="n">
        <v>17705</v>
      </c>
      <c r="M35" s="21">
        <f>L35*H35</f>
        <v/>
      </c>
      <c r="N35" s="21">
        <f>IFERROR(IF(M35/K35&gt;1,K35,M35),0)</f>
        <v/>
      </c>
      <c r="O35" s="36" t="n">
        <v>17705</v>
      </c>
      <c r="P35" s="21">
        <f>O35*H35</f>
        <v/>
      </c>
      <c r="Q35" s="30">
        <f>IF(MONTH(E35+1)=MONTH(E35+6),MONTH(E35+1),IF(MIN(EOMONTH(E35+1,0),E35+6)-(E35+1)+1&gt;=3,MONTH(E35+1),MONTH(E35+6)))</f>
        <v/>
      </c>
      <c r="R35" s="22">
        <f>IFERROR(K35/P35, 0)</f>
        <v/>
      </c>
      <c r="S35" s="38">
        <f>IFERROR(N35/P35,0)</f>
        <v/>
      </c>
      <c r="T35" s="31">
        <f>IFERROR(IF(N35&gt;0,(N35/K35),MIN(1,M35/J35)),0)</f>
        <v/>
      </c>
      <c r="U35" s="32" t="n"/>
    </row>
    <row r="36" hidden="1" s="40">
      <c r="A36" s="18" t="inlineStr">
        <is>
          <t>Semana 2 - janeiro</t>
        </is>
      </c>
      <c r="B36" s="27">
        <f>YEAR(E36)</f>
        <v/>
      </c>
      <c r="C36" s="18">
        <f>INDEX({"Janeiro";"Fevereiro";"Março";"Abril";"Maio";"Junho";"Julho";"Agosto";"Setembro";"Outubro";"Novembro";"Dezembro"},Q36)</f>
        <v/>
      </c>
      <c r="D36" s="19" t="n">
        <v>2</v>
      </c>
      <c r="E36" s="20" t="n">
        <v>46026</v>
      </c>
      <c r="F36" s="18" t="inlineStr">
        <is>
          <t>LEITE PASTEURIZADO VIÇOSA ZERO LACTOSE INTEGRAL 1 L</t>
        </is>
      </c>
      <c r="G36" s="18" t="inlineStr">
        <is>
          <t>LEITE PAST.</t>
        </is>
      </c>
      <c r="H36" s="21" t="n">
        <v>1</v>
      </c>
      <c r="I36" s="36" t="n">
        <v>730</v>
      </c>
      <c r="J36" s="21">
        <f>I36*H36</f>
        <v/>
      </c>
      <c r="K36" s="21">
        <f>IFERROR(IF(J36/P36&gt;1,P36,J36),0)</f>
        <v/>
      </c>
      <c r="L36" s="36" t="n">
        <v>730</v>
      </c>
      <c r="M36" s="21">
        <f>L36*H36</f>
        <v/>
      </c>
      <c r="N36" s="21">
        <f>IFERROR(IF(M36/K36&gt;1,K36,M36),0)</f>
        <v/>
      </c>
      <c r="O36" s="36" t="n">
        <v>730</v>
      </c>
      <c r="P36" s="21">
        <f>O36*H36</f>
        <v/>
      </c>
      <c r="Q36" s="30">
        <f>IF(MONTH(E36+1)=MONTH(E36+6),MONTH(E36+1),IF(MIN(EOMONTH(E36+1,0),E36+6)-(E36+1)+1&gt;=3,MONTH(E36+1),MONTH(E36+6)))</f>
        <v/>
      </c>
      <c r="R36" s="22">
        <f>IFERROR(K36/P36, 0)</f>
        <v/>
      </c>
      <c r="S36" s="38">
        <f>IFERROR(N36/P36,0)</f>
        <v/>
      </c>
      <c r="T36" s="31">
        <f>IFERROR(IF(N36&gt;0,(N36/K36),MIN(1,M36/J36)),0)</f>
        <v/>
      </c>
      <c r="U36" s="32" t="n"/>
    </row>
    <row r="37" hidden="1" s="40">
      <c r="A37" s="23" t="inlineStr">
        <is>
          <t>Semana 2 - janeiro</t>
        </is>
      </c>
      <c r="B37" s="27">
        <f>YEAR(E37)</f>
        <v/>
      </c>
      <c r="C37" s="18">
        <f>INDEX({"Janeiro";"Fevereiro";"Março";"Abril";"Maio";"Junho";"Julho";"Agosto";"Setembro";"Outubro";"Novembro";"Dezembro"},Q37)</f>
        <v/>
      </c>
      <c r="D37" s="24" t="n">
        <v>2</v>
      </c>
      <c r="E37" s="25" t="n">
        <v>46026</v>
      </c>
      <c r="F37" s="23" t="inlineStr">
        <is>
          <t>Manteiga 200g</t>
        </is>
      </c>
      <c r="G37" s="23" t="inlineStr">
        <is>
          <t>MANTEIGA</t>
        </is>
      </c>
      <c r="H37" s="26" t="n">
        <v>0.2</v>
      </c>
      <c r="I37" s="36" t="n">
        <v>3750</v>
      </c>
      <c r="J37" s="21">
        <f>I37*H37</f>
        <v/>
      </c>
      <c r="K37" s="21">
        <f>IFERROR(IF(J37/P37&gt;1,P37,J37),0)</f>
        <v/>
      </c>
      <c r="L37" s="36" t="n">
        <v>3530</v>
      </c>
      <c r="M37" s="21">
        <f>L37*H37</f>
        <v/>
      </c>
      <c r="N37" s="21">
        <f>IFERROR(IF(M37/K37&gt;1,K37,M37),0)</f>
        <v/>
      </c>
      <c r="O37" s="36" t="n">
        <v>2500</v>
      </c>
      <c r="P37" s="21">
        <f>O37*H37</f>
        <v/>
      </c>
      <c r="Q37" s="30">
        <f>IF(MONTH(E37+1)=MONTH(E37+6),MONTH(E37+1),IF(MIN(EOMONTH(E37+1,0),E37+6)-(E37+1)+1&gt;=3,MONTH(E37+1),MONTH(E37+6)))</f>
        <v/>
      </c>
      <c r="R37" s="22">
        <f>IFERROR(K37/P37, 0)</f>
        <v/>
      </c>
      <c r="S37" s="38">
        <f>IFERROR(N37/P37,0)</f>
        <v/>
      </c>
      <c r="T37" s="31">
        <f>IFERROR(IF(N37&gt;0,(N37/K37),MIN(1,M37/J37)),0)</f>
        <v/>
      </c>
      <c r="U37" s="32" t="n"/>
    </row>
    <row r="38" hidden="1" s="40">
      <c r="A38" s="18" t="inlineStr">
        <is>
          <t>Semana 2 - janeiro</t>
        </is>
      </c>
      <c r="B38" s="27">
        <f>YEAR(E38)</f>
        <v/>
      </c>
      <c r="C38" s="18">
        <f>INDEX({"Janeiro";"Fevereiro";"Março";"Abril";"Maio";"Junho";"Julho";"Agosto";"Setembro";"Outubro";"Novembro";"Dezembro"},Q38)</f>
        <v/>
      </c>
      <c r="D38" s="19" t="n">
        <v>2</v>
      </c>
      <c r="E38" s="20" t="n">
        <v>46026</v>
      </c>
      <c r="F38" s="18" t="inlineStr">
        <is>
          <t>Manteiga 500g</t>
        </is>
      </c>
      <c r="G38" s="18" t="inlineStr">
        <is>
          <t>MANTEIGA</t>
        </is>
      </c>
      <c r="H38" s="21" t="n">
        <v>0.5</v>
      </c>
      <c r="I38" s="36" t="n">
        <v>1650</v>
      </c>
      <c r="J38" s="21">
        <f>I38*H38</f>
        <v/>
      </c>
      <c r="K38" s="21">
        <f>IFERROR(IF(J38/P38&gt;1,P38,J38),0)</f>
        <v/>
      </c>
      <c r="L38" s="36" t="n">
        <v>1554</v>
      </c>
      <c r="M38" s="21">
        <f>L38*H38</f>
        <v/>
      </c>
      <c r="N38" s="21">
        <f>IFERROR(IF(M38/K38&gt;1,K38,M38),0)</f>
        <v/>
      </c>
      <c r="O38" s="36" t="n">
        <v>1100</v>
      </c>
      <c r="P38" s="21">
        <f>O38*H38</f>
        <v/>
      </c>
      <c r="Q38" s="30">
        <f>IF(MONTH(E38+1)=MONTH(E38+6),MONTH(E38+1),IF(MIN(EOMONTH(E38+1,0),E38+6)-(E38+1)+1&gt;=3,MONTH(E38+1),MONTH(E38+6)))</f>
        <v/>
      </c>
      <c r="R38" s="22">
        <f>IFERROR(K38/P38, 0)</f>
        <v/>
      </c>
      <c r="S38" s="38">
        <f>IFERROR(N38/P38,0)</f>
        <v/>
      </c>
      <c r="T38" s="31">
        <f>IFERROR(IF(N38&gt;0,(N38/K38),MIN(1,M38/J38)),0)</f>
        <v/>
      </c>
      <c r="U38" s="32" t="n"/>
    </row>
    <row r="39" hidden="1" s="40">
      <c r="A39" s="23" t="inlineStr">
        <is>
          <t>Semana 2 - janeiro</t>
        </is>
      </c>
      <c r="B39" s="27">
        <f>YEAR(E39)</f>
        <v/>
      </c>
      <c r="C39" s="18">
        <f>INDEX({"Janeiro";"Fevereiro";"Março";"Abril";"Maio";"Junho";"Julho";"Agosto";"Setembro";"Outubro";"Novembro";"Dezembro"},Q39)</f>
        <v/>
      </c>
      <c r="D39" s="24" t="n">
        <v>2</v>
      </c>
      <c r="E39" s="25" t="n">
        <v>46026</v>
      </c>
      <c r="F39" s="23" t="inlineStr">
        <is>
          <t>QUEIJO MINAS MEIA CURA (FRACIONADO)</t>
        </is>
      </c>
      <c r="G39" s="23" t="inlineStr">
        <is>
          <t>QUEIJO</t>
        </is>
      </c>
      <c r="H39" s="26" t="n">
        <v>1</v>
      </c>
      <c r="I39" s="36" t="n">
        <v>70</v>
      </c>
      <c r="J39" s="21">
        <f>I39*H39</f>
        <v/>
      </c>
      <c r="K39" s="21">
        <f>IFERROR(IF(J39/P39&gt;1,P39,J39),0)</f>
        <v/>
      </c>
      <c r="L39" s="36" t="n">
        <v>174.88</v>
      </c>
      <c r="M39" s="21">
        <f>L39*H39</f>
        <v/>
      </c>
      <c r="N39" s="21">
        <f>IFERROR(IF(M39/K39&gt;1,K39,M39),0)</f>
        <v/>
      </c>
      <c r="O39" s="36" t="n">
        <v>200</v>
      </c>
      <c r="P39" s="21">
        <f>O39*H39</f>
        <v/>
      </c>
      <c r="Q39" s="30">
        <f>IF(MONTH(E39+1)=MONTH(E39+6),MONTH(E39+1),IF(MIN(EOMONTH(E39+1,0),E39+6)-(E39+1)+1&gt;=3,MONTH(E39+1),MONTH(E39+6)))</f>
        <v/>
      </c>
      <c r="R39" s="22">
        <f>IFERROR(K39/P39, 0)</f>
        <v/>
      </c>
      <c r="S39" s="38">
        <f>IFERROR(N39/P39,0)</f>
        <v/>
      </c>
      <c r="T39" s="31">
        <f>IFERROR(IF(N39&gt;0,(N39/K39),MIN(1,M39/J39)),0)</f>
        <v/>
      </c>
      <c r="U39" s="32" t="n"/>
    </row>
    <row r="40" hidden="1" s="40">
      <c r="A40" s="18" t="inlineStr">
        <is>
          <t>Semana 2 - janeiro</t>
        </is>
      </c>
      <c r="B40" s="27">
        <f>YEAR(E40)</f>
        <v/>
      </c>
      <c r="C40" s="18">
        <f>INDEX({"Janeiro";"Fevereiro";"Março";"Abril";"Maio";"Junho";"Julho";"Agosto";"Setembro";"Outubro";"Novembro";"Dezembro"},Q40)</f>
        <v/>
      </c>
      <c r="D40" s="19" t="n">
        <v>2</v>
      </c>
      <c r="E40" s="20" t="n">
        <v>46026</v>
      </c>
      <c r="F40" s="18" t="inlineStr">
        <is>
          <t>QUEIJO MINAS MEIA CURA (INTEIRO)</t>
        </is>
      </c>
      <c r="G40" s="18" t="inlineStr">
        <is>
          <t>QUEIJO</t>
        </is>
      </c>
      <c r="H40" s="21" t="n">
        <v>1</v>
      </c>
      <c r="I40" s="36" t="n">
        <v>400</v>
      </c>
      <c r="J40" s="21">
        <f>I40*H40</f>
        <v/>
      </c>
      <c r="K40" s="21">
        <f>IFERROR(IF(J40/P40&gt;1,P40,J40),0)</f>
        <v/>
      </c>
      <c r="L40" s="36" t="n">
        <v>0</v>
      </c>
      <c r="M40" s="21">
        <f>L40*H40</f>
        <v/>
      </c>
      <c r="N40" s="21">
        <f>IFERROR(IF(M40/K40&gt;1,K40,M40),0)</f>
        <v/>
      </c>
      <c r="O40" s="36" t="n">
        <v>0</v>
      </c>
      <c r="P40" s="21">
        <f>O40*H40</f>
        <v/>
      </c>
      <c r="Q40" s="30">
        <f>IF(MONTH(E40+1)=MONTH(E40+6),MONTH(E40+1),IF(MIN(EOMONTH(E40+1,0),E40+6)-(E40+1)+1&gt;=3,MONTH(E40+1),MONTH(E40+6)))</f>
        <v/>
      </c>
      <c r="R40" s="22">
        <f>IFERROR(K40/P40, 0)</f>
        <v/>
      </c>
      <c r="S40" s="38">
        <f>IFERROR(N40/P40,0)</f>
        <v/>
      </c>
      <c r="T40" s="31">
        <f>IFERROR(IF(N40&gt;0,(N40/K40),MIN(1,M40/J40)),0)</f>
        <v/>
      </c>
      <c r="U40" s="32" t="n"/>
    </row>
    <row r="41" hidden="1" s="40">
      <c r="A41" s="23" t="inlineStr">
        <is>
          <t>Semana 2 - janeiro</t>
        </is>
      </c>
      <c r="B41" s="27">
        <f>YEAR(E41)</f>
        <v/>
      </c>
      <c r="C41" s="18">
        <f>INDEX({"Janeiro";"Fevereiro";"Março";"Abril";"Maio";"Junho";"Julho";"Agosto";"Setembro";"Outubro";"Novembro";"Dezembro"},Q41)</f>
        <v/>
      </c>
      <c r="D41" s="24" t="n">
        <v>2</v>
      </c>
      <c r="E41" s="25" t="n">
        <v>46026</v>
      </c>
      <c r="F41" s="23" t="inlineStr">
        <is>
          <t xml:space="preserve">QUEIJO MINAS PADRÃO VIÇOSA FRACIONADO </t>
        </is>
      </c>
      <c r="G41" s="23" t="inlineStr">
        <is>
          <t>QUEIJO</t>
        </is>
      </c>
      <c r="H41" s="26" t="n">
        <v>1</v>
      </c>
      <c r="I41" s="36" t="n">
        <v>130</v>
      </c>
      <c r="J41" s="21">
        <f>I41*H41</f>
        <v/>
      </c>
      <c r="K41" s="21">
        <f>IFERROR(IF(J41/P41&gt;1,P41,J41),0)</f>
        <v/>
      </c>
      <c r="L41" s="36" t="n">
        <v>596.47</v>
      </c>
      <c r="M41" s="21">
        <f>L41*H41</f>
        <v/>
      </c>
      <c r="N41" s="21">
        <f>IFERROR(IF(M41/K41&gt;1,K41,M41),0)</f>
        <v/>
      </c>
      <c r="O41" s="36" t="n">
        <v>400</v>
      </c>
      <c r="P41" s="21">
        <f>O41*H41</f>
        <v/>
      </c>
      <c r="Q41" s="30">
        <f>IF(MONTH(E41+1)=MONTH(E41+6),MONTH(E41+1),IF(MIN(EOMONTH(E41+1,0),E41+6)-(E41+1)+1&gt;=3,MONTH(E41+1),MONTH(E41+6)))</f>
        <v/>
      </c>
      <c r="R41" s="22">
        <f>IFERROR(K41/P41, 0)</f>
        <v/>
      </c>
      <c r="S41" s="38">
        <f>IFERROR(N41/P41,0)</f>
        <v/>
      </c>
      <c r="T41" s="31">
        <f>IFERROR(IF(N41&gt;0,(N41/K41),MIN(1,M41/J41)),0)</f>
        <v/>
      </c>
      <c r="U41" s="32" t="n"/>
    </row>
    <row r="42" hidden="1" s="40">
      <c r="A42" s="18" t="inlineStr">
        <is>
          <t>Semana 2 - janeiro</t>
        </is>
      </c>
      <c r="B42" s="27">
        <f>YEAR(E42)</f>
        <v/>
      </c>
      <c r="C42" s="18">
        <f>INDEX({"Janeiro";"Fevereiro";"Março";"Abril";"Maio";"Junho";"Julho";"Agosto";"Setembro";"Outubro";"Novembro";"Dezembro"},Q42)</f>
        <v/>
      </c>
      <c r="D42" s="19" t="n">
        <v>2</v>
      </c>
      <c r="E42" s="20" t="n">
        <v>46026</v>
      </c>
      <c r="F42" s="18" t="inlineStr">
        <is>
          <t>QUEIJO MUSSARELA 3KG</t>
        </is>
      </c>
      <c r="G42" s="18" t="inlineStr">
        <is>
          <t>QUEIJO</t>
        </is>
      </c>
      <c r="H42" s="21" t="n">
        <v>1</v>
      </c>
      <c r="I42" s="36" t="n">
        <v>800</v>
      </c>
      <c r="J42" s="21">
        <f>I42*H42</f>
        <v/>
      </c>
      <c r="K42" s="21">
        <f>IFERROR(IF(J42/P42&gt;1,P42,J42),0)</f>
        <v/>
      </c>
      <c r="L42" s="36" t="n">
        <v>1275.65</v>
      </c>
      <c r="M42" s="21">
        <f>L42*H42</f>
        <v/>
      </c>
      <c r="N42" s="21">
        <f>IFERROR(IF(M42/K42&gt;1,K42,M42),0)</f>
        <v/>
      </c>
      <c r="O42" s="36" t="n">
        <v>1500</v>
      </c>
      <c r="P42" s="21">
        <f>O42*H42</f>
        <v/>
      </c>
      <c r="Q42" s="30">
        <f>IF(MONTH(E42+1)=MONTH(E42+6),MONTH(E42+1),IF(MIN(EOMONTH(E42+1,0),E42+6)-(E42+1)+1&gt;=3,MONTH(E42+1),MONTH(E42+6)))</f>
        <v/>
      </c>
      <c r="R42" s="22">
        <f>IFERROR(K42/P42, 0)</f>
        <v/>
      </c>
      <c r="S42" s="38">
        <f>IFERROR(N42/P42,0)</f>
        <v/>
      </c>
      <c r="T42" s="31">
        <f>IFERROR(IF(N42&gt;0,(N42/K42),MIN(1,M42/J42)),0)</f>
        <v/>
      </c>
      <c r="U42" s="32" t="n"/>
    </row>
    <row r="43" hidden="1" s="40">
      <c r="A43" s="23" t="inlineStr">
        <is>
          <t>Semana 2 - janeiro</t>
        </is>
      </c>
      <c r="B43" s="27">
        <f>YEAR(E43)</f>
        <v/>
      </c>
      <c r="C43" s="18">
        <f>INDEX({"Janeiro";"Fevereiro";"Março";"Abril";"Maio";"Junho";"Julho";"Agosto";"Setembro";"Outubro";"Novembro";"Dezembro"},Q43)</f>
        <v/>
      </c>
      <c r="D43" s="24" t="n">
        <v>2</v>
      </c>
      <c r="E43" s="25" t="n">
        <v>46026</v>
      </c>
      <c r="F43" s="23" t="inlineStr">
        <is>
          <t>QUEIJO MUSSARELA LANCHE</t>
        </is>
      </c>
      <c r="G43" s="23" t="inlineStr">
        <is>
          <t>QUEIJO</t>
        </is>
      </c>
      <c r="H43" s="26" t="n">
        <v>1</v>
      </c>
      <c r="I43" s="36" t="n">
        <v>200</v>
      </c>
      <c r="J43" s="21">
        <f>I43*H43</f>
        <v/>
      </c>
      <c r="K43" s="21">
        <f>IFERROR(IF(J43/P43&gt;1,P43,J43),0)</f>
        <v/>
      </c>
      <c r="L43" s="36" t="n">
        <v>202</v>
      </c>
      <c r="M43" s="21">
        <f>L43*H43</f>
        <v/>
      </c>
      <c r="N43" s="21">
        <f>IFERROR(IF(M43/K43&gt;1,K43,M43),0)</f>
        <v/>
      </c>
      <c r="O43" s="36" t="n">
        <v>0</v>
      </c>
      <c r="P43" s="21">
        <f>O43*H43</f>
        <v/>
      </c>
      <c r="Q43" s="30">
        <f>IF(MONTH(E43+1)=MONTH(E43+6),MONTH(E43+1),IF(MIN(EOMONTH(E43+1,0),E43+6)-(E43+1)+1&gt;=3,MONTH(E43+1),MONTH(E43+6)))</f>
        <v/>
      </c>
      <c r="R43" s="22">
        <f>IFERROR(K43/P43, 0)</f>
        <v/>
      </c>
      <c r="S43" s="38">
        <f>IFERROR(N43/P43,0)</f>
        <v/>
      </c>
      <c r="T43" s="31">
        <f>IFERROR(IF(N43&gt;0,(N43/K43),MIN(1,M43/J43)),0)</f>
        <v/>
      </c>
      <c r="U43" s="32" t="n"/>
      <c r="V43" s="8" t="n"/>
    </row>
    <row r="44" hidden="1" s="40">
      <c r="A44" s="18" t="inlineStr">
        <is>
          <t>Semana 2 - janeiro</t>
        </is>
      </c>
      <c r="B44" s="27">
        <f>YEAR(E44)</f>
        <v/>
      </c>
      <c r="C44" s="18">
        <f>INDEX({"Janeiro";"Fevereiro";"Março";"Abril";"Maio";"Junho";"Julho";"Agosto";"Setembro";"Outubro";"Novembro";"Dezembro"},Q44)</f>
        <v/>
      </c>
      <c r="D44" s="19" t="n">
        <v>2</v>
      </c>
      <c r="E44" s="20" t="n">
        <v>46026</v>
      </c>
      <c r="F44" s="18" t="inlineStr">
        <is>
          <t>REQUEIJÃO VIÇOSA 200g</t>
        </is>
      </c>
      <c r="G44" s="18" t="inlineStr">
        <is>
          <t>REQUEIJÃO</t>
        </is>
      </c>
      <c r="H44" s="21" t="n">
        <v>0.2</v>
      </c>
      <c r="I44" s="36" t="n">
        <v>1500</v>
      </c>
      <c r="J44" s="21">
        <f>I44*H44</f>
        <v/>
      </c>
      <c r="K44" s="21">
        <f>IFERROR(IF(J44/P44&gt;1,P44,J44),0)</f>
        <v/>
      </c>
      <c r="L44" s="36" t="n">
        <v>2900</v>
      </c>
      <c r="M44" s="21">
        <f>L44*H44</f>
        <v/>
      </c>
      <c r="N44" s="21">
        <f>IFERROR(IF(M44/K44&gt;1,K44,M44),0)</f>
        <v/>
      </c>
      <c r="O44" s="36" t="n">
        <v>4800</v>
      </c>
      <c r="P44" s="21">
        <f>O44*H44</f>
        <v/>
      </c>
      <c r="Q44" s="30">
        <f>IF(MONTH(E44+1)=MONTH(E44+6),MONTH(E44+1),IF(MIN(EOMONTH(E44+1,0),E44+6)-(E44+1)+1&gt;=3,MONTH(E44+1),MONTH(E44+6)))</f>
        <v/>
      </c>
      <c r="R44" s="22">
        <f>IFERROR(K44/P44, 0)</f>
        <v/>
      </c>
      <c r="S44" s="38">
        <f>IFERROR(N44/P44,0)</f>
        <v/>
      </c>
      <c r="T44" s="31">
        <f>IFERROR(IF(N44&gt;0,(N44/K44),MIN(1,M44/J44)),0)</f>
        <v/>
      </c>
      <c r="U44" s="32" t="n"/>
    </row>
    <row r="45" hidden="1" s="40">
      <c r="A45" s="23" t="inlineStr">
        <is>
          <t>Semana 2 - janeiro</t>
        </is>
      </c>
      <c r="B45" s="27">
        <f>YEAR(E45)</f>
        <v/>
      </c>
      <c r="C45" s="18">
        <f>INDEX({"Janeiro";"Fevereiro";"Março";"Abril";"Maio";"Junho";"Julho";"Agosto";"Setembro";"Outubro";"Novembro";"Dezembro"},Q45)</f>
        <v/>
      </c>
      <c r="D45" s="24" t="n">
        <v>2</v>
      </c>
      <c r="E45" s="25" t="n">
        <v>46026</v>
      </c>
      <c r="F45" s="23" t="inlineStr">
        <is>
          <t>REQUEIJÃO VIÇOSA 400g</t>
        </is>
      </c>
      <c r="G45" s="23" t="inlineStr">
        <is>
          <t>REQUEIJÃO</t>
        </is>
      </c>
      <c r="H45" s="26" t="n">
        <v>0.4</v>
      </c>
      <c r="I45" s="36" t="n">
        <v>2800</v>
      </c>
      <c r="J45" s="21">
        <f>I45*H45</f>
        <v/>
      </c>
      <c r="K45" s="21">
        <f>IFERROR(IF(J45/P45&gt;1,P45,J45),0)</f>
        <v/>
      </c>
      <c r="L45" s="36" t="n">
        <v>4772</v>
      </c>
      <c r="M45" s="21">
        <f>L45*H45</f>
        <v/>
      </c>
      <c r="N45" s="21">
        <f>IFERROR(IF(M45/K45&gt;1,K45,M45),0)</f>
        <v/>
      </c>
      <c r="O45" s="36" t="n">
        <v>3200</v>
      </c>
      <c r="P45" s="21">
        <f>O45*H45</f>
        <v/>
      </c>
      <c r="Q45" s="30">
        <f>IF(MONTH(E45+1)=MONTH(E45+6),MONTH(E45+1),IF(MIN(EOMONTH(E45+1,0),E45+6)-(E45+1)+1&gt;=3,MONTH(E45+1),MONTH(E45+6)))</f>
        <v/>
      </c>
      <c r="R45" s="22">
        <f>IFERROR(K45/P45, 0)</f>
        <v/>
      </c>
      <c r="S45" s="38">
        <f>IFERROR(N45/P45,0)</f>
        <v/>
      </c>
      <c r="T45" s="31">
        <f>IFERROR(IF(N45&gt;0,(N45/K45),MIN(1,M45/J45)),0)</f>
        <v/>
      </c>
      <c r="U45" s="32" t="n"/>
    </row>
    <row r="46" hidden="1" s="40">
      <c r="A46" s="18" t="inlineStr">
        <is>
          <t>Semana 2 - janeiro</t>
        </is>
      </c>
      <c r="B46" s="27">
        <f>YEAR(E46)</f>
        <v/>
      </c>
      <c r="C46" s="18">
        <f>INDEX({"Janeiro";"Fevereiro";"Março";"Abril";"Maio";"Junho";"Julho";"Agosto";"Setembro";"Outubro";"Novembro";"Dezembro"},Q46)</f>
        <v/>
      </c>
      <c r="D46" s="19" t="n">
        <v>2</v>
      </c>
      <c r="E46" s="20" t="n">
        <v>46026</v>
      </c>
      <c r="F46" s="18" t="inlineStr">
        <is>
          <t>Requeijão Light 200g</t>
        </is>
      </c>
      <c r="G46" s="18" t="inlineStr">
        <is>
          <t>REQUEIJÃO</t>
        </is>
      </c>
      <c r="H46" s="21" t="n">
        <v>0.2</v>
      </c>
      <c r="I46" s="36" t="n">
        <v>0</v>
      </c>
      <c r="J46" s="21">
        <f>I46*H46</f>
        <v/>
      </c>
      <c r="K46" s="21">
        <f>IFERROR(IF(J46/P46&gt;1,P46,J46),0)</f>
        <v/>
      </c>
      <c r="L46" s="36" t="n">
        <v>2817</v>
      </c>
      <c r="M46" s="21">
        <f>L46*H46</f>
        <v/>
      </c>
      <c r="N46" s="21">
        <f>IFERROR(IF(M46/K46&gt;1,K46,M46),0)</f>
        <v/>
      </c>
      <c r="O46" s="36" t="n">
        <v>1200</v>
      </c>
      <c r="P46" s="21">
        <f>O46*H46</f>
        <v/>
      </c>
      <c r="Q46" s="30">
        <f>IF(MONTH(E46+1)=MONTH(E46+6),MONTH(E46+1),IF(MIN(EOMONTH(E46+1,0),E46+6)-(E46+1)+1&gt;=3,MONTH(E46+1),MONTH(E46+6)))</f>
        <v/>
      </c>
      <c r="R46" s="22">
        <f>IFERROR(K46/P46, 0)</f>
        <v/>
      </c>
      <c r="S46" s="38">
        <f>IFERROR(N46/P46,0)</f>
        <v/>
      </c>
      <c r="T46" s="31">
        <f>IFERROR(IF(N46&gt;0,(N46/K46),MIN(1,M46/J46)),0)</f>
        <v/>
      </c>
      <c r="U46" s="32" t="n"/>
    </row>
    <row r="47" hidden="1" s="40">
      <c r="A47" s="23" t="inlineStr">
        <is>
          <t>Semana 2 - janeiro</t>
        </is>
      </c>
      <c r="B47" s="27">
        <f>YEAR(E47)</f>
        <v/>
      </c>
      <c r="C47" s="18">
        <f>INDEX({"Janeiro";"Fevereiro";"Março";"Abril";"Maio";"Junho";"Julho";"Agosto";"Setembro";"Outubro";"Novembro";"Dezembro"},Q47)</f>
        <v/>
      </c>
      <c r="D47" s="24" t="n">
        <v>2</v>
      </c>
      <c r="E47" s="25" t="n">
        <v>46026</v>
      </c>
      <c r="F47" s="23" t="inlineStr">
        <is>
          <t>Creme de Ricota 200g</t>
        </is>
      </c>
      <c r="G47" s="23" t="inlineStr">
        <is>
          <t>RICOTA</t>
        </is>
      </c>
      <c r="H47" s="26" t="n">
        <v>0.2</v>
      </c>
      <c r="I47" s="36" t="n">
        <v>0</v>
      </c>
      <c r="J47" s="21">
        <f>I47*H47</f>
        <v/>
      </c>
      <c r="K47" s="21">
        <f>IFERROR(IF(J47/P47&gt;1,P47,J47),0)</f>
        <v/>
      </c>
      <c r="L47" s="36" t="n">
        <v>0</v>
      </c>
      <c r="M47" s="21">
        <f>L47*H47</f>
        <v/>
      </c>
      <c r="N47" s="21">
        <f>IFERROR(IF(M47/K47&gt;1,K47,M47),0)</f>
        <v/>
      </c>
      <c r="O47" s="36" t="n">
        <v>1200</v>
      </c>
      <c r="P47" s="21">
        <f>O47*H47</f>
        <v/>
      </c>
      <c r="Q47" s="30">
        <f>IF(MONTH(E47+1)=MONTH(E47+6),MONTH(E47+1),IF(MIN(EOMONTH(E47+1,0),E47+6)-(E47+1)+1&gt;=3,MONTH(E47+1),MONTH(E47+6)))</f>
        <v/>
      </c>
      <c r="R47" s="22">
        <f>IFERROR(K47/P47, 0)</f>
        <v/>
      </c>
      <c r="S47" s="38">
        <f>IFERROR(N47/P47,0)</f>
        <v/>
      </c>
      <c r="T47" s="31">
        <f>IFERROR(IF(N47&gt;0,(N47/K47),MIN(1,M47/J47)),0)</f>
        <v/>
      </c>
      <c r="U47" s="32" t="n"/>
    </row>
    <row r="48" hidden="1" s="40">
      <c r="A48" s="18" t="inlineStr">
        <is>
          <t>Semana 3 - janeiro</t>
        </is>
      </c>
      <c r="B48" s="27">
        <f>YEAR(E48)</f>
        <v/>
      </c>
      <c r="C48" s="18">
        <f>INDEX({"Janeiro";"Fevereiro";"Março";"Abril";"Maio";"Junho";"Julho";"Agosto";"Setembro";"Outubro";"Novembro";"Dezembro"},Q48)</f>
        <v/>
      </c>
      <c r="D48" s="19" t="n">
        <v>3</v>
      </c>
      <c r="E48" s="20" t="n">
        <v>46033</v>
      </c>
      <c r="F48" s="18" t="inlineStr">
        <is>
          <t>Doce de Leite 400g</t>
        </is>
      </c>
      <c r="G48" s="18" t="inlineStr">
        <is>
          <t>DOCE</t>
        </is>
      </c>
      <c r="H48" s="21" t="n">
        <v>0.4</v>
      </c>
      <c r="I48" s="36" t="n">
        <v>30000</v>
      </c>
      <c r="J48" s="21">
        <f>I48*H48</f>
        <v/>
      </c>
      <c r="K48" s="21">
        <f>IFERROR(IF(J48/P48&gt;1,P48,J48),0)</f>
        <v/>
      </c>
      <c r="L48" s="36" t="n">
        <v>31359</v>
      </c>
      <c r="M48" s="21">
        <f>L48*H48</f>
        <v/>
      </c>
      <c r="N48" s="21">
        <f>IFERROR(IF(M48/K48&gt;1,K48,M48),0)</f>
        <v/>
      </c>
      <c r="O48" s="36" t="n">
        <v>28000</v>
      </c>
      <c r="P48" s="21">
        <f>O48*H48</f>
        <v/>
      </c>
      <c r="Q48" s="30">
        <f>IF(MONTH(E48+1)=MONTH(E48+6),MONTH(E48+1),IF(MIN(EOMONTH(E48+1,0),E48+6)-(E48+1)+1&gt;=3,MONTH(E48+1),MONTH(E48+6)))</f>
        <v/>
      </c>
      <c r="R48" s="22">
        <f>IFERROR(K48/P48, 0)</f>
        <v/>
      </c>
      <c r="S48" s="38">
        <f>IFERROR(N48/P48,0)</f>
        <v/>
      </c>
      <c r="T48" s="31">
        <f>IFERROR(IF(N48&gt;0,(N48/K48),MIN(1,M48/J48)),0)</f>
        <v/>
      </c>
      <c r="U48" s="32" t="n"/>
    </row>
    <row r="49" hidden="1" s="40">
      <c r="A49" s="23" t="inlineStr">
        <is>
          <t>Semana 3 - janeiro</t>
        </is>
      </c>
      <c r="B49" s="27">
        <f>YEAR(E49)</f>
        <v/>
      </c>
      <c r="C49" s="18">
        <f>INDEX({"Janeiro";"Fevereiro";"Março";"Abril";"Maio";"Junho";"Julho";"Agosto";"Setembro";"Outubro";"Novembro";"Dezembro"},Q49)</f>
        <v/>
      </c>
      <c r="D49" s="24" t="n">
        <v>3</v>
      </c>
      <c r="E49" s="25" t="n">
        <v>46033</v>
      </c>
      <c r="F49" s="23" t="inlineStr">
        <is>
          <t>Doce de Leite 5kg</t>
        </is>
      </c>
      <c r="G49" s="23" t="inlineStr">
        <is>
          <t>DOCE</t>
        </is>
      </c>
      <c r="H49" s="26" t="n">
        <v>5</v>
      </c>
      <c r="I49" s="36" t="n">
        <v>4185</v>
      </c>
      <c r="J49" s="21">
        <f>I49*H49</f>
        <v/>
      </c>
      <c r="K49" s="21">
        <f>IFERROR(IF(J49/P49&gt;1,P49,J49),0)</f>
        <v/>
      </c>
      <c r="L49" s="36" t="n">
        <v>4624</v>
      </c>
      <c r="M49" s="21">
        <f>L49*H49</f>
        <v/>
      </c>
      <c r="N49" s="21">
        <f>IFERROR(IF(M49/K49&gt;1,K49,M49),0)</f>
        <v/>
      </c>
      <c r="O49" s="36" t="n">
        <v>1860</v>
      </c>
      <c r="P49" s="21">
        <f>O49*H49</f>
        <v/>
      </c>
      <c r="Q49" s="30">
        <f>IF(MONTH(E49+1)=MONTH(E49+6),MONTH(E49+1),IF(MIN(EOMONTH(E49+1,0),E49+6)-(E49+1)+1&gt;=3,MONTH(E49+1),MONTH(E49+6)))</f>
        <v/>
      </c>
      <c r="R49" s="22">
        <f>IFERROR(K49/P49, 0)</f>
        <v/>
      </c>
      <c r="S49" s="38">
        <f>IFERROR(N49/P49,0)</f>
        <v/>
      </c>
      <c r="T49" s="31">
        <f>IFERROR(IF(N49&gt;0,(N49/K49),MIN(1,M49/J49)),0)</f>
        <v/>
      </c>
      <c r="U49" s="32" t="n"/>
    </row>
    <row r="50" hidden="1" s="40">
      <c r="A50" s="18" t="inlineStr">
        <is>
          <t>Semana 3 - janeiro</t>
        </is>
      </c>
      <c r="B50" s="27">
        <f>YEAR(E50)</f>
        <v/>
      </c>
      <c r="C50" s="18">
        <f>INDEX({"Janeiro";"Fevereiro";"Março";"Abril";"Maio";"Junho";"Julho";"Agosto";"Setembro";"Outubro";"Novembro";"Dezembro"},Q50)</f>
        <v/>
      </c>
      <c r="D50" s="19" t="n">
        <v>3</v>
      </c>
      <c r="E50" s="20" t="n">
        <v>46033</v>
      </c>
      <c r="F50" s="18" t="inlineStr">
        <is>
          <t>Doce de Leite 5kg - Bombeável</t>
        </is>
      </c>
      <c r="G50" s="18" t="inlineStr">
        <is>
          <t>DOCE</t>
        </is>
      </c>
      <c r="H50" s="21" t="n">
        <v>5</v>
      </c>
      <c r="I50" s="36" t="n">
        <v>0</v>
      </c>
      <c r="J50" s="21">
        <f>I50*H50</f>
        <v/>
      </c>
      <c r="K50" s="21">
        <f>IFERROR(IF(J50/P50&gt;1,P50,J50),0)</f>
        <v/>
      </c>
      <c r="L50" s="36" t="n">
        <v>0</v>
      </c>
      <c r="M50" s="21">
        <f>L50*H50</f>
        <v/>
      </c>
      <c r="N50" s="21">
        <f>IFERROR(IF(M50/K50&gt;1,K50,M50),0)</f>
        <v/>
      </c>
      <c r="O50" s="36" t="n">
        <v>0</v>
      </c>
      <c r="P50" s="21">
        <f>O50*H50</f>
        <v/>
      </c>
      <c r="Q50" s="30">
        <f>IF(MONTH(E50+1)=MONTH(E50+6),MONTH(E50+1),IF(MIN(EOMONTH(E50+1,0),E50+6)-(E50+1)+1&gt;=3,MONTH(E50+1),MONTH(E50+6)))</f>
        <v/>
      </c>
      <c r="R50" s="22">
        <f>IFERROR(K50/P50, 0)</f>
        <v/>
      </c>
      <c r="S50" s="38">
        <f>IFERROR(N50/P50,0)</f>
        <v/>
      </c>
      <c r="T50" s="31">
        <f>IFERROR(IF(N50&gt;0,(N50/K50),MIN(1,M50/J50)),0)</f>
        <v/>
      </c>
      <c r="U50" s="32" t="n"/>
    </row>
    <row r="51" hidden="1" s="40">
      <c r="A51" s="23" t="inlineStr">
        <is>
          <t>Semana 3 - janeiro</t>
        </is>
      </c>
      <c r="B51" s="27">
        <f>YEAR(E51)</f>
        <v/>
      </c>
      <c r="C51" s="18">
        <f>INDEX({"Janeiro";"Fevereiro";"Março";"Abril";"Maio";"Junho";"Julho";"Agosto";"Setembro";"Outubro";"Novembro";"Dezembro"},Q51)</f>
        <v/>
      </c>
      <c r="D51" s="24" t="n">
        <v>3</v>
      </c>
      <c r="E51" s="25" t="n">
        <v>46033</v>
      </c>
      <c r="F51" s="23" t="inlineStr">
        <is>
          <t>Doce de Leite 5kg - Forneável</t>
        </is>
      </c>
      <c r="G51" s="23" t="inlineStr">
        <is>
          <t>DOCE</t>
        </is>
      </c>
      <c r="H51" s="26" t="n">
        <v>5</v>
      </c>
      <c r="I51" s="36" t="n">
        <v>0</v>
      </c>
      <c r="J51" s="21">
        <f>I51*H51</f>
        <v/>
      </c>
      <c r="K51" s="21">
        <f>IFERROR(IF(J51/P51&gt;1,P51,J51),0)</f>
        <v/>
      </c>
      <c r="L51" s="36" t="n">
        <v>0</v>
      </c>
      <c r="M51" s="21">
        <f>L51*H51</f>
        <v/>
      </c>
      <c r="N51" s="21">
        <f>IFERROR(IF(M51/K51&gt;1,K51,M51),0)</f>
        <v/>
      </c>
      <c r="O51" s="36" t="n">
        <v>0</v>
      </c>
      <c r="P51" s="21">
        <f>O51*H51</f>
        <v/>
      </c>
      <c r="Q51" s="30">
        <f>IF(MONTH(E51+1)=MONTH(E51+6),MONTH(E51+1),IF(MIN(EOMONTH(E51+1,0),E51+6)-(E51+1)+1&gt;=3,MONTH(E51+1),MONTH(E51+6)))</f>
        <v/>
      </c>
      <c r="R51" s="22">
        <f>IFERROR(K51/P51, 0)</f>
        <v/>
      </c>
      <c r="S51" s="38">
        <f>IFERROR(N51/P51,0)</f>
        <v/>
      </c>
      <c r="T51" s="31">
        <f>IFERROR(IF(N51&gt;0,(N51/K51),MIN(1,M51/J51)),0)</f>
        <v/>
      </c>
      <c r="U51" s="32" t="n"/>
    </row>
    <row r="52" hidden="1" s="40">
      <c r="A52" s="18" t="inlineStr">
        <is>
          <t>Semana 3 - janeiro</t>
        </is>
      </c>
      <c r="B52" s="27">
        <f>YEAR(E52)</f>
        <v/>
      </c>
      <c r="C52" s="18">
        <f>INDEX({"Janeiro";"Fevereiro";"Março";"Abril";"Maio";"Junho";"Julho";"Agosto";"Setembro";"Outubro";"Novembro";"Dezembro"},Q52)</f>
        <v/>
      </c>
      <c r="D52" s="19" t="n">
        <v>3</v>
      </c>
      <c r="E52" s="20" t="n">
        <v>46033</v>
      </c>
      <c r="F52" s="18" t="inlineStr">
        <is>
          <t>Doce de Leite 800g</t>
        </is>
      </c>
      <c r="G52" s="18" t="inlineStr">
        <is>
          <t>DOCE</t>
        </is>
      </c>
      <c r="H52" s="21" t="n">
        <v>0.8</v>
      </c>
      <c r="I52" s="36" t="n">
        <v>15000</v>
      </c>
      <c r="J52" s="21">
        <f>I52*H52</f>
        <v/>
      </c>
      <c r="K52" s="21">
        <f>IFERROR(IF(J52/P52&gt;1,P52,J52),0)</f>
        <v/>
      </c>
      <c r="L52" s="36" t="n">
        <v>16580</v>
      </c>
      <c r="M52" s="21">
        <f>L52*H52</f>
        <v/>
      </c>
      <c r="N52" s="21">
        <f>IFERROR(IF(M52/K52&gt;1,K52,M52),0)</f>
        <v/>
      </c>
      <c r="O52" s="36" t="n">
        <v>18000</v>
      </c>
      <c r="P52" s="21">
        <f>O52*H52</f>
        <v/>
      </c>
      <c r="Q52" s="30">
        <f>IF(MONTH(E52+1)=MONTH(E52+6),MONTH(E52+1),IF(MIN(EOMONTH(E52+1,0),E52+6)-(E52+1)+1&gt;=3,MONTH(E52+1),MONTH(E52+6)))</f>
        <v/>
      </c>
      <c r="R52" s="22">
        <f>IFERROR(K52/P52, 0)</f>
        <v/>
      </c>
      <c r="S52" s="38">
        <f>IFERROR(N52/P52,0)</f>
        <v/>
      </c>
      <c r="T52" s="31">
        <f>IFERROR(IF(N52&gt;0,(N52/K52),MIN(1,M52/J52)),0)</f>
        <v/>
      </c>
      <c r="U52" s="32" t="n"/>
    </row>
    <row r="53" hidden="1" s="40">
      <c r="A53" s="23" t="inlineStr">
        <is>
          <t>Semana 3 - janeiro</t>
        </is>
      </c>
      <c r="B53" s="27">
        <f>YEAR(E53)</f>
        <v/>
      </c>
      <c r="C53" s="18">
        <f>INDEX({"Janeiro";"Fevereiro";"Março";"Abril";"Maio";"Junho";"Julho";"Agosto";"Setembro";"Outubro";"Novembro";"Dezembro"},Q53)</f>
        <v/>
      </c>
      <c r="D53" s="24" t="n">
        <v>3</v>
      </c>
      <c r="E53" s="25" t="n">
        <v>46033</v>
      </c>
      <c r="F53" s="23" t="inlineStr">
        <is>
          <t>Doce de Leite Cacau 400g</t>
        </is>
      </c>
      <c r="G53" s="23" t="inlineStr">
        <is>
          <t>DOCE</t>
        </is>
      </c>
      <c r="H53" s="26" t="n">
        <v>0.4</v>
      </c>
      <c r="I53" s="36" t="n">
        <v>6000</v>
      </c>
      <c r="J53" s="21">
        <f>I53*H53</f>
        <v/>
      </c>
      <c r="K53" s="21">
        <f>IFERROR(IF(J53/P53&gt;1,P53,J53),0)</f>
        <v/>
      </c>
      <c r="L53" s="36" t="n">
        <v>6072</v>
      </c>
      <c r="M53" s="21">
        <f>L53*H53</f>
        <v/>
      </c>
      <c r="N53" s="21">
        <f>IFERROR(IF(M53/K53&gt;1,K53,M53),0)</f>
        <v/>
      </c>
      <c r="O53" s="36" t="n">
        <v>6000</v>
      </c>
      <c r="P53" s="21">
        <f>O53*H53</f>
        <v/>
      </c>
      <c r="Q53" s="30">
        <f>IF(MONTH(E53+1)=MONTH(E53+6),MONTH(E53+1),IF(MIN(EOMONTH(E53+1,0),E53+6)-(E53+1)+1&gt;=3,MONTH(E53+1),MONTH(E53+6)))</f>
        <v/>
      </c>
      <c r="R53" s="22">
        <f>IFERROR(K53/P53, 0)</f>
        <v/>
      </c>
      <c r="S53" s="38">
        <f>IFERROR(N53/P53,0)</f>
        <v/>
      </c>
      <c r="T53" s="31">
        <f>IFERROR(IF(N53&gt;0,(N53/K53),MIN(1,M53/J53)),0)</f>
        <v/>
      </c>
      <c r="U53" s="32" t="n"/>
    </row>
    <row r="54" hidden="1" s="40">
      <c r="A54" s="18" t="inlineStr">
        <is>
          <t>Semana 3 - janeiro</t>
        </is>
      </c>
      <c r="B54" s="27">
        <f>YEAR(E54)</f>
        <v/>
      </c>
      <c r="C54" s="18">
        <f>INDEX({"Janeiro";"Fevereiro";"Março";"Abril";"Maio";"Junho";"Julho";"Agosto";"Setembro";"Outubro";"Novembro";"Dezembro"},Q54)</f>
        <v/>
      </c>
      <c r="D54" s="19" t="n">
        <v>3</v>
      </c>
      <c r="E54" s="20" t="n">
        <v>46033</v>
      </c>
      <c r="F54" s="18" t="inlineStr">
        <is>
          <t>Doce de Leite Cacau 5kg - Bombeável</t>
        </is>
      </c>
      <c r="G54" s="18" t="inlineStr">
        <is>
          <t>DOCE</t>
        </is>
      </c>
      <c r="H54" s="21" t="n">
        <v>5</v>
      </c>
      <c r="I54" s="36" t="n">
        <v>0</v>
      </c>
      <c r="J54" s="21">
        <f>I54*H54</f>
        <v/>
      </c>
      <c r="K54" s="21">
        <f>IFERROR(IF(J54/P54&gt;1,P54,J54),0)</f>
        <v/>
      </c>
      <c r="L54" s="36" t="n">
        <v>0</v>
      </c>
      <c r="M54" s="21">
        <f>L54*H54</f>
        <v/>
      </c>
      <c r="N54" s="21">
        <f>IFERROR(IF(M54/K54&gt;1,K54,M54),0)</f>
        <v/>
      </c>
      <c r="O54" s="36" t="n">
        <v>0</v>
      </c>
      <c r="P54" s="21">
        <f>O54*H54</f>
        <v/>
      </c>
      <c r="Q54" s="30">
        <f>IF(MONTH(E54+1)=MONTH(E54+6),MONTH(E54+1),IF(MIN(EOMONTH(E54+1,0),E54+6)-(E54+1)+1&gt;=3,MONTH(E54+1),MONTH(E54+6)))</f>
        <v/>
      </c>
      <c r="R54" s="22">
        <f>IFERROR(K54/P54, 0)</f>
        <v/>
      </c>
      <c r="S54" s="38">
        <f>IFERROR(N54/P54,0)</f>
        <v/>
      </c>
      <c r="T54" s="31">
        <f>IFERROR(IF(N54&gt;0,(N54/K54),MIN(1,M54/J54)),0)</f>
        <v/>
      </c>
      <c r="U54" s="32" t="n"/>
    </row>
    <row r="55" hidden="1" s="40">
      <c r="A55" s="23" t="inlineStr">
        <is>
          <t>Semana 3 - janeiro</t>
        </is>
      </c>
      <c r="B55" s="27">
        <f>YEAR(E55)</f>
        <v/>
      </c>
      <c r="C55" s="18">
        <f>INDEX({"Janeiro";"Fevereiro";"Março";"Abril";"Maio";"Junho";"Julho";"Agosto";"Setembro";"Outubro";"Novembro";"Dezembro"},Q55)</f>
        <v/>
      </c>
      <c r="D55" s="24" t="n">
        <v>3</v>
      </c>
      <c r="E55" s="25" t="n">
        <v>46033</v>
      </c>
      <c r="F55" s="23" t="inlineStr">
        <is>
          <t>Doce de Leite Cacau 5kg - FOOD</t>
        </is>
      </c>
      <c r="G55" s="23" t="inlineStr">
        <is>
          <t>DOCE</t>
        </is>
      </c>
      <c r="H55" s="26" t="n">
        <v>5</v>
      </c>
      <c r="I55" s="36" t="n">
        <v>0</v>
      </c>
      <c r="J55" s="21">
        <f>I55*H55</f>
        <v/>
      </c>
      <c r="K55" s="21">
        <f>IFERROR(IF(J55/P55&gt;1,P55,J55),0)</f>
        <v/>
      </c>
      <c r="L55" s="36" t="n">
        <v>20</v>
      </c>
      <c r="M55" s="21">
        <f>L55*H55</f>
        <v/>
      </c>
      <c r="N55" s="21">
        <f>IFERROR(IF(M55/K55&gt;1,K55,M55),0)</f>
        <v/>
      </c>
      <c r="O55" s="36" t="n">
        <v>0</v>
      </c>
      <c r="P55" s="21">
        <f>O55*H55</f>
        <v/>
      </c>
      <c r="Q55" s="30">
        <f>IF(MONTH(E55+1)=MONTH(E55+6),MONTH(E55+1),IF(MIN(EOMONTH(E55+1,0),E55+6)-(E55+1)+1&gt;=3,MONTH(E55+1),MONTH(E55+6)))</f>
        <v/>
      </c>
      <c r="R55" s="22">
        <f>IFERROR(K55/P55, 0)</f>
        <v/>
      </c>
      <c r="S55" s="38">
        <f>IFERROR(N55/P55,0)</f>
        <v/>
      </c>
      <c r="T55" s="31">
        <f>IFERROR(IF(N55&gt;0,(N55/K55),MIN(1,M55/J55)),0)</f>
        <v/>
      </c>
      <c r="U55" s="32" t="n"/>
    </row>
    <row r="56" hidden="1" s="40">
      <c r="A56" s="18" t="inlineStr">
        <is>
          <t>Semana 3 - janeiro</t>
        </is>
      </c>
      <c r="B56" s="27">
        <f>YEAR(E56)</f>
        <v/>
      </c>
      <c r="C56" s="18">
        <f>INDEX({"Janeiro";"Fevereiro";"Março";"Abril";"Maio";"Junho";"Julho";"Agosto";"Setembro";"Outubro";"Novembro";"Dezembro"},Q56)</f>
        <v/>
      </c>
      <c r="D56" s="19" t="n">
        <v>3</v>
      </c>
      <c r="E56" s="20" t="n">
        <v>46033</v>
      </c>
      <c r="F56" s="18" t="inlineStr">
        <is>
          <t>Doce de Leite c/ Café 400</t>
        </is>
      </c>
      <c r="G56" s="18" t="inlineStr">
        <is>
          <t>DOCE</t>
        </is>
      </c>
      <c r="H56" s="21" t="n">
        <v>0.4</v>
      </c>
      <c r="I56" s="36" t="n">
        <v>6000</v>
      </c>
      <c r="J56" s="21">
        <f>I56*H56</f>
        <v/>
      </c>
      <c r="K56" s="21">
        <f>IFERROR(IF(J56/P56&gt;1,P56,J56),0)</f>
        <v/>
      </c>
      <c r="L56" s="36" t="n">
        <v>6378</v>
      </c>
      <c r="M56" s="21">
        <f>L56*H56</f>
        <v/>
      </c>
      <c r="N56" s="21">
        <f>IFERROR(IF(M56/K56&gt;1,K56,M56),0)</f>
        <v/>
      </c>
      <c r="O56" s="36" t="n">
        <v>0</v>
      </c>
      <c r="P56" s="21">
        <f>O56*H56</f>
        <v/>
      </c>
      <c r="Q56" s="30">
        <f>IF(MONTH(E56+1)=MONTH(E56+6),MONTH(E56+1),IF(MIN(EOMONTH(E56+1,0),E56+6)-(E56+1)+1&gt;=3,MONTH(E56+1),MONTH(E56+6)))</f>
        <v/>
      </c>
      <c r="R56" s="22">
        <f>IFERROR(K56/P56, 0)</f>
        <v/>
      </c>
      <c r="S56" s="38">
        <f>IFERROR(N56/P56,0)</f>
        <v/>
      </c>
      <c r="T56" s="31">
        <f>IFERROR(IF(N56&gt;0,(N56/K56),MIN(1,M56/J56)),0)</f>
        <v/>
      </c>
      <c r="U56" s="32" t="n"/>
    </row>
    <row r="57" hidden="1" s="40">
      <c r="A57" s="23" t="inlineStr">
        <is>
          <t>Semana 3 - janeiro</t>
        </is>
      </c>
      <c r="B57" s="27">
        <f>YEAR(E57)</f>
        <v/>
      </c>
      <c r="C57" s="18">
        <f>INDEX({"Janeiro";"Fevereiro";"Março";"Abril";"Maio";"Junho";"Julho";"Agosto";"Setembro";"Outubro";"Novembro";"Dezembro"},Q57)</f>
        <v/>
      </c>
      <c r="D57" s="24" t="n">
        <v>3</v>
      </c>
      <c r="E57" s="25" t="n">
        <v>46033</v>
      </c>
      <c r="F57" s="23" t="inlineStr">
        <is>
          <t>Doce de Leite c/ Café 5kg</t>
        </is>
      </c>
      <c r="G57" s="23" t="inlineStr">
        <is>
          <t>DOCE</t>
        </is>
      </c>
      <c r="H57" s="26" t="n">
        <v>5</v>
      </c>
      <c r="I57" s="36" t="n">
        <v>0</v>
      </c>
      <c r="J57" s="21">
        <f>I57*H57</f>
        <v/>
      </c>
      <c r="K57" s="21">
        <f>IFERROR(IF(J57/P57&gt;1,P57,J57),0)</f>
        <v/>
      </c>
      <c r="L57" s="36" t="n">
        <v>0</v>
      </c>
      <c r="M57" s="21">
        <f>L57*H57</f>
        <v/>
      </c>
      <c r="N57" s="21">
        <f>IFERROR(IF(M57/K57&gt;1,K57,M57),0)</f>
        <v/>
      </c>
      <c r="O57" s="36" t="n">
        <v>0</v>
      </c>
      <c r="P57" s="21">
        <f>O57*H57</f>
        <v/>
      </c>
      <c r="Q57" s="30">
        <f>IF(MONTH(E57+1)=MONTH(E57+6),MONTH(E57+1),IF(MIN(EOMONTH(E57+1,0),E57+6)-(E57+1)+1&gt;=3,MONTH(E57+1),MONTH(E57+6)))</f>
        <v/>
      </c>
      <c r="R57" s="22">
        <f>IFERROR(K57/P57, 0)</f>
        <v/>
      </c>
      <c r="S57" s="38">
        <f>IFERROR(N57/P57,0)</f>
        <v/>
      </c>
      <c r="T57" s="31">
        <f>IFERROR(IF(N57&gt;0,(N57/K57),MIN(1,M57/J57)),0)</f>
        <v/>
      </c>
      <c r="U57" s="32" t="n"/>
    </row>
    <row r="58" hidden="1" s="40">
      <c r="A58" s="18" t="inlineStr">
        <is>
          <t>Semana 3 - janeiro</t>
        </is>
      </c>
      <c r="B58" s="27">
        <f>YEAR(E58)</f>
        <v/>
      </c>
      <c r="C58" s="18">
        <f>INDEX({"Janeiro";"Fevereiro";"Março";"Abril";"Maio";"Junho";"Julho";"Agosto";"Setembro";"Outubro";"Novembro";"Dezembro"},Q58)</f>
        <v/>
      </c>
      <c r="D58" s="19" t="n">
        <v>3</v>
      </c>
      <c r="E58" s="20" t="n">
        <v>46033</v>
      </c>
      <c r="F58" s="18" t="inlineStr">
        <is>
          <t>Doce de Leite c/ coco 400</t>
        </is>
      </c>
      <c r="G58" s="18" t="inlineStr">
        <is>
          <t>DOCE</t>
        </is>
      </c>
      <c r="H58" s="21" t="n">
        <v>0.4</v>
      </c>
      <c r="I58" s="36" t="n">
        <v>6000</v>
      </c>
      <c r="J58" s="21">
        <f>I58*H58</f>
        <v/>
      </c>
      <c r="K58" s="21">
        <f>IFERROR(IF(J58/P58&gt;1,P58,J58),0)</f>
        <v/>
      </c>
      <c r="L58" s="36" t="n">
        <v>7046</v>
      </c>
      <c r="M58" s="21">
        <f>L58*H58</f>
        <v/>
      </c>
      <c r="N58" s="21">
        <f>IFERROR(IF(M58/K58&gt;1,K58,M58),0)</f>
        <v/>
      </c>
      <c r="O58" s="36" t="n">
        <v>6000</v>
      </c>
      <c r="P58" s="21">
        <f>O58*H58</f>
        <v/>
      </c>
      <c r="Q58" s="30">
        <f>IF(MONTH(E58+1)=MONTH(E58+6),MONTH(E58+1),IF(MIN(EOMONTH(E58+1,0),E58+6)-(E58+1)+1&gt;=3,MONTH(E58+1),MONTH(E58+6)))</f>
        <v/>
      </c>
      <c r="R58" s="22">
        <f>IFERROR(K58/P58, 0)</f>
        <v/>
      </c>
      <c r="S58" s="38">
        <f>IFERROR(N58/P58,0)</f>
        <v/>
      </c>
      <c r="T58" s="31">
        <f>IFERROR(IF(N58&gt;0,(N58/K58),MIN(1,M58/J58)),0)</f>
        <v/>
      </c>
      <c r="U58" s="32" t="n"/>
    </row>
    <row r="59" hidden="1" s="40">
      <c r="A59" s="23" t="inlineStr">
        <is>
          <t>Semana 3 - janeiro</t>
        </is>
      </c>
      <c r="B59" s="27">
        <f>YEAR(E59)</f>
        <v/>
      </c>
      <c r="C59" s="18">
        <f>INDEX({"Janeiro";"Fevereiro";"Março";"Abril";"Maio";"Junho";"Julho";"Agosto";"Setembro";"Outubro";"Novembro";"Dezembro"},Q59)</f>
        <v/>
      </c>
      <c r="D59" s="24" t="n">
        <v>3</v>
      </c>
      <c r="E59" s="25" t="n">
        <v>46033</v>
      </c>
      <c r="F59" s="23" t="inlineStr">
        <is>
          <t>IOGURTE VIÇOSA MORANGO LIGHT 180g</t>
        </is>
      </c>
      <c r="G59" s="23" t="inlineStr">
        <is>
          <t>IOGURTE</t>
        </is>
      </c>
      <c r="H59" s="26" t="n">
        <v>0.18</v>
      </c>
      <c r="I59" s="36" t="n">
        <v>0</v>
      </c>
      <c r="J59" s="21">
        <f>I59*H59</f>
        <v/>
      </c>
      <c r="K59" s="21">
        <f>IFERROR(IF(J59/P59&gt;1,P59,J59),0)</f>
        <v/>
      </c>
      <c r="L59" s="36" t="n">
        <v>0</v>
      </c>
      <c r="M59" s="21">
        <f>L59*H59</f>
        <v/>
      </c>
      <c r="N59" s="21">
        <f>IFERROR(IF(M59/K59&gt;1,K59,M59),0)</f>
        <v/>
      </c>
      <c r="O59" s="36" t="n">
        <v>0</v>
      </c>
      <c r="P59" s="21">
        <f>O59*H59</f>
        <v/>
      </c>
      <c r="Q59" s="30">
        <f>IF(MONTH(E59+1)=MONTH(E59+6),MONTH(E59+1),IF(MIN(EOMONTH(E59+1,0),E59+6)-(E59+1)+1&gt;=3,MONTH(E59+1),MONTH(E59+6)))</f>
        <v/>
      </c>
      <c r="R59" s="22">
        <f>IFERROR(K59/P59, 0)</f>
        <v/>
      </c>
      <c r="S59" s="38">
        <f>IFERROR(N59/P59,0)</f>
        <v/>
      </c>
      <c r="T59" s="31">
        <f>IFERROR(IF(N59&gt;0,(N59/K59),MIN(1,M59/J59)),0)</f>
        <v/>
      </c>
      <c r="U59" s="32" t="n"/>
    </row>
    <row r="60" hidden="1" s="40">
      <c r="A60" s="18" t="inlineStr">
        <is>
          <t>Semana 3 - janeiro</t>
        </is>
      </c>
      <c r="B60" s="27">
        <f>YEAR(E60)</f>
        <v/>
      </c>
      <c r="C60" s="18">
        <f>INDEX({"Janeiro";"Fevereiro";"Março";"Abril";"Maio";"Junho";"Julho";"Agosto";"Setembro";"Outubro";"Novembro";"Dezembro"},Q60)</f>
        <v/>
      </c>
      <c r="D60" s="19" t="n">
        <v>3</v>
      </c>
      <c r="E60" s="20" t="n">
        <v>46033</v>
      </c>
      <c r="F60" s="18" t="inlineStr">
        <is>
          <t>IOGURTE VIÇOSA MORANGO LIGHT 800g</t>
        </is>
      </c>
      <c r="G60" s="18" t="inlineStr">
        <is>
          <t>IOGURTE</t>
        </is>
      </c>
      <c r="H60" s="21" t="n">
        <v>0.8</v>
      </c>
      <c r="I60" s="36" t="n">
        <v>0</v>
      </c>
      <c r="J60" s="21">
        <f>I60*H60</f>
        <v/>
      </c>
      <c r="K60" s="21">
        <f>IFERROR(IF(J60/P60&gt;1,P60,J60),0)</f>
        <v/>
      </c>
      <c r="L60" s="36" t="n">
        <v>0</v>
      </c>
      <c r="M60" s="21">
        <f>L60*H60</f>
        <v/>
      </c>
      <c r="N60" s="21">
        <f>IFERROR(IF(M60/K60&gt;1,K60,M60),0)</f>
        <v/>
      </c>
      <c r="O60" s="36" t="n">
        <v>0</v>
      </c>
      <c r="P60" s="21">
        <f>O60*H60</f>
        <v/>
      </c>
      <c r="Q60" s="30">
        <f>IF(MONTH(E60+1)=MONTH(E60+6),MONTH(E60+1),IF(MIN(EOMONTH(E60+1,0),E60+6)-(E60+1)+1&gt;=3,MONTH(E60+1),MONTH(E60+6)))</f>
        <v/>
      </c>
      <c r="R60" s="22">
        <f>IFERROR(K60/P60, 0)</f>
        <v/>
      </c>
      <c r="S60" s="38">
        <f>IFERROR(N60/P60,0)</f>
        <v/>
      </c>
      <c r="T60" s="31">
        <f>IFERROR(IF(N60&gt;0,(N60/K60),MIN(1,M60/J60)),0)</f>
        <v/>
      </c>
      <c r="U60" s="32" t="n"/>
    </row>
    <row r="61" hidden="1" s="40">
      <c r="A61" s="18" t="inlineStr">
        <is>
          <t>Semana 3 - janeiro</t>
        </is>
      </c>
      <c r="B61" s="27">
        <f>YEAR(E61)</f>
        <v/>
      </c>
      <c r="C61" s="18">
        <f>INDEX({"Janeiro";"Fevereiro";"Março";"Abril";"Maio";"Junho";"Julho";"Agosto";"Setembro";"Outubro";"Novembro";"Dezembro"},Q61)</f>
        <v/>
      </c>
      <c r="D61" s="19" t="n">
        <v>3</v>
      </c>
      <c r="E61" s="20" t="n">
        <v>46033</v>
      </c>
      <c r="F61" s="18" t="inlineStr">
        <is>
          <t>Iogurte Abacaxi c/ Coco 120g</t>
        </is>
      </c>
      <c r="G61" s="18" t="inlineStr">
        <is>
          <t>IOGURTE</t>
        </is>
      </c>
      <c r="H61" s="21" t="n">
        <v>0.12</v>
      </c>
      <c r="I61" s="36" t="n">
        <v>2000</v>
      </c>
      <c r="J61" s="21">
        <f>I61*H61</f>
        <v/>
      </c>
      <c r="K61" s="21">
        <f>IFERROR(IF(J61/P61&gt;1,P61,J61),0)</f>
        <v/>
      </c>
      <c r="L61" s="36" t="n">
        <v>1691</v>
      </c>
      <c r="M61" s="21">
        <f>L61*H61</f>
        <v/>
      </c>
      <c r="N61" s="21">
        <f>IFERROR(IF(M61/K61&gt;1,K61,M61),0)</f>
        <v/>
      </c>
      <c r="O61" s="36" t="n">
        <v>2000</v>
      </c>
      <c r="P61" s="21">
        <f>O61*H61</f>
        <v/>
      </c>
      <c r="Q61" s="30">
        <f>IF(MONTH(E61+1)=MONTH(E61+6),MONTH(E61+1),IF(MIN(EOMONTH(E61+1,0),E61+6)-(E61+1)+1&gt;=3,MONTH(E61+1),MONTH(E61+6)))</f>
        <v/>
      </c>
      <c r="R61" s="22">
        <f>IFERROR(K61/P61, 0)</f>
        <v/>
      </c>
      <c r="S61" s="38">
        <f>IFERROR(N61/P61,0)</f>
        <v/>
      </c>
      <c r="T61" s="31">
        <f>IFERROR(IF(N61&gt;0,(N61/K61),MIN(1,M61/J61)),0)</f>
        <v/>
      </c>
      <c r="U61" s="32" t="n"/>
    </row>
    <row r="62" hidden="1" s="40">
      <c r="A62" s="23" t="inlineStr">
        <is>
          <t>Semana 3 - janeiro</t>
        </is>
      </c>
      <c r="B62" s="27">
        <f>YEAR(E62)</f>
        <v/>
      </c>
      <c r="C62" s="18">
        <f>INDEX({"Janeiro";"Fevereiro";"Março";"Abril";"Maio";"Junho";"Julho";"Agosto";"Setembro";"Outubro";"Novembro";"Dezembro"},Q62)</f>
        <v/>
      </c>
      <c r="D62" s="24" t="n">
        <v>3</v>
      </c>
      <c r="E62" s="25" t="n">
        <v>46033</v>
      </c>
      <c r="F62" s="23" t="inlineStr">
        <is>
          <t>Iogurte Abacaxi c/ Coco 185g</t>
        </is>
      </c>
      <c r="G62" s="23" t="inlineStr">
        <is>
          <t>IOGURTE</t>
        </is>
      </c>
      <c r="H62" s="26" t="n">
        <v>0.185</v>
      </c>
      <c r="I62" s="36" t="n">
        <v>260</v>
      </c>
      <c r="J62" s="21">
        <f>I62*H62</f>
        <v/>
      </c>
      <c r="K62" s="21">
        <f>IFERROR(IF(J62/P62&gt;1,P62,J62),0)</f>
        <v/>
      </c>
      <c r="L62" s="36" t="n">
        <v>174</v>
      </c>
      <c r="M62" s="21">
        <f>L62*H62</f>
        <v/>
      </c>
      <c r="N62" s="21">
        <f>IFERROR(IF(M62/K62&gt;1,K62,M62),0)</f>
        <v/>
      </c>
      <c r="O62" s="36" t="n">
        <v>260</v>
      </c>
      <c r="P62" s="21">
        <f>O62*H62</f>
        <v/>
      </c>
      <c r="Q62" s="30">
        <f>IF(MONTH(E62+1)=MONTH(E62+6),MONTH(E62+1),IF(MIN(EOMONTH(E62+1,0),E62+6)-(E62+1)+1&gt;=3,MONTH(E62+1),MONTH(E62+6)))</f>
        <v/>
      </c>
      <c r="R62" s="22">
        <f>IFERROR(K62/P62, 0)</f>
        <v/>
      </c>
      <c r="S62" s="38">
        <f>IFERROR(N62/P62,0)</f>
        <v/>
      </c>
      <c r="T62" s="31">
        <f>IFERROR(IF(N62&gt;0,(N62/K62),MIN(1,M62/J62)),0)</f>
        <v/>
      </c>
      <c r="U62" s="32" t="n"/>
    </row>
    <row r="63" hidden="1" s="40">
      <c r="A63" s="18" t="inlineStr">
        <is>
          <t>Semana 3 - janeiro</t>
        </is>
      </c>
      <c r="B63" s="27">
        <f>YEAR(E63)</f>
        <v/>
      </c>
      <c r="C63" s="18">
        <f>INDEX({"Janeiro";"Fevereiro";"Março";"Abril";"Maio";"Junho";"Julho";"Agosto";"Setembro";"Outubro";"Novembro";"Dezembro"},Q63)</f>
        <v/>
      </c>
      <c r="D63" s="19" t="n">
        <v>3</v>
      </c>
      <c r="E63" s="20" t="n">
        <v>46033</v>
      </c>
      <c r="F63" s="18" t="inlineStr">
        <is>
          <t>Iogurte Abacaxi c/ Coco 900g</t>
        </is>
      </c>
      <c r="G63" s="18" t="inlineStr">
        <is>
          <t>IOGURTE</t>
        </is>
      </c>
      <c r="H63" s="21" t="n">
        <v>0.9</v>
      </c>
      <c r="I63" s="36" t="n">
        <v>1350</v>
      </c>
      <c r="J63" s="21">
        <f>I63*H63</f>
        <v/>
      </c>
      <c r="K63" s="21">
        <f>IFERROR(IF(J63/P63&gt;1,P63,J63),0)</f>
        <v/>
      </c>
      <c r="L63" s="36" t="n">
        <v>1356</v>
      </c>
      <c r="M63" s="21">
        <f>L63*H63</f>
        <v/>
      </c>
      <c r="N63" s="21">
        <f>IFERROR(IF(M63/K63&gt;1,K63,M63),0)</f>
        <v/>
      </c>
      <c r="O63" s="36" t="n">
        <v>1300</v>
      </c>
      <c r="P63" s="21">
        <f>O63*H63</f>
        <v/>
      </c>
      <c r="Q63" s="30">
        <f>IF(MONTH(E63+1)=MONTH(E63+6),MONTH(E63+1),IF(MIN(EOMONTH(E63+1,0),E63+6)-(E63+1)+1&gt;=3,MONTH(E63+1),MONTH(E63+6)))</f>
        <v/>
      </c>
      <c r="R63" s="22">
        <f>IFERROR(K63/P63, 0)</f>
        <v/>
      </c>
      <c r="S63" s="38">
        <f>IFERROR(N63/P63,0)</f>
        <v/>
      </c>
      <c r="T63" s="31">
        <f>IFERROR(IF(N63&gt;0,(N63/K63),MIN(1,M63/J63)),0)</f>
        <v/>
      </c>
      <c r="U63" s="32" t="n"/>
    </row>
    <row r="64" hidden="1" s="40">
      <c r="A64" s="18" t="inlineStr">
        <is>
          <t>Semana 3 - janeiro</t>
        </is>
      </c>
      <c r="B64" s="27">
        <f>YEAR(E64)</f>
        <v/>
      </c>
      <c r="C64" s="18">
        <f>INDEX({"Janeiro";"Fevereiro";"Março";"Abril";"Maio";"Junho";"Julho";"Agosto";"Setembro";"Outubro";"Novembro";"Dezembro"},Q64)</f>
        <v/>
      </c>
      <c r="D64" s="19" t="n">
        <v>3</v>
      </c>
      <c r="E64" s="20" t="n">
        <v>46033</v>
      </c>
      <c r="F64" s="18" t="inlineStr">
        <is>
          <t>Iogurte Coco 120g</t>
        </is>
      </c>
      <c r="G64" s="18" t="inlineStr">
        <is>
          <t>IOGURTE</t>
        </is>
      </c>
      <c r="H64" s="21" t="n">
        <v>0.12</v>
      </c>
      <c r="I64" s="36" t="n">
        <v>14000</v>
      </c>
      <c r="J64" s="21">
        <f>I64*H64</f>
        <v/>
      </c>
      <c r="K64" s="21">
        <f>IFERROR(IF(J64/P64&gt;1,P64,J64),0)</f>
        <v/>
      </c>
      <c r="L64" s="36" t="n">
        <v>4856</v>
      </c>
      <c r="M64" s="21">
        <f>L64*H64</f>
        <v/>
      </c>
      <c r="N64" s="21">
        <f>IFERROR(IF(M64/K64&gt;1,K64,M64),0)</f>
        <v/>
      </c>
      <c r="O64" s="36" t="n">
        <v>5000</v>
      </c>
      <c r="P64" s="21">
        <f>O64*H64</f>
        <v/>
      </c>
      <c r="Q64" s="30">
        <f>IF(MONTH(E64+1)=MONTH(E64+6),MONTH(E64+1),IF(MIN(EOMONTH(E64+1,0),E64+6)-(E64+1)+1&gt;=3,MONTH(E64+1),MONTH(E64+6)))</f>
        <v/>
      </c>
      <c r="R64" s="22">
        <f>IFERROR(K64/P64, 0)</f>
        <v/>
      </c>
      <c r="S64" s="38">
        <f>IFERROR(N64/P64,0)</f>
        <v/>
      </c>
      <c r="T64" s="31">
        <f>IFERROR(IF(N64&gt;0,(N64/K64),MIN(1,M64/J64)),0)</f>
        <v/>
      </c>
      <c r="U64" s="32" t="n"/>
    </row>
    <row r="65" hidden="1" s="40">
      <c r="A65" s="23" t="inlineStr">
        <is>
          <t>Semana 3 - janeiro</t>
        </is>
      </c>
      <c r="B65" s="27">
        <f>YEAR(E65)</f>
        <v/>
      </c>
      <c r="C65" s="18">
        <f>INDEX({"Janeiro";"Fevereiro";"Março";"Abril";"Maio";"Junho";"Julho";"Agosto";"Setembro";"Outubro";"Novembro";"Dezembro"},Q65)</f>
        <v/>
      </c>
      <c r="D65" s="24" t="n">
        <v>3</v>
      </c>
      <c r="E65" s="25" t="n">
        <v>46033</v>
      </c>
      <c r="F65" s="23" t="inlineStr">
        <is>
          <t>Iogurte Coco 185g</t>
        </is>
      </c>
      <c r="G65" s="23" t="inlineStr">
        <is>
          <t>IOGURTE</t>
        </is>
      </c>
      <c r="H65" s="26" t="n">
        <v>0.185</v>
      </c>
      <c r="I65" s="36" t="n">
        <v>1040</v>
      </c>
      <c r="J65" s="21">
        <f>I65*H65</f>
        <v/>
      </c>
      <c r="K65" s="21">
        <f>IFERROR(IF(J65/P65&gt;1,P65,J65),0)</f>
        <v/>
      </c>
      <c r="L65" s="36" t="n">
        <v>493</v>
      </c>
      <c r="M65" s="21">
        <f>L65*H65</f>
        <v/>
      </c>
      <c r="N65" s="21">
        <f>IFERROR(IF(M65/K65&gt;1,K65,M65),0)</f>
        <v/>
      </c>
      <c r="O65" s="36" t="n">
        <v>520</v>
      </c>
      <c r="P65" s="21">
        <f>O65*H65</f>
        <v/>
      </c>
      <c r="Q65" s="30">
        <f>IF(MONTH(E65+1)=MONTH(E65+6),MONTH(E65+1),IF(MIN(EOMONTH(E65+1,0),E65+6)-(E65+1)+1&gt;=3,MONTH(E65+1),MONTH(E65+6)))</f>
        <v/>
      </c>
      <c r="R65" s="22">
        <f>IFERROR(K65/P65, 0)</f>
        <v/>
      </c>
      <c r="S65" s="38">
        <f>IFERROR(N65/P65,0)</f>
        <v/>
      </c>
      <c r="T65" s="31">
        <f>IFERROR(IF(N65&gt;0,(N65/K65),MIN(1,M65/J65)),0)</f>
        <v/>
      </c>
      <c r="U65" s="32" t="n"/>
    </row>
    <row r="66" hidden="1" s="40">
      <c r="A66" s="18" t="inlineStr">
        <is>
          <t>Semana 3 - janeiro</t>
        </is>
      </c>
      <c r="B66" s="27">
        <f>YEAR(E66)</f>
        <v/>
      </c>
      <c r="C66" s="18">
        <f>INDEX({"Janeiro";"Fevereiro";"Março";"Abril";"Maio";"Junho";"Julho";"Agosto";"Setembro";"Outubro";"Novembro";"Dezembro"},Q66)</f>
        <v/>
      </c>
      <c r="D66" s="19" t="n">
        <v>3</v>
      </c>
      <c r="E66" s="20" t="n">
        <v>46033</v>
      </c>
      <c r="F66" s="18" t="inlineStr">
        <is>
          <t>Iogurte Coco 900g</t>
        </is>
      </c>
      <c r="G66" s="18" t="inlineStr">
        <is>
          <t>IOGURTE</t>
        </is>
      </c>
      <c r="H66" s="21" t="n">
        <v>0.9</v>
      </c>
      <c r="I66" s="36" t="n">
        <v>4680</v>
      </c>
      <c r="J66" s="21">
        <f>I66*H66</f>
        <v/>
      </c>
      <c r="K66" s="21">
        <f>IFERROR(IF(J66/P66&gt;1,P66,J66),0)</f>
        <v/>
      </c>
      <c r="L66" s="36" t="n">
        <v>1796</v>
      </c>
      <c r="M66" s="21">
        <f>L66*H66</f>
        <v/>
      </c>
      <c r="N66" s="21">
        <f>IFERROR(IF(M66/K66&gt;1,K66,M66),0)</f>
        <v/>
      </c>
      <c r="O66" s="36" t="n">
        <v>1800</v>
      </c>
      <c r="P66" s="21">
        <f>O66*H66</f>
        <v/>
      </c>
      <c r="Q66" s="30">
        <f>IF(MONTH(E66+1)=MONTH(E66+6),MONTH(E66+1),IF(MIN(EOMONTH(E66+1,0),E66+6)-(E66+1)+1&gt;=3,MONTH(E66+1),MONTH(E66+6)))</f>
        <v/>
      </c>
      <c r="R66" s="22">
        <f>IFERROR(K66/P66, 0)</f>
        <v/>
      </c>
      <c r="S66" s="38">
        <f>IFERROR(N66/P66,0)</f>
        <v/>
      </c>
      <c r="T66" s="31">
        <f>IFERROR(IF(N66&gt;0,(N66/K66),MIN(1,M66/J66)),0)</f>
        <v/>
      </c>
      <c r="U66" s="32" t="n"/>
    </row>
    <row r="67" hidden="1" s="40">
      <c r="A67" s="23" t="inlineStr">
        <is>
          <t>Semana 3 - janeiro</t>
        </is>
      </c>
      <c r="B67" s="27">
        <f>YEAR(E67)</f>
        <v/>
      </c>
      <c r="C67" s="18">
        <f>INDEX({"Janeiro";"Fevereiro";"Março";"Abril";"Maio";"Junho";"Julho";"Agosto";"Setembro";"Outubro";"Novembro";"Dezembro"},Q67)</f>
        <v/>
      </c>
      <c r="D67" s="24" t="n">
        <v>3</v>
      </c>
      <c r="E67" s="25" t="n">
        <v>46033</v>
      </c>
      <c r="F67" s="23" t="inlineStr">
        <is>
          <t>Iogurte Grego Frutas vermelhas 120g</t>
        </is>
      </c>
      <c r="G67" s="23" t="inlineStr">
        <is>
          <t>IOGURTE</t>
        </is>
      </c>
      <c r="H67" s="26" t="n">
        <v>0.17</v>
      </c>
      <c r="I67" s="36" t="n">
        <v>0</v>
      </c>
      <c r="J67" s="21">
        <f>I67*H67</f>
        <v/>
      </c>
      <c r="K67" s="21">
        <f>IFERROR(IF(J67/P67&gt;1,P67,J67),0)</f>
        <v/>
      </c>
      <c r="L67" s="36" t="n">
        <v>0</v>
      </c>
      <c r="M67" s="21">
        <f>L67*H67</f>
        <v/>
      </c>
      <c r="N67" s="21">
        <f>IFERROR(IF(M67/K67&gt;1,K67,M67),0)</f>
        <v/>
      </c>
      <c r="O67" s="36" t="n">
        <v>1400</v>
      </c>
      <c r="P67" s="21">
        <f>O67*H67</f>
        <v/>
      </c>
      <c r="Q67" s="30">
        <f>IF(MONTH(E67+1)=MONTH(E67+6),MONTH(E67+1),IF(MIN(EOMONTH(E67+1,0),E67+6)-(E67+1)+1&gt;=3,MONTH(E67+1),MONTH(E67+6)))</f>
        <v/>
      </c>
      <c r="R67" s="22">
        <f>IFERROR(K67/P67, 0)</f>
        <v/>
      </c>
      <c r="S67" s="38">
        <f>IFERROR(N67/P67,0)</f>
        <v/>
      </c>
      <c r="T67" s="31">
        <f>IFERROR(IF(N67&gt;0,(N67/K67),MIN(1,M67/J67)),0)</f>
        <v/>
      </c>
      <c r="U67" s="32" t="n"/>
    </row>
    <row r="68" hidden="1" s="40">
      <c r="A68" s="23" t="inlineStr">
        <is>
          <t>Semana 3 - janeiro</t>
        </is>
      </c>
      <c r="B68" s="27">
        <f>YEAR(E68)</f>
        <v/>
      </c>
      <c r="C68" s="18">
        <f>INDEX({"Janeiro";"Fevereiro";"Março";"Abril";"Maio";"Junho";"Julho";"Agosto";"Setembro";"Outubro";"Novembro";"Dezembro"},Q68)</f>
        <v/>
      </c>
      <c r="D68" s="24" t="n">
        <v>3</v>
      </c>
      <c r="E68" s="25" t="n">
        <v>46033</v>
      </c>
      <c r="F68" s="23" t="inlineStr">
        <is>
          <t>Iogurte Morango 120g</t>
        </is>
      </c>
      <c r="G68" s="23" t="inlineStr">
        <is>
          <t>IOGURTE</t>
        </is>
      </c>
      <c r="H68" s="26" t="n">
        <v>0.12</v>
      </c>
      <c r="I68" s="36" t="n">
        <v>21000</v>
      </c>
      <c r="J68" s="21">
        <f>I68*H68</f>
        <v/>
      </c>
      <c r="K68" s="21">
        <f>IFERROR(IF(J68/P68&gt;1,P68,J68),0)</f>
        <v/>
      </c>
      <c r="L68" s="36" t="n">
        <v>21355</v>
      </c>
      <c r="M68" s="21">
        <f>L68*H68</f>
        <v/>
      </c>
      <c r="N68" s="21">
        <f>IFERROR(IF(M68/K68&gt;1,K68,M68),0)</f>
        <v/>
      </c>
      <c r="O68" s="36" t="n">
        <v>20000</v>
      </c>
      <c r="P68" s="21">
        <f>O68*H68</f>
        <v/>
      </c>
      <c r="Q68" s="30">
        <f>IF(MONTH(E68+1)=MONTH(E68+6),MONTH(E68+1),IF(MIN(EOMONTH(E68+1,0),E68+6)-(E68+1)+1&gt;=3,MONTH(E68+1),MONTH(E68+6)))</f>
        <v/>
      </c>
      <c r="R68" s="22">
        <f>IFERROR(K68/P68, 0)</f>
        <v/>
      </c>
      <c r="S68" s="38">
        <f>IFERROR(N68/P68,0)</f>
        <v/>
      </c>
      <c r="T68" s="31">
        <f>IFERROR(IF(N68&gt;0,(N68/K68),MIN(1,M68/J68)),0)</f>
        <v/>
      </c>
      <c r="U68" s="32" t="n"/>
    </row>
    <row r="69" hidden="1" s="40">
      <c r="A69" s="18" t="inlineStr">
        <is>
          <t>Semana 3 - janeiro</t>
        </is>
      </c>
      <c r="B69" s="27">
        <f>YEAR(E69)</f>
        <v/>
      </c>
      <c r="C69" s="18">
        <f>INDEX({"Janeiro";"Fevereiro";"Março";"Abril";"Maio";"Junho";"Julho";"Agosto";"Setembro";"Outubro";"Novembro";"Dezembro"},Q69)</f>
        <v/>
      </c>
      <c r="D69" s="19" t="n">
        <v>3</v>
      </c>
      <c r="E69" s="20" t="n">
        <v>46033</v>
      </c>
      <c r="F69" s="18" t="inlineStr">
        <is>
          <t>Iogurte Morango 185g</t>
        </is>
      </c>
      <c r="G69" s="18" t="inlineStr">
        <is>
          <t>IOGURTE</t>
        </is>
      </c>
      <c r="H69" s="21" t="n">
        <v>0.185</v>
      </c>
      <c r="I69" s="36" t="n">
        <v>1300</v>
      </c>
      <c r="J69" s="21">
        <f>I69*H69</f>
        <v/>
      </c>
      <c r="K69" s="21">
        <f>IFERROR(IF(J69/P69&gt;1,P69,J69),0)</f>
        <v/>
      </c>
      <c r="L69" s="36" t="n">
        <v>1268</v>
      </c>
      <c r="M69" s="21">
        <f>L69*H69</f>
        <v/>
      </c>
      <c r="N69" s="21">
        <f>IFERROR(IF(M69/K69&gt;1,K69,M69),0)</f>
        <v/>
      </c>
      <c r="O69" s="36" t="n">
        <v>1300</v>
      </c>
      <c r="P69" s="21">
        <f>O69*H69</f>
        <v/>
      </c>
      <c r="Q69" s="30">
        <f>IF(MONTH(E69+1)=MONTH(E69+6),MONTH(E69+1),IF(MIN(EOMONTH(E69+1,0),E69+6)-(E69+1)+1&gt;=3,MONTH(E69+1),MONTH(E69+6)))</f>
        <v/>
      </c>
      <c r="R69" s="22">
        <f>IFERROR(K69/P69, 0)</f>
        <v/>
      </c>
      <c r="S69" s="38">
        <f>IFERROR(N69/P69,0)</f>
        <v/>
      </c>
      <c r="T69" s="31">
        <f>IFERROR(IF(N69&gt;0,(N69/K69),MIN(1,M69/J69)),0)</f>
        <v/>
      </c>
      <c r="U69" s="32" t="n"/>
    </row>
    <row r="70" hidden="1" s="40">
      <c r="A70" s="23" t="inlineStr">
        <is>
          <t>Semana 3 - janeiro</t>
        </is>
      </c>
      <c r="B70" s="27">
        <f>YEAR(E70)</f>
        <v/>
      </c>
      <c r="C70" s="18">
        <f>INDEX({"Janeiro";"Fevereiro";"Março";"Abril";"Maio";"Junho";"Julho";"Agosto";"Setembro";"Outubro";"Novembro";"Dezembro"},Q70)</f>
        <v/>
      </c>
      <c r="D70" s="24" t="n">
        <v>3</v>
      </c>
      <c r="E70" s="25" t="n">
        <v>46033</v>
      </c>
      <c r="F70" s="23" t="inlineStr">
        <is>
          <t>Iogurte Morango 900G</t>
        </is>
      </c>
      <c r="G70" s="23" t="inlineStr">
        <is>
          <t>IOGURTE</t>
        </is>
      </c>
      <c r="H70" s="26" t="n">
        <v>0.9</v>
      </c>
      <c r="I70" s="36" t="n">
        <v>3690</v>
      </c>
      <c r="J70" s="21">
        <f>I70*H70</f>
        <v/>
      </c>
      <c r="K70" s="21">
        <f>IFERROR(IF(J70/P70&gt;1,P70,J70),0)</f>
        <v/>
      </c>
      <c r="L70" s="36" t="n">
        <v>3680</v>
      </c>
      <c r="M70" s="21">
        <f>L70*H70</f>
        <v/>
      </c>
      <c r="N70" s="21">
        <f>IFERROR(IF(M70/K70&gt;1,K70,M70),0)</f>
        <v/>
      </c>
      <c r="O70" s="36" t="n">
        <v>2700</v>
      </c>
      <c r="P70" s="21">
        <f>O70*H70</f>
        <v/>
      </c>
      <c r="Q70" s="30">
        <f>IF(MONTH(E70+1)=MONTH(E70+6),MONTH(E70+1),IF(MIN(EOMONTH(E70+1,0),E70+6)-(E70+1)+1&gt;=3,MONTH(E70+1),MONTH(E70+6)))</f>
        <v/>
      </c>
      <c r="R70" s="22">
        <f>IFERROR(K70/P70, 0)</f>
        <v/>
      </c>
      <c r="S70" s="38">
        <f>IFERROR(N70/P70,0)</f>
        <v/>
      </c>
      <c r="T70" s="31">
        <f>IFERROR(IF(N70&gt;0,(N70/K70),MIN(1,M70/J70)),0)</f>
        <v/>
      </c>
      <c r="U70" s="32" t="n"/>
    </row>
    <row r="71" hidden="1" s="40">
      <c r="A71" s="18" t="inlineStr">
        <is>
          <t>Semana 3 - janeiro</t>
        </is>
      </c>
      <c r="B71" s="27">
        <f>YEAR(E71)</f>
        <v/>
      </c>
      <c r="C71" s="18">
        <f>INDEX({"Janeiro";"Fevereiro";"Março";"Abril";"Maio";"Junho";"Julho";"Agosto";"Setembro";"Outubro";"Novembro";"Dezembro"},Q71)</f>
        <v/>
      </c>
      <c r="D71" s="19" t="n">
        <v>3</v>
      </c>
      <c r="E71" s="20" t="n">
        <v>46033</v>
      </c>
      <c r="F71" s="18" t="inlineStr">
        <is>
          <t>Iogurte Natural Integral 170g</t>
        </is>
      </c>
      <c r="G71" s="18" t="inlineStr">
        <is>
          <t>IOGURTE</t>
        </is>
      </c>
      <c r="H71" s="21" t="n">
        <v>0.17</v>
      </c>
      <c r="I71" s="36" t="n">
        <v>1500</v>
      </c>
      <c r="J71" s="21">
        <f>I71*H71</f>
        <v/>
      </c>
      <c r="K71" s="21">
        <f>IFERROR(IF(J71/P71&gt;1,P71,J71),0)</f>
        <v/>
      </c>
      <c r="L71" s="36" t="n">
        <v>740</v>
      </c>
      <c r="M71" s="21">
        <f>L71*H71</f>
        <v/>
      </c>
      <c r="N71" s="21">
        <f>IFERROR(IF(M71/K71&gt;1,K71,M71),0)</f>
        <v/>
      </c>
      <c r="O71" s="36" t="n">
        <v>1400</v>
      </c>
      <c r="P71" s="21">
        <f>O71*H71</f>
        <v/>
      </c>
      <c r="Q71" s="30">
        <f>IF(MONTH(E71+1)=MONTH(E71+6),MONTH(E71+1),IF(MIN(EOMONTH(E71+1,0),E71+6)-(E71+1)+1&gt;=3,MONTH(E71+1),MONTH(E71+6)))</f>
        <v/>
      </c>
      <c r="R71" s="22">
        <f>IFERROR(K71/P71, 0)</f>
        <v/>
      </c>
      <c r="S71" s="38">
        <f>IFERROR(N71/P71,0)</f>
        <v/>
      </c>
      <c r="T71" s="31">
        <f>IFERROR(IF(N71&gt;0,(N71/K71),MIN(1,M71/J71)),0)</f>
        <v/>
      </c>
      <c r="U71" s="32" t="n"/>
    </row>
    <row r="72" hidden="1" s="40">
      <c r="A72" s="23" t="inlineStr">
        <is>
          <t>Semana 3 - janeiro</t>
        </is>
      </c>
      <c r="B72" s="27">
        <f>YEAR(E72)</f>
        <v/>
      </c>
      <c r="C72" s="18">
        <f>INDEX({"Janeiro";"Fevereiro";"Março";"Abril";"Maio";"Junho";"Julho";"Agosto";"Setembro";"Outubro";"Novembro";"Dezembro"},Q72)</f>
        <v/>
      </c>
      <c r="D72" s="24" t="n">
        <v>3</v>
      </c>
      <c r="E72" s="25" t="n">
        <v>46033</v>
      </c>
      <c r="F72" s="23" t="inlineStr">
        <is>
          <t>Iogurte Natural Triplo Zero 170g</t>
        </is>
      </c>
      <c r="G72" s="23" t="inlineStr">
        <is>
          <t>IOGURTE</t>
        </is>
      </c>
      <c r="H72" s="26" t="n">
        <v>0.17</v>
      </c>
      <c r="I72" s="36" t="n">
        <v>750</v>
      </c>
      <c r="J72" s="21">
        <f>I72*H72</f>
        <v/>
      </c>
      <c r="K72" s="21">
        <f>IFERROR(IF(J72/P72&gt;1,P72,J72),0)</f>
        <v/>
      </c>
      <c r="L72" s="36" t="n">
        <v>702</v>
      </c>
      <c r="M72" s="21">
        <f>L72*H72</f>
        <v/>
      </c>
      <c r="N72" s="21">
        <f>IFERROR(IF(M72/K72&gt;1,K72,M72),0)</f>
        <v/>
      </c>
      <c r="O72" s="36" t="n">
        <v>1400</v>
      </c>
      <c r="P72" s="21">
        <f>O72*H72</f>
        <v/>
      </c>
      <c r="Q72" s="30">
        <f>IF(MONTH(E72+1)=MONTH(E72+6),MONTH(E72+1),IF(MIN(EOMONTH(E72+1,0),E72+6)-(E72+1)+1&gt;=3,MONTH(E72+1),MONTH(E72+6)))</f>
        <v/>
      </c>
      <c r="R72" s="22">
        <f>IFERROR(K72/P72, 0)</f>
        <v/>
      </c>
      <c r="S72" s="38">
        <f>IFERROR(N72/P72,0)</f>
        <v/>
      </c>
      <c r="T72" s="31">
        <f>IFERROR(IF(N72&gt;0,(N72/K72),MIN(1,M72/J72)),0)</f>
        <v/>
      </c>
      <c r="U72" s="32" t="n"/>
    </row>
    <row r="73" hidden="1" s="40">
      <c r="A73" s="23" t="inlineStr">
        <is>
          <t>Semana 3 - janeiro</t>
        </is>
      </c>
      <c r="B73" s="27">
        <f>YEAR(E73)</f>
        <v/>
      </c>
      <c r="C73" s="18">
        <f>INDEX({"Janeiro";"Fevereiro";"Março";"Abril";"Maio";"Junho";"Julho";"Agosto";"Setembro";"Outubro";"Novembro";"Dezembro"},Q73)</f>
        <v/>
      </c>
      <c r="D73" s="24" t="n">
        <v>3</v>
      </c>
      <c r="E73" s="25" t="n">
        <v>46033</v>
      </c>
      <c r="F73" s="23" t="inlineStr">
        <is>
          <t>Iogurte Salada 120g</t>
        </is>
      </c>
      <c r="G73" s="23" t="inlineStr">
        <is>
          <t>IOGURTE</t>
        </is>
      </c>
      <c r="H73" s="26" t="n">
        <v>0.12</v>
      </c>
      <c r="I73" s="36" t="n">
        <v>6000</v>
      </c>
      <c r="J73" s="21">
        <f>I73*H73</f>
        <v/>
      </c>
      <c r="K73" s="21">
        <f>IFERROR(IF(J73/P73&gt;1,P73,J73),0)</f>
        <v/>
      </c>
      <c r="L73" s="36" t="n">
        <v>2523</v>
      </c>
      <c r="M73" s="21">
        <f>L73*H73</f>
        <v/>
      </c>
      <c r="N73" s="21">
        <f>IFERROR(IF(M73/K73&gt;1,K73,M73),0)</f>
        <v/>
      </c>
      <c r="O73" s="36" t="n">
        <v>2000</v>
      </c>
      <c r="P73" s="21">
        <f>O73*H73</f>
        <v/>
      </c>
      <c r="Q73" s="30">
        <f>IF(MONTH(E73+1)=MONTH(E73+6),MONTH(E73+1),IF(MIN(EOMONTH(E73+1,0),E73+6)-(E73+1)+1&gt;=3,MONTH(E73+1),MONTH(E73+6)))</f>
        <v/>
      </c>
      <c r="R73" s="22">
        <f>IFERROR(K73/P73, 0)</f>
        <v/>
      </c>
      <c r="S73" s="38">
        <f>IFERROR(N73/P73,0)</f>
        <v/>
      </c>
      <c r="T73" s="31">
        <f>IFERROR(IF(N73&gt;0,(N73/K73),MIN(1,M73/J73)),0)</f>
        <v/>
      </c>
      <c r="U73" s="32" t="n"/>
    </row>
    <row r="74" hidden="1" s="40">
      <c r="A74" s="18" t="inlineStr">
        <is>
          <t>Semana 3 - janeiro</t>
        </is>
      </c>
      <c r="B74" s="27">
        <f>YEAR(E74)</f>
        <v/>
      </c>
      <c r="C74" s="18">
        <f>INDEX({"Janeiro";"Fevereiro";"Março";"Abril";"Maio";"Junho";"Julho";"Agosto";"Setembro";"Outubro";"Novembro";"Dezembro"},Q74)</f>
        <v/>
      </c>
      <c r="D74" s="19" t="n">
        <v>3</v>
      </c>
      <c r="E74" s="20" t="n">
        <v>46033</v>
      </c>
      <c r="F74" s="18" t="inlineStr">
        <is>
          <t>Iogurte Salada 185g</t>
        </is>
      </c>
      <c r="G74" s="18" t="inlineStr">
        <is>
          <t>IOGURTE</t>
        </is>
      </c>
      <c r="H74" s="21" t="n">
        <v>0.185</v>
      </c>
      <c r="I74" s="36" t="n">
        <v>1300</v>
      </c>
      <c r="J74" s="21">
        <f>I74*H74</f>
        <v/>
      </c>
      <c r="K74" s="21">
        <f>IFERROR(IF(J74/P74&gt;1,P74,J74),0)</f>
        <v/>
      </c>
      <c r="L74" s="36" t="n">
        <v>515</v>
      </c>
      <c r="M74" s="21">
        <f>L74*H74</f>
        <v/>
      </c>
      <c r="N74" s="21">
        <f>IFERROR(IF(M74/K74&gt;1,K74,M74),0)</f>
        <v/>
      </c>
      <c r="O74" s="36" t="n">
        <v>520</v>
      </c>
      <c r="P74" s="21">
        <f>O74*H74</f>
        <v/>
      </c>
      <c r="Q74" s="30">
        <f>IF(MONTH(E74+1)=MONTH(E74+6),MONTH(E74+1),IF(MIN(EOMONTH(E74+1,0),E74+6)-(E74+1)+1&gt;=3,MONTH(E74+1),MONTH(E74+6)))</f>
        <v/>
      </c>
      <c r="R74" s="22">
        <f>IFERROR(K74/P74, 0)</f>
        <v/>
      </c>
      <c r="S74" s="38">
        <f>IFERROR(N74/P74,0)</f>
        <v/>
      </c>
      <c r="T74" s="31">
        <f>IFERROR(IF(N74&gt;0,(N74/K74),MIN(1,M74/J74)),0)</f>
        <v/>
      </c>
      <c r="U74" s="33" t="n"/>
    </row>
    <row r="75" hidden="1" s="40">
      <c r="A75" s="23" t="inlineStr">
        <is>
          <t>Semana 3 - janeiro</t>
        </is>
      </c>
      <c r="B75" s="27">
        <f>YEAR(E75)</f>
        <v/>
      </c>
      <c r="C75" s="18">
        <f>INDEX({"Janeiro";"Fevereiro";"Março";"Abril";"Maio";"Junho";"Julho";"Agosto";"Setembro";"Outubro";"Novembro";"Dezembro"},Q75)</f>
        <v/>
      </c>
      <c r="D75" s="24" t="n">
        <v>3</v>
      </c>
      <c r="E75" s="25" t="n">
        <v>46033</v>
      </c>
      <c r="F75" s="23" t="inlineStr">
        <is>
          <t>Iogurte Salada 900g</t>
        </is>
      </c>
      <c r="G75" s="23" t="inlineStr">
        <is>
          <t>IOGURTE</t>
        </is>
      </c>
      <c r="H75" s="26" t="n">
        <v>0.9</v>
      </c>
      <c r="I75" s="36" t="n">
        <v>3150</v>
      </c>
      <c r="J75" s="21">
        <f>I75*H75</f>
        <v/>
      </c>
      <c r="K75" s="21">
        <f>IFERROR(IF(J75/P75&gt;1,P75,J75),0)</f>
        <v/>
      </c>
      <c r="L75" s="36" t="n">
        <v>1249</v>
      </c>
      <c r="M75" s="21">
        <f>L75*H75</f>
        <v/>
      </c>
      <c r="N75" s="21">
        <f>IFERROR(IF(M75/K75&gt;1,K75,M75),0)</f>
        <v/>
      </c>
      <c r="O75" s="36" t="n">
        <v>1200</v>
      </c>
      <c r="P75" s="21">
        <f>O75*H75</f>
        <v/>
      </c>
      <c r="Q75" s="30">
        <f>IF(MONTH(E75+1)=MONTH(E75+6),MONTH(E75+1),IF(MIN(EOMONTH(E75+1,0),E75+6)-(E75+1)+1&gt;=3,MONTH(E75+1),MONTH(E75+6)))</f>
        <v/>
      </c>
      <c r="R75" s="22">
        <f>IFERROR(K75/P75, 0)</f>
        <v/>
      </c>
      <c r="S75" s="38">
        <f>IFERROR(N75/P75,0)</f>
        <v/>
      </c>
      <c r="T75" s="31">
        <f>IFERROR(IF(N75&gt;0,(N75/K75),MIN(1,M75/J75)),0)</f>
        <v/>
      </c>
      <c r="U75" s="33" t="n"/>
    </row>
    <row r="76" hidden="1" s="40">
      <c r="A76" s="18" t="inlineStr">
        <is>
          <t>Semana 3 - janeiro</t>
        </is>
      </c>
      <c r="B76" s="27">
        <f>YEAR(E76)</f>
        <v/>
      </c>
      <c r="C76" s="18">
        <f>INDEX({"Janeiro";"Fevereiro";"Março";"Abril";"Maio";"Junho";"Julho";"Agosto";"Setembro";"Outubro";"Novembro";"Dezembro"},Q76)</f>
        <v/>
      </c>
      <c r="D76" s="19" t="n">
        <v>3</v>
      </c>
      <c r="E76" s="20" t="n">
        <v>46033</v>
      </c>
      <c r="F76" s="18" t="inlineStr">
        <is>
          <t>Iogurte Vida Leve Ameixa c/ Grãos 180g</t>
        </is>
      </c>
      <c r="G76" s="18" t="inlineStr">
        <is>
          <t>IOGURTE</t>
        </is>
      </c>
      <c r="H76" s="21" t="n">
        <v>0.18</v>
      </c>
      <c r="I76" s="36" t="n">
        <v>0</v>
      </c>
      <c r="J76" s="21">
        <f>I76*H76</f>
        <v/>
      </c>
      <c r="K76" s="21">
        <f>IFERROR(IF(J76/P76&gt;1,P76,J76),0)</f>
        <v/>
      </c>
      <c r="L76" s="36" t="n">
        <v>0</v>
      </c>
      <c r="M76" s="21">
        <f>L76*H76</f>
        <v/>
      </c>
      <c r="N76" s="21">
        <f>IFERROR(IF(M76/K76&gt;1,K76,M76),0)</f>
        <v/>
      </c>
      <c r="O76" s="36" t="n">
        <v>0</v>
      </c>
      <c r="P76" s="21">
        <f>O76*H76</f>
        <v/>
      </c>
      <c r="Q76" s="30">
        <f>IF(MONTH(E76+1)=MONTH(E76+6),MONTH(E76+1),IF(MIN(EOMONTH(E76+1,0),E76+6)-(E76+1)+1&gt;=3,MONTH(E76+1),MONTH(E76+6)))</f>
        <v/>
      </c>
      <c r="R76" s="22">
        <f>IFERROR(K76/P76, 0)</f>
        <v/>
      </c>
      <c r="S76" s="38">
        <f>IFERROR(N76/P76,0)</f>
        <v/>
      </c>
      <c r="T76" s="31">
        <f>IFERROR(IF(N76&gt;0,(N76/K76),MIN(1,M76/J76)),0)</f>
        <v/>
      </c>
      <c r="U76" s="33" t="n"/>
    </row>
    <row r="77" hidden="1" s="40">
      <c r="A77" s="23" t="inlineStr">
        <is>
          <t>Semana 3 - janeiro</t>
        </is>
      </c>
      <c r="B77" s="27">
        <f>YEAR(E77)</f>
        <v/>
      </c>
      <c r="C77" s="18">
        <f>INDEX({"Janeiro";"Fevereiro";"Março";"Abril";"Maio";"Junho";"Julho";"Agosto";"Setembro";"Outubro";"Novembro";"Dezembro"},Q77)</f>
        <v/>
      </c>
      <c r="D77" s="24" t="n">
        <v>3</v>
      </c>
      <c r="E77" s="25" t="n">
        <v>46033</v>
      </c>
      <c r="F77" s="23" t="inlineStr">
        <is>
          <t>Iogurte Vida Leve Ameixa c/ Grãos 500g</t>
        </is>
      </c>
      <c r="G77" s="23" t="inlineStr">
        <is>
          <t>IOGURTE</t>
        </is>
      </c>
      <c r="H77" s="26" t="n">
        <v>0.5</v>
      </c>
      <c r="I77" s="36" t="n">
        <v>0</v>
      </c>
      <c r="J77" s="21">
        <f>I77*H77</f>
        <v/>
      </c>
      <c r="K77" s="21">
        <f>IFERROR(IF(J77/P77&gt;1,P77,J77),0)</f>
        <v/>
      </c>
      <c r="L77" s="36" t="n">
        <v>0</v>
      </c>
      <c r="M77" s="21">
        <f>L77*H77</f>
        <v/>
      </c>
      <c r="N77" s="21">
        <f>IFERROR(IF(M77/K77&gt;1,K77,M77),0)</f>
        <v/>
      </c>
      <c r="O77" s="36" t="n">
        <v>0</v>
      </c>
      <c r="P77" s="21">
        <f>O77*H77</f>
        <v/>
      </c>
      <c r="Q77" s="30">
        <f>IF(MONTH(E77+1)=MONTH(E77+6),MONTH(E77+1),IF(MIN(EOMONTH(E77+1,0),E77+6)-(E77+1)+1&gt;=3,MONTH(E77+1),MONTH(E77+6)))</f>
        <v/>
      </c>
      <c r="R77" s="22">
        <f>IFERROR(K77/P77, 0)</f>
        <v/>
      </c>
      <c r="S77" s="38">
        <f>IFERROR(N77/P77,0)</f>
        <v/>
      </c>
      <c r="T77" s="31">
        <f>IFERROR(IF(N77&gt;0,(N77/K77),MIN(1,M77/J77)),0)</f>
        <v/>
      </c>
      <c r="U77" s="33" t="n"/>
    </row>
    <row r="78" hidden="1" s="40">
      <c r="A78" s="18" t="inlineStr">
        <is>
          <t>Semana 3 - janeiro</t>
        </is>
      </c>
      <c r="B78" s="27">
        <f>YEAR(E78)</f>
        <v/>
      </c>
      <c r="C78" s="18">
        <f>INDEX({"Janeiro";"Fevereiro";"Março";"Abril";"Maio";"Junho";"Julho";"Agosto";"Setembro";"Outubro";"Novembro";"Dezembro"},Q78)</f>
        <v/>
      </c>
      <c r="D78" s="19" t="n">
        <v>3</v>
      </c>
      <c r="E78" s="20" t="n">
        <v>46033</v>
      </c>
      <c r="F78" s="18" t="inlineStr">
        <is>
          <t>Iogurte Vida Leve Morango 180g</t>
        </is>
      </c>
      <c r="G78" s="18" t="inlineStr">
        <is>
          <t>IOGURTE</t>
        </is>
      </c>
      <c r="H78" s="21" t="n">
        <v>0.185</v>
      </c>
      <c r="I78" s="36" t="n">
        <v>0</v>
      </c>
      <c r="J78" s="21">
        <f>I78*H78</f>
        <v/>
      </c>
      <c r="K78" s="21">
        <f>IFERROR(IF(J78/P78&gt;1,P78,J78),0)</f>
        <v/>
      </c>
      <c r="L78" s="36" t="n">
        <v>0</v>
      </c>
      <c r="M78" s="21">
        <f>L78*H78</f>
        <v/>
      </c>
      <c r="N78" s="21">
        <f>IFERROR(IF(M78/K78&gt;1,K78,M78),0)</f>
        <v/>
      </c>
      <c r="O78" s="36" t="n">
        <v>0</v>
      </c>
      <c r="P78" s="21">
        <f>O78*H78</f>
        <v/>
      </c>
      <c r="Q78" s="30">
        <f>IF(MONTH(E78+1)=MONTH(E78+6),MONTH(E78+1),IF(MIN(EOMONTH(E78+1,0),E78+6)-(E78+1)+1&gt;=3,MONTH(E78+1),MONTH(E78+6)))</f>
        <v/>
      </c>
      <c r="R78" s="22">
        <f>IFERROR(K78/P78, 0)</f>
        <v/>
      </c>
      <c r="S78" s="38">
        <f>IFERROR(N78/P78,0)</f>
        <v/>
      </c>
      <c r="T78" s="31">
        <f>IFERROR(IF(N78&gt;0,(N78/K78),MIN(1,M78/J78)),0)</f>
        <v/>
      </c>
      <c r="U78" s="33" t="n"/>
    </row>
    <row r="79" hidden="1" s="40">
      <c r="A79" s="23" t="inlineStr">
        <is>
          <t>Semana 3 - janeiro</t>
        </is>
      </c>
      <c r="B79" s="27">
        <f>YEAR(E79)</f>
        <v/>
      </c>
      <c r="C79" s="18">
        <f>INDEX({"Janeiro";"Fevereiro";"Março";"Abril";"Maio";"Junho";"Julho";"Agosto";"Setembro";"Outubro";"Novembro";"Dezembro"},Q79)</f>
        <v/>
      </c>
      <c r="D79" s="24" t="n">
        <v>3</v>
      </c>
      <c r="E79" s="25" t="n">
        <v>46033</v>
      </c>
      <c r="F79" s="23" t="inlineStr">
        <is>
          <t>Iogurte Vida Leve Morango 500g</t>
        </is>
      </c>
      <c r="G79" s="23" t="inlineStr">
        <is>
          <t>IOGURTE</t>
        </is>
      </c>
      <c r="H79" s="26" t="n">
        <v>0.5</v>
      </c>
      <c r="I79" s="36" t="n">
        <v>0</v>
      </c>
      <c r="J79" s="21">
        <f>I79*H79</f>
        <v/>
      </c>
      <c r="K79" s="21">
        <f>IFERROR(IF(J79/P79&gt;1,P79,J79),0)</f>
        <v/>
      </c>
      <c r="L79" s="36" t="n">
        <v>0</v>
      </c>
      <c r="M79" s="21">
        <f>L79*H79</f>
        <v/>
      </c>
      <c r="N79" s="21">
        <f>IFERROR(IF(M79/K79&gt;1,K79,M79),0)</f>
        <v/>
      </c>
      <c r="O79" s="36" t="n">
        <v>0</v>
      </c>
      <c r="P79" s="21">
        <f>O79*H79</f>
        <v/>
      </c>
      <c r="Q79" s="30">
        <f>IF(MONTH(E79+1)=MONTH(E79+6),MONTH(E79+1),IF(MIN(EOMONTH(E79+1,0),E79+6)-(E79+1)+1&gt;=3,MONTH(E79+1),MONTH(E79+6)))</f>
        <v/>
      </c>
      <c r="R79" s="22">
        <f>IFERROR(K79/P79, 0)</f>
        <v/>
      </c>
      <c r="S79" s="38">
        <f>IFERROR(N79/P79,0)</f>
        <v/>
      </c>
      <c r="T79" s="31">
        <f>IFERROR(IF(N79&gt;0,(N79/K79),MIN(1,M79/J79)),0)</f>
        <v/>
      </c>
      <c r="U79" s="33" t="n"/>
    </row>
    <row r="80" hidden="1" s="40">
      <c r="A80" s="18" t="inlineStr">
        <is>
          <t>Semana 3 - janeiro</t>
        </is>
      </c>
      <c r="B80" s="27">
        <f>YEAR(E80)</f>
        <v/>
      </c>
      <c r="C80" s="18">
        <f>INDEX({"Janeiro";"Fevereiro";"Março";"Abril";"Maio";"Junho";"Julho";"Agosto";"Setembro";"Outubro";"Novembro";"Dezembro"},Q80)</f>
        <v/>
      </c>
      <c r="D80" s="19" t="n">
        <v>3</v>
      </c>
      <c r="E80" s="20" t="n">
        <v>46033</v>
      </c>
      <c r="F80" s="18" t="inlineStr">
        <is>
          <t>LEITE PASTEURIZADO VIÇOSA DESNATADO</t>
        </is>
      </c>
      <c r="G80" s="18" t="inlineStr">
        <is>
          <t>LEITE PAST.</t>
        </is>
      </c>
      <c r="H80" s="21" t="n">
        <v>1</v>
      </c>
      <c r="I80" s="36" t="n">
        <v>636</v>
      </c>
      <c r="J80" s="21">
        <f>I80*H80</f>
        <v/>
      </c>
      <c r="K80" s="21">
        <f>IFERROR(IF(J80/P80&gt;1,P80,J80),0)</f>
        <v/>
      </c>
      <c r="L80" s="36" t="n">
        <v>636</v>
      </c>
      <c r="M80" s="21">
        <f>L80*H80</f>
        <v/>
      </c>
      <c r="N80" s="21">
        <f>IFERROR(IF(M80/K80&gt;1,K80,M80),0)</f>
        <v/>
      </c>
      <c r="O80" s="36" t="n">
        <v>636</v>
      </c>
      <c r="P80" s="21">
        <f>O80*H80</f>
        <v/>
      </c>
      <c r="Q80" s="30">
        <f>IF(MONTH(E80+1)=MONTH(E80+6),MONTH(E80+1),IF(MIN(EOMONTH(E80+1,0),E80+6)-(E80+1)+1&gt;=3,MONTH(E80+1),MONTH(E80+6)))</f>
        <v/>
      </c>
      <c r="R80" s="22">
        <f>IFERROR(K80/P80, 0)</f>
        <v/>
      </c>
      <c r="S80" s="38">
        <f>IFERROR(N80/P80,0)</f>
        <v/>
      </c>
      <c r="T80" s="31">
        <f>IFERROR(IF(N80&gt;0,(N80/K80),MIN(1,M80/J80)),0)</f>
        <v/>
      </c>
      <c r="U80" s="33" t="n"/>
    </row>
    <row r="81" hidden="1" s="40">
      <c r="A81" s="23" t="inlineStr">
        <is>
          <t>Semana 3 - janeiro</t>
        </is>
      </c>
      <c r="B81" s="27">
        <f>YEAR(E81)</f>
        <v/>
      </c>
      <c r="C81" s="18">
        <f>INDEX({"Janeiro";"Fevereiro";"Março";"Abril";"Maio";"Junho";"Julho";"Agosto";"Setembro";"Outubro";"Novembro";"Dezembro"},Q81)</f>
        <v/>
      </c>
      <c r="D81" s="24" t="n">
        <v>3</v>
      </c>
      <c r="E81" s="25" t="n">
        <v>46033</v>
      </c>
      <c r="F81" s="23" t="inlineStr">
        <is>
          <t>LEITE PASTEURIZADO VIÇOSA INTEGRAL</t>
        </is>
      </c>
      <c r="G81" s="23" t="inlineStr">
        <is>
          <t>LEITE PAST.</t>
        </is>
      </c>
      <c r="H81" s="26" t="n">
        <v>1</v>
      </c>
      <c r="I81" s="36" t="n">
        <v>16531</v>
      </c>
      <c r="J81" s="21">
        <f>I81*H81</f>
        <v/>
      </c>
      <c r="K81" s="21">
        <f>IFERROR(IF(J81/P81&gt;1,P81,J81),0)</f>
        <v/>
      </c>
      <c r="L81" s="36" t="n">
        <v>16531</v>
      </c>
      <c r="M81" s="21">
        <f>L81*H81</f>
        <v/>
      </c>
      <c r="N81" s="21">
        <f>IFERROR(IF(M81/K81&gt;1,K81,M81),0)</f>
        <v/>
      </c>
      <c r="O81" s="36" t="n">
        <v>16531</v>
      </c>
      <c r="P81" s="21">
        <f>O81*H81</f>
        <v/>
      </c>
      <c r="Q81" s="30">
        <f>IF(MONTH(E81+1)=MONTH(E81+6),MONTH(E81+1),IF(MIN(EOMONTH(E81+1,0),E81+6)-(E81+1)+1&gt;=3,MONTH(E81+1),MONTH(E81+6)))</f>
        <v/>
      </c>
      <c r="R81" s="22">
        <f>IFERROR(K81/P81, 0)</f>
        <v/>
      </c>
      <c r="S81" s="38">
        <f>IFERROR(N81/P81,0)</f>
        <v/>
      </c>
      <c r="T81" s="31">
        <f>IFERROR(IF(N81&gt;0,(N81/K81),MIN(1,M81/J81)),0)</f>
        <v/>
      </c>
      <c r="U81" s="33" t="n"/>
    </row>
    <row r="82" hidden="1" s="40">
      <c r="A82" s="18" t="inlineStr">
        <is>
          <t>Semana 3 - janeiro</t>
        </is>
      </c>
      <c r="B82" s="27">
        <f>YEAR(E82)</f>
        <v/>
      </c>
      <c r="C82" s="18">
        <f>INDEX({"Janeiro";"Fevereiro";"Março";"Abril";"Maio";"Junho";"Julho";"Agosto";"Setembro";"Outubro";"Novembro";"Dezembro"},Q82)</f>
        <v/>
      </c>
      <c r="D82" s="19" t="n">
        <v>3</v>
      </c>
      <c r="E82" s="20" t="n">
        <v>46033</v>
      </c>
      <c r="F82" s="18" t="inlineStr">
        <is>
          <t>LEITE PASTEURIZADO VIÇOSA ZERO LACTOSE INTEGRAL 1 L</t>
        </is>
      </c>
      <c r="G82" s="18" t="inlineStr">
        <is>
          <t>LEITE PAST.</t>
        </is>
      </c>
      <c r="H82" s="21" t="n">
        <v>1</v>
      </c>
      <c r="I82" s="36" t="n">
        <v>498</v>
      </c>
      <c r="J82" s="21">
        <f>I82*H82</f>
        <v/>
      </c>
      <c r="K82" s="21">
        <f>IFERROR(IF(J82/P82&gt;1,P82,J82),0)</f>
        <v/>
      </c>
      <c r="L82" s="36" t="n">
        <v>498</v>
      </c>
      <c r="M82" s="21">
        <f>L82*H82</f>
        <v/>
      </c>
      <c r="N82" s="21">
        <f>IFERROR(IF(M82/K82&gt;1,K82,M82),0)</f>
        <v/>
      </c>
      <c r="O82" s="36" t="n">
        <v>498</v>
      </c>
      <c r="P82" s="21">
        <f>O82*H82</f>
        <v/>
      </c>
      <c r="Q82" s="30">
        <f>IF(MONTH(E82+1)=MONTH(E82+6),MONTH(E82+1),IF(MIN(EOMONTH(E82+1,0),E82+6)-(E82+1)+1&gt;=3,MONTH(E82+1),MONTH(E82+6)))</f>
        <v/>
      </c>
      <c r="R82" s="22">
        <f>IFERROR(K82/P82, 0)</f>
        <v/>
      </c>
      <c r="S82" s="38">
        <f>IFERROR(N82/P82,0)</f>
        <v/>
      </c>
      <c r="T82" s="31">
        <f>IFERROR(IF(N82&gt;0,(N82/K82),MIN(1,M82/J82)),0)</f>
        <v/>
      </c>
      <c r="U82" s="33" t="n"/>
    </row>
    <row r="83" hidden="1" s="40">
      <c r="A83" s="23" t="inlineStr">
        <is>
          <t>Semana 3 - janeiro</t>
        </is>
      </c>
      <c r="B83" s="27">
        <f>YEAR(E83)</f>
        <v/>
      </c>
      <c r="C83" s="18">
        <f>INDEX({"Janeiro";"Fevereiro";"Março";"Abril";"Maio";"Junho";"Julho";"Agosto";"Setembro";"Outubro";"Novembro";"Dezembro"},Q83)</f>
        <v/>
      </c>
      <c r="D83" s="24" t="n">
        <v>3</v>
      </c>
      <c r="E83" s="25" t="n">
        <v>46033</v>
      </c>
      <c r="F83" s="23" t="inlineStr">
        <is>
          <t>Manteiga 200g</t>
        </is>
      </c>
      <c r="G83" s="23" t="inlineStr">
        <is>
          <t>MANTEIGA</t>
        </is>
      </c>
      <c r="H83" s="26" t="n">
        <v>0.2</v>
      </c>
      <c r="I83" s="36" t="n">
        <v>3750</v>
      </c>
      <c r="J83" s="21">
        <f>I83*H83</f>
        <v/>
      </c>
      <c r="K83" s="21">
        <f>IFERROR(IF(J83/P83&gt;1,P83,J83),0)</f>
        <v/>
      </c>
      <c r="L83" s="36" t="n">
        <v>2238</v>
      </c>
      <c r="M83" s="21">
        <f>L83*H83</f>
        <v/>
      </c>
      <c r="N83" s="21">
        <f>IFERROR(IF(M83/K83&gt;1,K83,M83),0)</f>
        <v/>
      </c>
      <c r="O83" s="36" t="n">
        <v>2500</v>
      </c>
      <c r="P83" s="21">
        <f>O83*H83</f>
        <v/>
      </c>
      <c r="Q83" s="30">
        <f>IF(MONTH(E83+1)=MONTH(E83+6),MONTH(E83+1),IF(MIN(EOMONTH(E83+1,0),E83+6)-(E83+1)+1&gt;=3,MONTH(E83+1),MONTH(E83+6)))</f>
        <v/>
      </c>
      <c r="R83" s="22">
        <f>IFERROR(K83/P83, 0)</f>
        <v/>
      </c>
      <c r="S83" s="38">
        <f>IFERROR(N83/P83,0)</f>
        <v/>
      </c>
      <c r="T83" s="31">
        <f>IFERROR(IF(N83&gt;0,(N83/K83),MIN(1,M83/J83)),0)</f>
        <v/>
      </c>
      <c r="U83" s="33" t="n"/>
    </row>
    <row r="84" hidden="1" s="40">
      <c r="A84" s="18" t="inlineStr">
        <is>
          <t>Semana 3 - janeiro</t>
        </is>
      </c>
      <c r="B84" s="27">
        <f>YEAR(E84)</f>
        <v/>
      </c>
      <c r="C84" s="18">
        <f>INDEX({"Janeiro";"Fevereiro";"Março";"Abril";"Maio";"Junho";"Julho";"Agosto";"Setembro";"Outubro";"Novembro";"Dezembro"},Q84)</f>
        <v/>
      </c>
      <c r="D84" s="19" t="n">
        <v>3</v>
      </c>
      <c r="E84" s="20" t="n">
        <v>46033</v>
      </c>
      <c r="F84" s="18" t="inlineStr">
        <is>
          <t>Manteiga 500g</t>
        </is>
      </c>
      <c r="G84" s="18" t="inlineStr">
        <is>
          <t>MANTEIGA</t>
        </is>
      </c>
      <c r="H84" s="21" t="n">
        <v>0.5</v>
      </c>
      <c r="I84" s="36" t="n">
        <v>1650</v>
      </c>
      <c r="J84" s="21">
        <f>I84*H84</f>
        <v/>
      </c>
      <c r="K84" s="21">
        <f>IFERROR(IF(J84/P84&gt;1,P84,J84),0)</f>
        <v/>
      </c>
      <c r="L84" s="36" t="n">
        <v>1057</v>
      </c>
      <c r="M84" s="21">
        <f>L84*H84</f>
        <v/>
      </c>
      <c r="N84" s="21">
        <f>IFERROR(IF(M84/K84&gt;1,K84,M84),0)</f>
        <v/>
      </c>
      <c r="O84" s="36" t="n">
        <v>1100</v>
      </c>
      <c r="P84" s="21">
        <f>O84*H84</f>
        <v/>
      </c>
      <c r="Q84" s="30">
        <f>IF(MONTH(E84+1)=MONTH(E84+6),MONTH(E84+1),IF(MIN(EOMONTH(E84+1,0),E84+6)-(E84+1)+1&gt;=3,MONTH(E84+1),MONTH(E84+6)))</f>
        <v/>
      </c>
      <c r="R84" s="22">
        <f>IFERROR(K84/P84, 0)</f>
        <v/>
      </c>
      <c r="S84" s="38">
        <f>IFERROR(N84/P84,0)</f>
        <v/>
      </c>
      <c r="T84" s="31">
        <f>IFERROR(IF(N84&gt;0,(N84/K84),MIN(1,M84/J84)),0)</f>
        <v/>
      </c>
      <c r="U84" s="33" t="n"/>
    </row>
    <row r="85" hidden="1" s="40">
      <c r="A85" s="23" t="inlineStr">
        <is>
          <t>Semana 3 - janeiro</t>
        </is>
      </c>
      <c r="B85" s="27">
        <f>YEAR(E85)</f>
        <v/>
      </c>
      <c r="C85" s="18">
        <f>INDEX({"Janeiro";"Fevereiro";"Março";"Abril";"Maio";"Junho";"Julho";"Agosto";"Setembro";"Outubro";"Novembro";"Dezembro"},Q85)</f>
        <v/>
      </c>
      <c r="D85" s="24" t="n">
        <v>3</v>
      </c>
      <c r="E85" s="25" t="n">
        <v>46033</v>
      </c>
      <c r="F85" s="23" t="inlineStr">
        <is>
          <t>QUEIJO MINAS MEIA CURA (FRACIONADO)</t>
        </is>
      </c>
      <c r="G85" s="23" t="inlineStr">
        <is>
          <t>QUEIJO</t>
        </is>
      </c>
      <c r="H85" s="26" t="n">
        <v>1</v>
      </c>
      <c r="I85" s="36" t="n">
        <v>200</v>
      </c>
      <c r="J85" s="21">
        <f>I85*H85</f>
        <v/>
      </c>
      <c r="K85" s="21">
        <f>IFERROR(IF(J85/P85&gt;1,P85,J85),0)</f>
        <v/>
      </c>
      <c r="L85" s="36" t="n">
        <v>200</v>
      </c>
      <c r="M85" s="21">
        <f>L85*H85</f>
        <v/>
      </c>
      <c r="N85" s="21">
        <f>IFERROR(IF(M85/K85&gt;1,K85,M85),0)</f>
        <v/>
      </c>
      <c r="O85" s="36" t="n">
        <v>200</v>
      </c>
      <c r="P85" s="21">
        <f>O85*H85</f>
        <v/>
      </c>
      <c r="Q85" s="30">
        <f>IF(MONTH(E85+1)=MONTH(E85+6),MONTH(E85+1),IF(MIN(EOMONTH(E85+1,0),E85+6)-(E85+1)+1&gt;=3,MONTH(E85+1),MONTH(E85+6)))</f>
        <v/>
      </c>
      <c r="R85" s="22">
        <f>IFERROR(K85/P85, 0)</f>
        <v/>
      </c>
      <c r="S85" s="38">
        <f>IFERROR(N85/P85,0)</f>
        <v/>
      </c>
      <c r="T85" s="31">
        <f>IFERROR(IF(N85&gt;0,(N85/K85),MIN(1,M85/J85)),0)</f>
        <v/>
      </c>
      <c r="U85" s="33" t="n"/>
    </row>
    <row r="86" hidden="1" s="40">
      <c r="A86" s="18" t="inlineStr">
        <is>
          <t>Semana 3 - janeiro</t>
        </is>
      </c>
      <c r="B86" s="27">
        <f>YEAR(E86)</f>
        <v/>
      </c>
      <c r="C86" s="18">
        <f>INDEX({"Janeiro";"Fevereiro";"Março";"Abril";"Maio";"Junho";"Julho";"Agosto";"Setembro";"Outubro";"Novembro";"Dezembro"},Q86)</f>
        <v/>
      </c>
      <c r="D86" s="19" t="n">
        <v>3</v>
      </c>
      <c r="E86" s="20" t="n">
        <v>46033</v>
      </c>
      <c r="F86" s="18" t="inlineStr">
        <is>
          <t>QUEIJO MINAS MEIA CURA (INTEIRO)</t>
        </is>
      </c>
      <c r="G86" s="18" t="inlineStr">
        <is>
          <t>QUEIJO</t>
        </is>
      </c>
      <c r="H86" s="21" t="n">
        <v>1</v>
      </c>
      <c r="I86" s="36" t="n">
        <v>0</v>
      </c>
      <c r="J86" s="21">
        <f>I86*H86</f>
        <v/>
      </c>
      <c r="K86" s="21">
        <f>IFERROR(IF(J86/P86&gt;1,P86,J86),0)</f>
        <v/>
      </c>
      <c r="L86" s="36" t="n">
        <v>0</v>
      </c>
      <c r="M86" s="21">
        <f>L86*H86</f>
        <v/>
      </c>
      <c r="N86" s="21">
        <f>IFERROR(IF(M86/K86&gt;1,K86,M86),0)</f>
        <v/>
      </c>
      <c r="O86" s="36" t="n">
        <v>0</v>
      </c>
      <c r="P86" s="21">
        <f>O86*H86</f>
        <v/>
      </c>
      <c r="Q86" s="30">
        <f>IF(MONTH(E86+1)=MONTH(E86+6),MONTH(E86+1),IF(MIN(EOMONTH(E86+1,0),E86+6)-(E86+1)+1&gt;=3,MONTH(E86+1),MONTH(E86+6)))</f>
        <v/>
      </c>
      <c r="R86" s="22">
        <f>IFERROR(K86/P86, 0)</f>
        <v/>
      </c>
      <c r="S86" s="38">
        <f>IFERROR(N86/P86,0)</f>
        <v/>
      </c>
      <c r="T86" s="31">
        <f>IFERROR(IF(N86&gt;0,(N86/K86),MIN(1,M86/J86)),0)</f>
        <v/>
      </c>
      <c r="U86" s="33" t="n"/>
    </row>
    <row r="87" hidden="1" s="40">
      <c r="A87" s="23" t="inlineStr">
        <is>
          <t>Semana 3 - janeiro</t>
        </is>
      </c>
      <c r="B87" s="27">
        <f>YEAR(E87)</f>
        <v/>
      </c>
      <c r="C87" s="18">
        <f>INDEX({"Janeiro";"Fevereiro";"Março";"Abril";"Maio";"Junho";"Julho";"Agosto";"Setembro";"Outubro";"Novembro";"Dezembro"},Q87)</f>
        <v/>
      </c>
      <c r="D87" s="24" t="n">
        <v>3</v>
      </c>
      <c r="E87" s="25" t="n">
        <v>46033</v>
      </c>
      <c r="F87" s="23" t="inlineStr">
        <is>
          <t xml:space="preserve">QUEIJO MINAS PADRÃO VIÇOSA FRACIONADO </t>
        </is>
      </c>
      <c r="G87" s="23" t="inlineStr">
        <is>
          <t>QUEIJO</t>
        </is>
      </c>
      <c r="H87" s="26" t="n">
        <v>1</v>
      </c>
      <c r="I87" s="36" t="n">
        <v>400</v>
      </c>
      <c r="J87" s="21">
        <f>I87*H87</f>
        <v/>
      </c>
      <c r="K87" s="21">
        <f>IFERROR(IF(J87/P87&gt;1,P87,J87),0)</f>
        <v/>
      </c>
      <c r="L87" s="36" t="n">
        <v>189.17</v>
      </c>
      <c r="M87" s="21">
        <f>L87*H87</f>
        <v/>
      </c>
      <c r="N87" s="21">
        <f>IFERROR(IF(M87/K87&gt;1,K87,M87),0)</f>
        <v/>
      </c>
      <c r="O87" s="36" t="n">
        <v>400</v>
      </c>
      <c r="P87" s="21">
        <f>O87*H87</f>
        <v/>
      </c>
      <c r="Q87" s="30">
        <f>IF(MONTH(E87+1)=MONTH(E87+6),MONTH(E87+1),IF(MIN(EOMONTH(E87+1,0),E87+6)-(E87+1)+1&gt;=3,MONTH(E87+1),MONTH(E87+6)))</f>
        <v/>
      </c>
      <c r="R87" s="22">
        <f>IFERROR(K87/P87, 0)</f>
        <v/>
      </c>
      <c r="S87" s="38">
        <f>IFERROR(N87/P87,0)</f>
        <v/>
      </c>
      <c r="T87" s="31">
        <f>IFERROR(IF(N87&gt;0,(N87/K87),MIN(1,M87/J87)),0)</f>
        <v/>
      </c>
      <c r="U87" s="33" t="n"/>
    </row>
    <row r="88" hidden="1" s="40">
      <c r="A88" s="18" t="inlineStr">
        <is>
          <t>Semana 3 - janeiro</t>
        </is>
      </c>
      <c r="B88" s="27">
        <f>YEAR(E88)</f>
        <v/>
      </c>
      <c r="C88" s="18">
        <f>INDEX({"Janeiro";"Fevereiro";"Março";"Abril";"Maio";"Junho";"Julho";"Agosto";"Setembro";"Outubro";"Novembro";"Dezembro"},Q88)</f>
        <v/>
      </c>
      <c r="D88" s="19" t="n">
        <v>3</v>
      </c>
      <c r="E88" s="20" t="n">
        <v>46033</v>
      </c>
      <c r="F88" s="18" t="inlineStr">
        <is>
          <t>QUEIJO MUSSARELA 3KG</t>
        </is>
      </c>
      <c r="G88" s="18" t="inlineStr">
        <is>
          <t>QUEIJO</t>
        </is>
      </c>
      <c r="H88" s="21" t="n">
        <v>1</v>
      </c>
      <c r="I88" s="36" t="n">
        <v>500</v>
      </c>
      <c r="J88" s="21">
        <f>I88*H88</f>
        <v/>
      </c>
      <c r="K88" s="21">
        <f>IFERROR(IF(J88/P88&gt;1,P88,J88),0)</f>
        <v/>
      </c>
      <c r="L88" s="36" t="n">
        <v>454.65</v>
      </c>
      <c r="M88" s="21">
        <f>L88*H88</f>
        <v/>
      </c>
      <c r="N88" s="21">
        <f>IFERROR(IF(M88/K88&gt;1,K88,M88),0)</f>
        <v/>
      </c>
      <c r="O88" s="36" t="n">
        <v>1500</v>
      </c>
      <c r="P88" s="21">
        <f>O88*H88</f>
        <v/>
      </c>
      <c r="Q88" s="30">
        <f>IF(MONTH(E88+1)=MONTH(E88+6),MONTH(E88+1),IF(MIN(EOMONTH(E88+1,0),E88+6)-(E88+1)+1&gt;=3,MONTH(E88+1),MONTH(E88+6)))</f>
        <v/>
      </c>
      <c r="R88" s="22">
        <f>IFERROR(K88/P88, 0)</f>
        <v/>
      </c>
      <c r="S88" s="38">
        <f>IFERROR(N88/P88,0)</f>
        <v/>
      </c>
      <c r="T88" s="31">
        <f>IFERROR(IF(N88&gt;0,(N88/K88),MIN(1,M88/J88)),0)</f>
        <v/>
      </c>
      <c r="U88" s="33" t="n"/>
    </row>
    <row r="89" hidden="1" s="40">
      <c r="A89" s="23" t="inlineStr">
        <is>
          <t>Semana 3 - janeiro</t>
        </is>
      </c>
      <c r="B89" s="27">
        <f>YEAR(E89)</f>
        <v/>
      </c>
      <c r="C89" s="18">
        <f>INDEX({"Janeiro";"Fevereiro";"Março";"Abril";"Maio";"Junho";"Julho";"Agosto";"Setembro";"Outubro";"Novembro";"Dezembro"},Q89)</f>
        <v/>
      </c>
      <c r="D89" s="24" t="n">
        <v>3</v>
      </c>
      <c r="E89" s="25" t="n">
        <v>46033</v>
      </c>
      <c r="F89" s="23" t="inlineStr">
        <is>
          <t>QUEIJO MUSSARELA LANCHE</t>
        </is>
      </c>
      <c r="G89" s="23" t="inlineStr">
        <is>
          <t>QUEIJO</t>
        </is>
      </c>
      <c r="H89" s="26" t="n">
        <v>1</v>
      </c>
      <c r="I89" s="36" t="n">
        <v>0</v>
      </c>
      <c r="J89" s="21">
        <f>I89*H89</f>
        <v/>
      </c>
      <c r="K89" s="21">
        <f>IFERROR(IF(J89/P89&gt;1,P89,J89),0)</f>
        <v/>
      </c>
      <c r="L89" s="36" t="n">
        <v>0</v>
      </c>
      <c r="M89" s="21">
        <f>L89*H89</f>
        <v/>
      </c>
      <c r="N89" s="21">
        <f>IFERROR(IF(M89/K89&gt;1,K89,M89),0)</f>
        <v/>
      </c>
      <c r="O89" s="36" t="n">
        <v>0</v>
      </c>
      <c r="P89" s="21">
        <f>O89*H89</f>
        <v/>
      </c>
      <c r="Q89" s="30">
        <f>IF(MONTH(E89+1)=MONTH(E89+6),MONTH(E89+1),IF(MIN(EOMONTH(E89+1,0),E89+6)-(E89+1)+1&gt;=3,MONTH(E89+1),MONTH(E89+6)))</f>
        <v/>
      </c>
      <c r="R89" s="22">
        <f>IFERROR(K89/P89, 0)</f>
        <v/>
      </c>
      <c r="S89" s="38">
        <f>IFERROR(N89/P89,0)</f>
        <v/>
      </c>
      <c r="T89" s="31">
        <f>IFERROR(IF(N89&gt;0,(N89/K89),MIN(1,M89/J89)),0)</f>
        <v/>
      </c>
      <c r="U89" s="33" t="n"/>
    </row>
    <row r="90" hidden="1" s="40">
      <c r="A90" s="18" t="inlineStr">
        <is>
          <t>Semana 3 - janeiro</t>
        </is>
      </c>
      <c r="B90" s="27">
        <f>YEAR(E90)</f>
        <v/>
      </c>
      <c r="C90" s="18">
        <f>INDEX({"Janeiro";"Fevereiro";"Março";"Abril";"Maio";"Junho";"Julho";"Agosto";"Setembro";"Outubro";"Novembro";"Dezembro"},Q90)</f>
        <v/>
      </c>
      <c r="D90" s="19" t="n">
        <v>3</v>
      </c>
      <c r="E90" s="20" t="n">
        <v>46033</v>
      </c>
      <c r="F90" s="18" t="inlineStr">
        <is>
          <t>REQUEIJÃO VIÇOSA 200g</t>
        </is>
      </c>
      <c r="G90" s="18" t="inlineStr">
        <is>
          <t>REQUEIJÃO</t>
        </is>
      </c>
      <c r="H90" s="21" t="n">
        <v>0.2</v>
      </c>
      <c r="I90" s="36" t="n">
        <v>4000</v>
      </c>
      <c r="J90" s="21">
        <f>I90*H90</f>
        <v/>
      </c>
      <c r="K90" s="21">
        <f>IFERROR(IF(J90/P90&gt;1,P90,J90),0)</f>
        <v/>
      </c>
      <c r="L90" s="36" t="n">
        <v>2864</v>
      </c>
      <c r="M90" s="21">
        <f>L90*H90</f>
        <v/>
      </c>
      <c r="N90" s="21">
        <f>IFERROR(IF(M90/K90&gt;1,K90,M90),0)</f>
        <v/>
      </c>
      <c r="O90" s="36" t="n">
        <v>4800</v>
      </c>
      <c r="P90" s="21">
        <f>O90*H90</f>
        <v/>
      </c>
      <c r="Q90" s="30">
        <f>IF(MONTH(E90+1)=MONTH(E90+6),MONTH(E90+1),IF(MIN(EOMONTH(E90+1,0),E90+6)-(E90+1)+1&gt;=3,MONTH(E90+1),MONTH(E90+6)))</f>
        <v/>
      </c>
      <c r="R90" s="22">
        <f>IFERROR(K90/P90, 0)</f>
        <v/>
      </c>
      <c r="S90" s="38">
        <f>IFERROR(N90/P90,0)</f>
        <v/>
      </c>
      <c r="T90" s="31">
        <f>IFERROR(IF(N90&gt;0,(N90/K90),MIN(1,M90/J90)),0)</f>
        <v/>
      </c>
      <c r="U90" s="33" t="n"/>
    </row>
    <row r="91" hidden="1" s="40">
      <c r="A91" s="23" t="inlineStr">
        <is>
          <t>Semana 3 - janeiro</t>
        </is>
      </c>
      <c r="B91" s="27">
        <f>YEAR(E91)</f>
        <v/>
      </c>
      <c r="C91" s="18">
        <f>INDEX({"Janeiro";"Fevereiro";"Março";"Abril";"Maio";"Junho";"Julho";"Agosto";"Setembro";"Outubro";"Novembro";"Dezembro"},Q91)</f>
        <v/>
      </c>
      <c r="D91" s="24" t="n">
        <v>3</v>
      </c>
      <c r="E91" s="25" t="n">
        <v>46033</v>
      </c>
      <c r="F91" s="23" t="inlineStr">
        <is>
          <t>REQUEIJÃO VIÇOSA 400g</t>
        </is>
      </c>
      <c r="G91" s="23" t="inlineStr">
        <is>
          <t>REQUEIJÃO</t>
        </is>
      </c>
      <c r="H91" s="26" t="n">
        <v>0.4</v>
      </c>
      <c r="I91" s="36" t="n">
        <v>5170</v>
      </c>
      <c r="J91" s="21">
        <f>I91*H91</f>
        <v/>
      </c>
      <c r="K91" s="21">
        <f>IFERROR(IF(J91/P91&gt;1,P91,J91),0)</f>
        <v/>
      </c>
      <c r="L91" s="36" t="n">
        <v>5823</v>
      </c>
      <c r="M91" s="21">
        <f>L91*H91</f>
        <v/>
      </c>
      <c r="N91" s="21">
        <f>IFERROR(IF(M91/K91&gt;1,K91,M91),0)</f>
        <v/>
      </c>
      <c r="O91" s="36" t="n">
        <v>3200</v>
      </c>
      <c r="P91" s="21">
        <f>O91*H91</f>
        <v/>
      </c>
      <c r="Q91" s="30">
        <f>IF(MONTH(E91+1)=MONTH(E91+6),MONTH(E91+1),IF(MIN(EOMONTH(E91+1,0),E91+6)-(E91+1)+1&gt;=3,MONTH(E91+1),MONTH(E91+6)))</f>
        <v/>
      </c>
      <c r="R91" s="22">
        <f>IFERROR(K91/P91, 0)</f>
        <v/>
      </c>
      <c r="S91" s="38">
        <f>IFERROR(N91/P91,0)</f>
        <v/>
      </c>
      <c r="T91" s="31">
        <f>IFERROR(IF(N91&gt;0,(N91/K91),MIN(1,M91/J91)),0)</f>
        <v/>
      </c>
      <c r="U91" s="33" t="n"/>
    </row>
    <row r="92" hidden="1" s="40">
      <c r="A92" s="18" t="inlineStr">
        <is>
          <t>Semana 3 - janeiro</t>
        </is>
      </c>
      <c r="B92" s="27">
        <f>YEAR(E92)</f>
        <v/>
      </c>
      <c r="C92" s="18">
        <f>INDEX({"Janeiro";"Fevereiro";"Março";"Abril";"Maio";"Junho";"Julho";"Agosto";"Setembro";"Outubro";"Novembro";"Dezembro"},Q92)</f>
        <v/>
      </c>
      <c r="D92" s="19" t="n">
        <v>3</v>
      </c>
      <c r="E92" s="20" t="n">
        <v>46033</v>
      </c>
      <c r="F92" s="18" t="inlineStr">
        <is>
          <t>Requeijão Light 200g</t>
        </is>
      </c>
      <c r="G92" s="18" t="inlineStr">
        <is>
          <t>REQUEIJÃO</t>
        </is>
      </c>
      <c r="H92" s="21" t="n">
        <v>0.2</v>
      </c>
      <c r="I92" s="36" t="n">
        <v>2000</v>
      </c>
      <c r="J92" s="21">
        <f>I92*H92</f>
        <v/>
      </c>
      <c r="K92" s="21">
        <f>IFERROR(IF(J92/P92&gt;1,P92,J92),0)</f>
        <v/>
      </c>
      <c r="L92" s="36" t="n">
        <v>1586</v>
      </c>
      <c r="M92" s="21">
        <f>L92*H92</f>
        <v/>
      </c>
      <c r="N92" s="21">
        <f>IFERROR(IF(M92/K92&gt;1,K92,M92),0)</f>
        <v/>
      </c>
      <c r="O92" s="36" t="n">
        <v>1200</v>
      </c>
      <c r="P92" s="21">
        <f>O92*H92</f>
        <v/>
      </c>
      <c r="Q92" s="30">
        <f>IF(MONTH(E92+1)=MONTH(E92+6),MONTH(E92+1),IF(MIN(EOMONTH(E92+1,0),E92+6)-(E92+1)+1&gt;=3,MONTH(E92+1),MONTH(E92+6)))</f>
        <v/>
      </c>
      <c r="R92" s="22">
        <f>IFERROR(K92/P92, 0)</f>
        <v/>
      </c>
      <c r="S92" s="38">
        <f>IFERROR(N92/P92,0)</f>
        <v/>
      </c>
      <c r="T92" s="31">
        <f>IFERROR(IF(N92&gt;0,(N92/K92),MIN(1,M92/J92)),0)</f>
        <v/>
      </c>
      <c r="U92" s="33" t="n"/>
    </row>
    <row r="93" hidden="1" s="40">
      <c r="A93" s="23" t="inlineStr">
        <is>
          <t>Semana 3 - janeiro</t>
        </is>
      </c>
      <c r="B93" s="27">
        <f>YEAR(E93)</f>
        <v/>
      </c>
      <c r="C93" s="18">
        <f>INDEX({"Janeiro";"Fevereiro";"Março";"Abril";"Maio";"Junho";"Julho";"Agosto";"Setembro";"Outubro";"Novembro";"Dezembro"},Q93)</f>
        <v/>
      </c>
      <c r="D93" s="24" t="n">
        <v>3</v>
      </c>
      <c r="E93" s="25" t="n">
        <v>46033</v>
      </c>
      <c r="F93" s="23" t="inlineStr">
        <is>
          <t>Creme de Ricota 200g</t>
        </is>
      </c>
      <c r="G93" s="23" t="inlineStr">
        <is>
          <t>RICOTA</t>
        </is>
      </c>
      <c r="H93" s="26" t="n">
        <v>0.2</v>
      </c>
      <c r="I93" s="36" t="n">
        <v>0</v>
      </c>
      <c r="J93" s="21">
        <f>I93*H93</f>
        <v/>
      </c>
      <c r="K93" s="21">
        <f>IFERROR(IF(J93/P93&gt;1,P93,J93),0)</f>
        <v/>
      </c>
      <c r="L93" s="36" t="n">
        <v>0</v>
      </c>
      <c r="M93" s="21">
        <f>L93*H93</f>
        <v/>
      </c>
      <c r="N93" s="21">
        <f>IFERROR(IF(M93/K93&gt;1,K93,M93),0)</f>
        <v/>
      </c>
      <c r="O93" s="36" t="n">
        <v>1200</v>
      </c>
      <c r="P93" s="21">
        <f>O93*H93</f>
        <v/>
      </c>
      <c r="Q93" s="30">
        <f>IF(MONTH(E93+1)=MONTH(E93+6),MONTH(E93+1),IF(MIN(EOMONTH(E93+1,0),E93+6)-(E93+1)+1&gt;=3,MONTH(E93+1),MONTH(E93+6)))</f>
        <v/>
      </c>
      <c r="R93" s="22">
        <f>IFERROR(K93/P93, 0)</f>
        <v/>
      </c>
      <c r="S93" s="38">
        <f>IFERROR(N93/P93,0)</f>
        <v/>
      </c>
      <c r="T93" s="31">
        <f>IFERROR(IF(N93&gt;0,(N93/K93),MIN(1,M93/J93)),0)</f>
        <v/>
      </c>
      <c r="U93" s="33" t="n"/>
    </row>
    <row r="94" hidden="1" s="40">
      <c r="A94" s="18" t="inlineStr">
        <is>
          <t>Semana 4 - janeiro</t>
        </is>
      </c>
      <c r="B94" s="27">
        <f>YEAR(E94)</f>
        <v/>
      </c>
      <c r="C94" s="18">
        <f>INDEX({"Janeiro";"Fevereiro";"Março";"Abril";"Maio";"Junho";"Julho";"Agosto";"Setembro";"Outubro";"Novembro";"Dezembro"},Q94)</f>
        <v/>
      </c>
      <c r="D94" s="19" t="n">
        <v>4</v>
      </c>
      <c r="E94" s="20" t="n">
        <v>46040</v>
      </c>
      <c r="F94" s="18" t="inlineStr">
        <is>
          <t>Doce de Leite 400g</t>
        </is>
      </c>
      <c r="G94" s="18" t="inlineStr">
        <is>
          <t>DOCE</t>
        </is>
      </c>
      <c r="H94" s="21" t="n">
        <v>0.4</v>
      </c>
      <c r="I94" s="36" t="n">
        <v>36000</v>
      </c>
      <c r="J94" s="21">
        <f>I94*H94</f>
        <v/>
      </c>
      <c r="K94" s="21">
        <f>IFERROR(IF(J94/P94&gt;1,P94,J94),0)</f>
        <v/>
      </c>
      <c r="L94" s="36" t="n">
        <v>39157</v>
      </c>
      <c r="M94" s="21">
        <f>L94*H94</f>
        <v/>
      </c>
      <c r="N94" s="21">
        <f>IFERROR(IF(M94/K94&gt;1,K94,M94),0)</f>
        <v/>
      </c>
      <c r="O94" s="36" t="n">
        <v>28000</v>
      </c>
      <c r="P94" s="21">
        <f>O94*H94</f>
        <v/>
      </c>
      <c r="Q94" s="30">
        <f>IF(MONTH(E94+1)=MONTH(E94+6),MONTH(E94+1),IF(MIN(EOMONTH(E94+1,0),E94+6)-(E94+1)+1&gt;=3,MONTH(E94+1),MONTH(E94+6)))</f>
        <v/>
      </c>
      <c r="R94" s="22">
        <f>IFERROR(K94/P94, 0)</f>
        <v/>
      </c>
      <c r="S94" s="38">
        <f>IFERROR(N94/P94,0)</f>
        <v/>
      </c>
      <c r="T94" s="31">
        <f>IFERROR(IF(N94&gt;0,(N94/K94),MIN(1,M94/J94)),0)</f>
        <v/>
      </c>
      <c r="U94" s="33" t="n"/>
    </row>
    <row r="95" hidden="1" s="40">
      <c r="A95" s="23" t="inlineStr">
        <is>
          <t>Semana 4 - janeiro</t>
        </is>
      </c>
      <c r="B95" s="27">
        <f>YEAR(E95)</f>
        <v/>
      </c>
      <c r="C95" s="18">
        <f>INDEX({"Janeiro";"Fevereiro";"Março";"Abril";"Maio";"Junho";"Julho";"Agosto";"Setembro";"Outubro";"Novembro";"Dezembro"},Q95)</f>
        <v/>
      </c>
      <c r="D95" s="24" t="n">
        <v>4</v>
      </c>
      <c r="E95" s="25" t="n">
        <v>46040</v>
      </c>
      <c r="F95" s="23" t="inlineStr">
        <is>
          <t>Doce de Leite 5kg</t>
        </is>
      </c>
      <c r="G95" s="23" t="inlineStr">
        <is>
          <t>DOCE</t>
        </is>
      </c>
      <c r="H95" s="26" t="n">
        <v>5</v>
      </c>
      <c r="I95" s="36" t="n">
        <v>3565</v>
      </c>
      <c r="J95" s="21">
        <f>I95*H95</f>
        <v/>
      </c>
      <c r="K95" s="21">
        <f>IFERROR(IF(J95/P95&gt;1,P95,J95),0)</f>
        <v/>
      </c>
      <c r="L95" s="36" t="n">
        <v>3523</v>
      </c>
      <c r="M95" s="21">
        <f>L95*H95</f>
        <v/>
      </c>
      <c r="N95" s="21">
        <f>IFERROR(IF(M95/K95&gt;1,K95,M95),0)</f>
        <v/>
      </c>
      <c r="O95" s="36" t="n">
        <v>1555</v>
      </c>
      <c r="P95" s="21">
        <f>O95*H95</f>
        <v/>
      </c>
      <c r="Q95" s="30">
        <f>IF(MONTH(E95+1)=MONTH(E95+6),MONTH(E95+1),IF(MIN(EOMONTH(E95+1,0),E95+6)-(E95+1)+1&gt;=3,MONTH(E95+1),MONTH(E95+6)))</f>
        <v/>
      </c>
      <c r="R95" s="22">
        <f>IFERROR(K95/P95, 0)</f>
        <v/>
      </c>
      <c r="S95" s="38">
        <f>IFERROR(N95/P95,0)</f>
        <v/>
      </c>
      <c r="T95" s="31">
        <f>IFERROR(IF(N95&gt;0,(N95/K95),MIN(1,M95/J95)),0)</f>
        <v/>
      </c>
      <c r="U95" s="33" t="n"/>
    </row>
    <row r="96" hidden="1" s="40">
      <c r="A96" s="18" t="inlineStr">
        <is>
          <t>Semana 4 - janeiro</t>
        </is>
      </c>
      <c r="B96" s="27">
        <f>YEAR(E96)</f>
        <v/>
      </c>
      <c r="C96" s="18">
        <f>INDEX({"Janeiro";"Fevereiro";"Março";"Abril";"Maio";"Junho";"Julho";"Agosto";"Setembro";"Outubro";"Novembro";"Dezembro"},Q96)</f>
        <v/>
      </c>
      <c r="D96" s="19" t="n">
        <v>4</v>
      </c>
      <c r="E96" s="20" t="n">
        <v>46040</v>
      </c>
      <c r="F96" s="18" t="inlineStr">
        <is>
          <t>Doce de Leite 5kg - Bombeável</t>
        </is>
      </c>
      <c r="G96" s="18" t="inlineStr">
        <is>
          <t>DOCE</t>
        </is>
      </c>
      <c r="H96" s="21" t="n">
        <v>5</v>
      </c>
      <c r="I96" s="36" t="n">
        <v>0</v>
      </c>
      <c r="J96" s="21">
        <f>I96*H96</f>
        <v/>
      </c>
      <c r="K96" s="21">
        <f>IFERROR(IF(J96/P96&gt;1,P96,J96),0)</f>
        <v/>
      </c>
      <c r="L96" s="36" t="n">
        <v>0</v>
      </c>
      <c r="M96" s="21">
        <f>L96*H96</f>
        <v/>
      </c>
      <c r="N96" s="21">
        <f>IFERROR(IF(M96/K96&gt;1,K96,M96),0)</f>
        <v/>
      </c>
      <c r="O96" s="36" t="n">
        <v>0</v>
      </c>
      <c r="P96" s="21">
        <f>O96*H96</f>
        <v/>
      </c>
      <c r="Q96" s="30">
        <f>IF(MONTH(E96+1)=MONTH(E96+6),MONTH(E96+1),IF(MIN(EOMONTH(E96+1,0),E96+6)-(E96+1)+1&gt;=3,MONTH(E96+1),MONTH(E96+6)))</f>
        <v/>
      </c>
      <c r="R96" s="22">
        <f>IFERROR(K96/P96, 0)</f>
        <v/>
      </c>
      <c r="S96" s="38">
        <f>IFERROR(N96/P96,0)</f>
        <v/>
      </c>
      <c r="T96" s="31">
        <f>IFERROR(IF(N96&gt;0,(N96/K96),MIN(1,M96/J96)),0)</f>
        <v/>
      </c>
      <c r="U96" s="33" t="n"/>
    </row>
    <row r="97" hidden="1" s="40">
      <c r="A97" s="23" t="inlineStr">
        <is>
          <t>Semana 4 - janeiro</t>
        </is>
      </c>
      <c r="B97" s="27">
        <f>YEAR(E97)</f>
        <v/>
      </c>
      <c r="C97" s="18">
        <f>INDEX({"Janeiro";"Fevereiro";"Março";"Abril";"Maio";"Junho";"Julho";"Agosto";"Setembro";"Outubro";"Novembro";"Dezembro"},Q97)</f>
        <v/>
      </c>
      <c r="D97" s="24" t="n">
        <v>4</v>
      </c>
      <c r="E97" s="25" t="n">
        <v>46040</v>
      </c>
      <c r="F97" s="23" t="inlineStr">
        <is>
          <t>Doce de Leite 5kg - Forneável</t>
        </is>
      </c>
      <c r="G97" s="23" t="inlineStr">
        <is>
          <t>DOCE</t>
        </is>
      </c>
      <c r="H97" s="26" t="n">
        <v>5</v>
      </c>
      <c r="I97" s="36" t="n">
        <v>0</v>
      </c>
      <c r="J97" s="21">
        <f>I97*H97</f>
        <v/>
      </c>
      <c r="K97" s="21">
        <f>IFERROR(IF(J97/P97&gt;1,P97,J97),0)</f>
        <v/>
      </c>
      <c r="L97" s="36" t="n">
        <v>0</v>
      </c>
      <c r="M97" s="21">
        <f>L97*H97</f>
        <v/>
      </c>
      <c r="N97" s="21">
        <f>IFERROR(IF(M97/K97&gt;1,K97,M97),0)</f>
        <v/>
      </c>
      <c r="O97" s="36" t="n">
        <v>0</v>
      </c>
      <c r="P97" s="21">
        <f>O97*H97</f>
        <v/>
      </c>
      <c r="Q97" s="30">
        <f>IF(MONTH(E97+1)=MONTH(E97+6),MONTH(E97+1),IF(MIN(EOMONTH(E97+1,0),E97+6)-(E97+1)+1&gt;=3,MONTH(E97+1),MONTH(E97+6)))</f>
        <v/>
      </c>
      <c r="R97" s="22">
        <f>IFERROR(K97/P97, 0)</f>
        <v/>
      </c>
      <c r="S97" s="38">
        <f>IFERROR(N97/P97,0)</f>
        <v/>
      </c>
      <c r="T97" s="31">
        <f>IFERROR(IF(N97&gt;0,(N97/K97),MIN(1,M97/J97)),0)</f>
        <v/>
      </c>
      <c r="U97" s="33" t="n"/>
    </row>
    <row r="98" hidden="1" s="40">
      <c r="A98" s="18" t="inlineStr">
        <is>
          <t>Semana 4 - janeiro</t>
        </is>
      </c>
      <c r="B98" s="27">
        <f>YEAR(E98)</f>
        <v/>
      </c>
      <c r="C98" s="18">
        <f>INDEX({"Janeiro";"Fevereiro";"Março";"Abril";"Maio";"Junho";"Julho";"Agosto";"Setembro";"Outubro";"Novembro";"Dezembro"},Q98)</f>
        <v/>
      </c>
      <c r="D98" s="19" t="n">
        <v>4</v>
      </c>
      <c r="E98" s="20" t="n">
        <v>46040</v>
      </c>
      <c r="F98" s="18" t="inlineStr">
        <is>
          <t>Doce de Leite 800g</t>
        </is>
      </c>
      <c r="G98" s="18" t="inlineStr">
        <is>
          <t>DOCE</t>
        </is>
      </c>
      <c r="H98" s="21" t="n">
        <v>0.8</v>
      </c>
      <c r="I98" s="36" t="n">
        <v>24000</v>
      </c>
      <c r="J98" s="21">
        <f>I98*H98</f>
        <v/>
      </c>
      <c r="K98" s="21">
        <f>IFERROR(IF(J98/P98&gt;1,P98,J98),0)</f>
        <v/>
      </c>
      <c r="L98" s="36" t="n">
        <v>20661</v>
      </c>
      <c r="M98" s="21">
        <f>L98*H98</f>
        <v/>
      </c>
      <c r="N98" s="21">
        <f>IFERROR(IF(M98/K98&gt;1,K98,M98),0)</f>
        <v/>
      </c>
      <c r="O98" s="36" t="n">
        <v>21000</v>
      </c>
      <c r="P98" s="21">
        <f>O98*H98</f>
        <v/>
      </c>
      <c r="Q98" s="30">
        <f>IF(MONTH(E98+1)=MONTH(E98+6),MONTH(E98+1),IF(MIN(EOMONTH(E98+1,0),E98+6)-(E98+1)+1&gt;=3,MONTH(E98+1),MONTH(E98+6)))</f>
        <v/>
      </c>
      <c r="R98" s="22">
        <f>IFERROR(K98/P98, 0)</f>
        <v/>
      </c>
      <c r="S98" s="38">
        <f>IFERROR(N98/P98,0)</f>
        <v/>
      </c>
      <c r="T98" s="31">
        <f>IFERROR(IF(N98&gt;0,(N98/K98),MIN(1,M98/J98)),0)</f>
        <v/>
      </c>
      <c r="U98" s="33" t="n"/>
    </row>
    <row r="99" hidden="1" s="40">
      <c r="A99" s="23" t="inlineStr">
        <is>
          <t>Semana 4 - janeiro</t>
        </is>
      </c>
      <c r="B99" s="27">
        <f>YEAR(E99)</f>
        <v/>
      </c>
      <c r="C99" s="18">
        <f>INDEX({"Janeiro";"Fevereiro";"Março";"Abril";"Maio";"Junho";"Julho";"Agosto";"Setembro";"Outubro";"Novembro";"Dezembro"},Q99)</f>
        <v/>
      </c>
      <c r="D99" s="24" t="n">
        <v>4</v>
      </c>
      <c r="E99" s="25" t="n">
        <v>46040</v>
      </c>
      <c r="F99" s="23" t="inlineStr">
        <is>
          <t>Doce de Leite Cacau 400g</t>
        </is>
      </c>
      <c r="G99" s="23" t="inlineStr">
        <is>
          <t>DOCE</t>
        </is>
      </c>
      <c r="H99" s="26" t="n">
        <v>0.4</v>
      </c>
      <c r="I99" s="36" t="n">
        <v>0</v>
      </c>
      <c r="J99" s="21">
        <f>I99*H99</f>
        <v/>
      </c>
      <c r="K99" s="21">
        <f>IFERROR(IF(J99/P99&gt;1,P99,J99),0)</f>
        <v/>
      </c>
      <c r="L99" s="36" t="n">
        <v>0</v>
      </c>
      <c r="M99" s="21">
        <f>L99*H99</f>
        <v/>
      </c>
      <c r="N99" s="21">
        <f>IFERROR(IF(M99/K99&gt;1,K99,M99),0)</f>
        <v/>
      </c>
      <c r="O99" s="36" t="n">
        <v>0</v>
      </c>
      <c r="P99" s="21">
        <f>O99*H99</f>
        <v/>
      </c>
      <c r="Q99" s="30">
        <f>IF(MONTH(E99+1)=MONTH(E99+6),MONTH(E99+1),IF(MIN(EOMONTH(E99+1,0),E99+6)-(E99+1)+1&gt;=3,MONTH(E99+1),MONTH(E99+6)))</f>
        <v/>
      </c>
      <c r="R99" s="22">
        <f>IFERROR(K99/P99, 0)</f>
        <v/>
      </c>
      <c r="S99" s="38">
        <f>IFERROR(N99/P99,0)</f>
        <v/>
      </c>
      <c r="T99" s="31">
        <f>IFERROR(IF(N99&gt;0,(N99/K99),MIN(1,M99/J99)),0)</f>
        <v/>
      </c>
      <c r="U99" s="33" t="n"/>
    </row>
    <row r="100" hidden="1" s="40">
      <c r="A100" s="18" t="inlineStr">
        <is>
          <t>Semana 4 - janeiro</t>
        </is>
      </c>
      <c r="B100" s="27">
        <f>YEAR(E100)</f>
        <v/>
      </c>
      <c r="C100" s="18">
        <f>INDEX({"Janeiro";"Fevereiro";"Março";"Abril";"Maio";"Junho";"Julho";"Agosto";"Setembro";"Outubro";"Novembro";"Dezembro"},Q100)</f>
        <v/>
      </c>
      <c r="D100" s="19" t="n">
        <v>4</v>
      </c>
      <c r="E100" s="20" t="n">
        <v>46040</v>
      </c>
      <c r="F100" s="18" t="inlineStr">
        <is>
          <t>Doce de Leite Cacau 5kg - Bombeável</t>
        </is>
      </c>
      <c r="G100" s="18" t="inlineStr">
        <is>
          <t>DOCE</t>
        </is>
      </c>
      <c r="H100" s="21" t="n">
        <v>5</v>
      </c>
      <c r="I100" s="36" t="n">
        <v>0</v>
      </c>
      <c r="J100" s="21">
        <f>I100*H100</f>
        <v/>
      </c>
      <c r="K100" s="21">
        <f>IFERROR(IF(J100/P100&gt;1,P100,J100),0)</f>
        <v/>
      </c>
      <c r="L100" s="36" t="n">
        <v>0</v>
      </c>
      <c r="M100" s="21">
        <f>L100*H100</f>
        <v/>
      </c>
      <c r="N100" s="21">
        <f>IFERROR(IF(M100/K100&gt;1,K100,M100),0)</f>
        <v/>
      </c>
      <c r="O100" s="36" t="n">
        <v>0</v>
      </c>
      <c r="P100" s="21">
        <f>O100*H100</f>
        <v/>
      </c>
      <c r="Q100" s="30">
        <f>IF(MONTH(E100+1)=MONTH(E100+6),MONTH(E100+1),IF(MIN(EOMONTH(E100+1,0),E100+6)-(E100+1)+1&gt;=3,MONTH(E100+1),MONTH(E100+6)))</f>
        <v/>
      </c>
      <c r="R100" s="22">
        <f>IFERROR(K100/P100, 0)</f>
        <v/>
      </c>
      <c r="S100" s="38">
        <f>IFERROR(N100/P100,0)</f>
        <v/>
      </c>
      <c r="T100" s="31">
        <f>IFERROR(IF(N100&gt;0,(N100/K100),MIN(1,M100/J100)),0)</f>
        <v/>
      </c>
      <c r="U100" s="33" t="n"/>
    </row>
    <row r="101" hidden="1" s="40">
      <c r="A101" s="23" t="inlineStr">
        <is>
          <t>Semana 4 - janeiro</t>
        </is>
      </c>
      <c r="B101" s="27">
        <f>YEAR(E101)</f>
        <v/>
      </c>
      <c r="C101" s="18">
        <f>INDEX({"Janeiro";"Fevereiro";"Março";"Abril";"Maio";"Junho";"Julho";"Agosto";"Setembro";"Outubro";"Novembro";"Dezembro"},Q101)</f>
        <v/>
      </c>
      <c r="D101" s="24" t="n">
        <v>4</v>
      </c>
      <c r="E101" s="25" t="n">
        <v>46040</v>
      </c>
      <c r="F101" s="23" t="inlineStr">
        <is>
          <t>Doce de Leite Cacau 5kg - FOOD</t>
        </is>
      </c>
      <c r="G101" s="23" t="inlineStr">
        <is>
          <t>DOCE</t>
        </is>
      </c>
      <c r="H101" s="26" t="n">
        <v>5</v>
      </c>
      <c r="I101" s="36" t="n">
        <v>0</v>
      </c>
      <c r="J101" s="21">
        <f>I101*H101</f>
        <v/>
      </c>
      <c r="K101" s="21">
        <f>IFERROR(IF(J101/P101&gt;1,P101,J101),0)</f>
        <v/>
      </c>
      <c r="L101" s="36" t="n">
        <v>0</v>
      </c>
      <c r="M101" s="21">
        <f>L101*H101</f>
        <v/>
      </c>
      <c r="N101" s="21">
        <f>IFERROR(IF(M101/K101&gt;1,K101,M101),0)</f>
        <v/>
      </c>
      <c r="O101" s="36" t="n">
        <v>0</v>
      </c>
      <c r="P101" s="21">
        <f>O101*H101</f>
        <v/>
      </c>
      <c r="Q101" s="30">
        <f>IF(MONTH(E101+1)=MONTH(E101+6),MONTH(E101+1),IF(MIN(EOMONTH(E101+1,0),E101+6)-(E101+1)+1&gt;=3,MONTH(E101+1),MONTH(E101+6)))</f>
        <v/>
      </c>
      <c r="R101" s="22">
        <f>IFERROR(K101/P101, 0)</f>
        <v/>
      </c>
      <c r="S101" s="38">
        <f>IFERROR(N101/P101,0)</f>
        <v/>
      </c>
      <c r="T101" s="31">
        <f>IFERROR(IF(N101&gt;0,(N101/K101),MIN(1,M101/J101)),0)</f>
        <v/>
      </c>
      <c r="U101" s="33" t="n"/>
    </row>
    <row r="102" hidden="1" s="40">
      <c r="A102" s="18" t="inlineStr">
        <is>
          <t>Semana 4 - janeiro</t>
        </is>
      </c>
      <c r="B102" s="27">
        <f>YEAR(E102)</f>
        <v/>
      </c>
      <c r="C102" s="18">
        <f>INDEX({"Janeiro";"Fevereiro";"Março";"Abril";"Maio";"Junho";"Julho";"Agosto";"Setembro";"Outubro";"Novembro";"Dezembro"},Q102)</f>
        <v/>
      </c>
      <c r="D102" s="19" t="n">
        <v>4</v>
      </c>
      <c r="E102" s="20" t="n">
        <v>46040</v>
      </c>
      <c r="F102" s="18" t="inlineStr">
        <is>
          <t>Doce de Leite c/ Café 400</t>
        </is>
      </c>
      <c r="G102" s="18" t="inlineStr">
        <is>
          <t>DOCE</t>
        </is>
      </c>
      <c r="H102" s="21" t="n">
        <v>0.4</v>
      </c>
      <c r="I102" s="36" t="n">
        <v>0</v>
      </c>
      <c r="J102" s="21">
        <f>I102*H102</f>
        <v/>
      </c>
      <c r="K102" s="21">
        <f>IFERROR(IF(J102/P102&gt;1,P102,J102),0)</f>
        <v/>
      </c>
      <c r="L102" s="36" t="n">
        <v>0</v>
      </c>
      <c r="M102" s="21">
        <f>L102*H102</f>
        <v/>
      </c>
      <c r="N102" s="21">
        <f>IFERROR(IF(M102/K102&gt;1,K102,M102),0)</f>
        <v/>
      </c>
      <c r="O102" s="36" t="n">
        <v>0</v>
      </c>
      <c r="P102" s="21">
        <f>O102*H102</f>
        <v/>
      </c>
      <c r="Q102" s="30">
        <f>IF(MONTH(E102+1)=MONTH(E102+6),MONTH(E102+1),IF(MIN(EOMONTH(E102+1,0),E102+6)-(E102+1)+1&gt;=3,MONTH(E102+1),MONTH(E102+6)))</f>
        <v/>
      </c>
      <c r="R102" s="22">
        <f>IFERROR(K102/P102, 0)</f>
        <v/>
      </c>
      <c r="S102" s="38">
        <f>IFERROR(N102/P102,0)</f>
        <v/>
      </c>
      <c r="T102" s="31">
        <f>IFERROR(IF(N102&gt;0,(N102/K102),MIN(1,M102/J102)),0)</f>
        <v/>
      </c>
      <c r="U102" s="33" t="n"/>
    </row>
    <row r="103" hidden="1" s="40">
      <c r="A103" s="23" t="inlineStr">
        <is>
          <t>Semana 4 - janeiro</t>
        </is>
      </c>
      <c r="B103" s="27">
        <f>YEAR(E103)</f>
        <v/>
      </c>
      <c r="C103" s="18">
        <f>INDEX({"Janeiro";"Fevereiro";"Março";"Abril";"Maio";"Junho";"Julho";"Agosto";"Setembro";"Outubro";"Novembro";"Dezembro"},Q103)</f>
        <v/>
      </c>
      <c r="D103" s="24" t="n">
        <v>4</v>
      </c>
      <c r="E103" s="25" t="n">
        <v>46040</v>
      </c>
      <c r="F103" s="23" t="inlineStr">
        <is>
          <t>Doce de Leite c/ Café 5kg</t>
        </is>
      </c>
      <c r="G103" s="23" t="inlineStr">
        <is>
          <t>DOCE</t>
        </is>
      </c>
      <c r="H103" s="26" t="n">
        <v>5</v>
      </c>
      <c r="I103" s="36" t="n">
        <v>160</v>
      </c>
      <c r="J103" s="21">
        <f>I103*H103</f>
        <v/>
      </c>
      <c r="K103" s="21">
        <f>IFERROR(IF(J103/P103&gt;1,P103,J103),0)</f>
        <v/>
      </c>
      <c r="L103" s="36" t="n">
        <v>0</v>
      </c>
      <c r="M103" s="21">
        <f>L103*H103</f>
        <v/>
      </c>
      <c r="N103" s="21">
        <f>IFERROR(IF(M103/K103&gt;1,K103,M103),0)</f>
        <v/>
      </c>
      <c r="O103" s="36" t="n">
        <v>160</v>
      </c>
      <c r="P103" s="21">
        <f>O103*H103</f>
        <v/>
      </c>
      <c r="Q103" s="30">
        <f>IF(MONTH(E103+1)=MONTH(E103+6),MONTH(E103+1),IF(MIN(EOMONTH(E103+1,0),E103+6)-(E103+1)+1&gt;=3,MONTH(E103+1),MONTH(E103+6)))</f>
        <v/>
      </c>
      <c r="R103" s="22">
        <f>IFERROR(K103/P103, 0)</f>
        <v/>
      </c>
      <c r="S103" s="38">
        <f>IFERROR(N103/P103,0)</f>
        <v/>
      </c>
      <c r="T103" s="31">
        <f>IFERROR(IF(N103&gt;0,(N103/K103),MIN(1,M103/J103)),0)</f>
        <v/>
      </c>
      <c r="U103" s="33" t="n"/>
    </row>
    <row r="104" hidden="1" s="40">
      <c r="A104" s="18" t="inlineStr">
        <is>
          <t>Semana 4 - janeiro</t>
        </is>
      </c>
      <c r="B104" s="27">
        <f>YEAR(E104)</f>
        <v/>
      </c>
      <c r="C104" s="18">
        <f>INDEX({"Janeiro";"Fevereiro";"Março";"Abril";"Maio";"Junho";"Julho";"Agosto";"Setembro";"Outubro";"Novembro";"Dezembro"},Q104)</f>
        <v/>
      </c>
      <c r="D104" s="19" t="n">
        <v>4</v>
      </c>
      <c r="E104" s="20" t="n">
        <v>46040</v>
      </c>
      <c r="F104" s="18" t="inlineStr">
        <is>
          <t>Doce de Leite c/ coco 400</t>
        </is>
      </c>
      <c r="G104" s="18" t="inlineStr">
        <is>
          <t>DOCE</t>
        </is>
      </c>
      <c r="H104" s="21" t="n">
        <v>0.4</v>
      </c>
      <c r="I104" s="36" t="n">
        <v>0</v>
      </c>
      <c r="J104" s="21">
        <f>I104*H104</f>
        <v/>
      </c>
      <c r="K104" s="21">
        <f>IFERROR(IF(J104/P104&gt;1,P104,J104),0)</f>
        <v/>
      </c>
      <c r="L104" s="36" t="n">
        <v>0</v>
      </c>
      <c r="M104" s="21">
        <f>L104*H104</f>
        <v/>
      </c>
      <c r="N104" s="21">
        <f>IFERROR(IF(M104/K104&gt;1,K104,M104),0)</f>
        <v/>
      </c>
      <c r="O104" s="36" t="n">
        <v>0</v>
      </c>
      <c r="P104" s="21">
        <f>O104*H104</f>
        <v/>
      </c>
      <c r="Q104" s="30">
        <f>IF(MONTH(E104+1)=MONTH(E104+6),MONTH(E104+1),IF(MIN(EOMONTH(E104+1,0),E104+6)-(E104+1)+1&gt;=3,MONTH(E104+1),MONTH(E104+6)))</f>
        <v/>
      </c>
      <c r="R104" s="22">
        <f>IFERROR(K104/P104, 0)</f>
        <v/>
      </c>
      <c r="S104" s="38">
        <f>IFERROR(N104/P104,0)</f>
        <v/>
      </c>
      <c r="T104" s="31">
        <f>IFERROR(IF(N104&gt;0,(N104/K104),MIN(1,M104/J104)),0)</f>
        <v/>
      </c>
      <c r="U104" s="33" t="n"/>
    </row>
    <row r="105" hidden="1" s="40">
      <c r="A105" s="23" t="inlineStr">
        <is>
          <t>Semana 4 - janeiro</t>
        </is>
      </c>
      <c r="B105" s="27">
        <f>YEAR(E105)</f>
        <v/>
      </c>
      <c r="C105" s="18">
        <f>INDEX({"Janeiro";"Fevereiro";"Março";"Abril";"Maio";"Junho";"Julho";"Agosto";"Setembro";"Outubro";"Novembro";"Dezembro"},Q105)</f>
        <v/>
      </c>
      <c r="D105" s="24" t="n">
        <v>4</v>
      </c>
      <c r="E105" s="25" t="n">
        <v>46040</v>
      </c>
      <c r="F105" s="23" t="inlineStr">
        <is>
          <t>IOGURTE VIÇOSA MORANGO LIGHT 180g</t>
        </is>
      </c>
      <c r="G105" s="23" t="inlineStr">
        <is>
          <t>IOGURTE</t>
        </is>
      </c>
      <c r="H105" s="26" t="n">
        <v>0.18</v>
      </c>
      <c r="I105" s="36" t="n">
        <v>0</v>
      </c>
      <c r="J105" s="21">
        <f>I105*H105</f>
        <v/>
      </c>
      <c r="K105" s="21">
        <f>IFERROR(IF(J105/P105&gt;1,P105,J105),0)</f>
        <v/>
      </c>
      <c r="L105" s="36" t="n">
        <v>0</v>
      </c>
      <c r="M105" s="21">
        <f>L105*H105</f>
        <v/>
      </c>
      <c r="N105" s="21">
        <f>IFERROR(IF(M105/K105&gt;1,K105,M105),0)</f>
        <v/>
      </c>
      <c r="O105" s="36" t="n">
        <v>0</v>
      </c>
      <c r="P105" s="21">
        <f>O105*H105</f>
        <v/>
      </c>
      <c r="Q105" s="30">
        <f>IF(MONTH(E105+1)=MONTH(E105+6),MONTH(E105+1),IF(MIN(EOMONTH(E105+1,0),E105+6)-(E105+1)+1&gt;=3,MONTH(E105+1),MONTH(E105+6)))</f>
        <v/>
      </c>
      <c r="R105" s="22">
        <f>IFERROR(K105/P105, 0)</f>
        <v/>
      </c>
      <c r="S105" s="38">
        <f>IFERROR(N105/P105,0)</f>
        <v/>
      </c>
      <c r="T105" s="31">
        <f>IFERROR(IF(N105&gt;0,(N105/K105),MIN(1,M105/J105)),0)</f>
        <v/>
      </c>
      <c r="U105" s="33" t="n"/>
    </row>
    <row r="106" hidden="1" s="40">
      <c r="A106" s="18" t="inlineStr">
        <is>
          <t>Semana 4 - janeiro</t>
        </is>
      </c>
      <c r="B106" s="27">
        <f>YEAR(E106)</f>
        <v/>
      </c>
      <c r="C106" s="18">
        <f>INDEX({"Janeiro";"Fevereiro";"Março";"Abril";"Maio";"Junho";"Julho";"Agosto";"Setembro";"Outubro";"Novembro";"Dezembro"},Q106)</f>
        <v/>
      </c>
      <c r="D106" s="19" t="n">
        <v>4</v>
      </c>
      <c r="E106" s="20" t="n">
        <v>46040</v>
      </c>
      <c r="F106" s="18" t="inlineStr">
        <is>
          <t>IOGURTE VIÇOSA MORANGO LIGHT 800g</t>
        </is>
      </c>
      <c r="G106" s="18" t="inlineStr">
        <is>
          <t>IOGURTE</t>
        </is>
      </c>
      <c r="H106" s="21" t="n">
        <v>0.8</v>
      </c>
      <c r="I106" s="36" t="n">
        <v>0</v>
      </c>
      <c r="J106" s="21">
        <f>I106*H106</f>
        <v/>
      </c>
      <c r="K106" s="21">
        <f>IFERROR(IF(J106/P106&gt;1,P106,J106),0)</f>
        <v/>
      </c>
      <c r="L106" s="36" t="n">
        <v>0</v>
      </c>
      <c r="M106" s="21">
        <f>L106*H106</f>
        <v/>
      </c>
      <c r="N106" s="21">
        <f>IFERROR(IF(M106/K106&gt;1,K106,M106),0)</f>
        <v/>
      </c>
      <c r="O106" s="36" t="n">
        <v>0</v>
      </c>
      <c r="P106" s="21">
        <f>O106*H106</f>
        <v/>
      </c>
      <c r="Q106" s="30">
        <f>IF(MONTH(E106+1)=MONTH(E106+6),MONTH(E106+1),IF(MIN(EOMONTH(E106+1,0),E106+6)-(E106+1)+1&gt;=3,MONTH(E106+1),MONTH(E106+6)))</f>
        <v/>
      </c>
      <c r="R106" s="22">
        <f>IFERROR(K106/P106, 0)</f>
        <v/>
      </c>
      <c r="S106" s="38">
        <f>IFERROR(N106/P106,0)</f>
        <v/>
      </c>
      <c r="T106" s="31">
        <f>IFERROR(IF(N106&gt;0,(N106/K106),MIN(1,M106/J106)),0)</f>
        <v/>
      </c>
      <c r="U106" s="33" t="n"/>
    </row>
    <row r="107" hidden="1" s="40">
      <c r="A107" s="18" t="inlineStr">
        <is>
          <t>Semana 4 - janeiro</t>
        </is>
      </c>
      <c r="B107" s="27">
        <f>YEAR(E107)</f>
        <v/>
      </c>
      <c r="C107" s="18">
        <f>INDEX({"Janeiro";"Fevereiro";"Março";"Abril";"Maio";"Junho";"Julho";"Agosto";"Setembro";"Outubro";"Novembro";"Dezembro"},Q107)</f>
        <v/>
      </c>
      <c r="D107" s="19" t="n">
        <v>4</v>
      </c>
      <c r="E107" s="20" t="n">
        <v>46040</v>
      </c>
      <c r="F107" s="18" t="inlineStr">
        <is>
          <t>Iogurte Abacaxi c/ Coco 120g</t>
        </is>
      </c>
      <c r="G107" s="18" t="inlineStr">
        <is>
          <t>IOGURTE</t>
        </is>
      </c>
      <c r="H107" s="21" t="n">
        <v>0.12</v>
      </c>
      <c r="I107" s="36" t="n">
        <v>2000</v>
      </c>
      <c r="J107" s="21">
        <f>I107*H107</f>
        <v/>
      </c>
      <c r="K107" s="21">
        <f>IFERROR(IF(J107/P107&gt;1,P107,J107),0)</f>
        <v/>
      </c>
      <c r="L107" s="36" t="n">
        <v>1704</v>
      </c>
      <c r="M107" s="21">
        <f>L107*H107</f>
        <v/>
      </c>
      <c r="N107" s="21">
        <f>IFERROR(IF(M107/K107&gt;1,K107,M107),0)</f>
        <v/>
      </c>
      <c r="O107" s="36" t="n">
        <v>2000</v>
      </c>
      <c r="P107" s="21">
        <f>O107*H107</f>
        <v/>
      </c>
      <c r="Q107" s="30">
        <f>IF(MONTH(E107+1)=MONTH(E107+6),MONTH(E107+1),IF(MIN(EOMONTH(E107+1,0),E107+6)-(E107+1)+1&gt;=3,MONTH(E107+1),MONTH(E107+6)))</f>
        <v/>
      </c>
      <c r="R107" s="22">
        <f>IFERROR(K107/P107, 0)</f>
        <v/>
      </c>
      <c r="S107" s="38">
        <f>IFERROR(N107/P107,0)</f>
        <v/>
      </c>
      <c r="T107" s="31">
        <f>IFERROR(IF(N107&gt;0,(N107/K107),MIN(1,M107/J107)),0)</f>
        <v/>
      </c>
      <c r="U107" s="33" t="n"/>
    </row>
    <row r="108" hidden="1" s="40">
      <c r="A108" s="23" t="inlineStr">
        <is>
          <t>Semana 4 - janeiro</t>
        </is>
      </c>
      <c r="B108" s="27">
        <f>YEAR(E108)</f>
        <v/>
      </c>
      <c r="C108" s="18">
        <f>INDEX({"Janeiro";"Fevereiro";"Março";"Abril";"Maio";"Junho";"Julho";"Agosto";"Setembro";"Outubro";"Novembro";"Dezembro"},Q108)</f>
        <v/>
      </c>
      <c r="D108" s="24" t="n">
        <v>4</v>
      </c>
      <c r="E108" s="25" t="n">
        <v>46040</v>
      </c>
      <c r="F108" s="23" t="inlineStr">
        <is>
          <t>Iogurte Abacaxi c/ Coco 185g</t>
        </is>
      </c>
      <c r="G108" s="23" t="inlineStr">
        <is>
          <t>IOGURTE</t>
        </is>
      </c>
      <c r="H108" s="26" t="n">
        <v>0.185</v>
      </c>
      <c r="I108" s="36" t="n">
        <v>260</v>
      </c>
      <c r="J108" s="21">
        <f>I108*H108</f>
        <v/>
      </c>
      <c r="K108" s="21">
        <f>IFERROR(IF(J108/P108&gt;1,P108,J108),0)</f>
        <v/>
      </c>
      <c r="L108" s="36" t="n">
        <v>153</v>
      </c>
      <c r="M108" s="21">
        <f>L108*H108</f>
        <v/>
      </c>
      <c r="N108" s="21">
        <f>IFERROR(IF(M108/K108&gt;1,K108,M108),0)</f>
        <v/>
      </c>
      <c r="O108" s="36" t="n">
        <v>260</v>
      </c>
      <c r="P108" s="21">
        <f>O108*H108</f>
        <v/>
      </c>
      <c r="Q108" s="30">
        <f>IF(MONTH(E108+1)=MONTH(E108+6),MONTH(E108+1),IF(MIN(EOMONTH(E108+1,0),E108+6)-(E108+1)+1&gt;=3,MONTH(E108+1),MONTH(E108+6)))</f>
        <v/>
      </c>
      <c r="R108" s="22">
        <f>IFERROR(K108/P108, 0)</f>
        <v/>
      </c>
      <c r="S108" s="38">
        <f>IFERROR(N108/P108,0)</f>
        <v/>
      </c>
      <c r="T108" s="31">
        <f>IFERROR(IF(N108&gt;0,(N108/K108),MIN(1,M108/J108)),0)</f>
        <v/>
      </c>
      <c r="U108" s="33" t="n"/>
    </row>
    <row r="109" hidden="1" s="40">
      <c r="A109" s="18" t="inlineStr">
        <is>
          <t>Semana 4 - janeiro</t>
        </is>
      </c>
      <c r="B109" s="27">
        <f>YEAR(E109)</f>
        <v/>
      </c>
      <c r="C109" s="18">
        <f>INDEX({"Janeiro";"Fevereiro";"Março";"Abril";"Maio";"Junho";"Julho";"Agosto";"Setembro";"Outubro";"Novembro";"Dezembro"},Q109)</f>
        <v/>
      </c>
      <c r="D109" s="19" t="n">
        <v>4</v>
      </c>
      <c r="E109" s="20" t="n">
        <v>46040</v>
      </c>
      <c r="F109" s="18" t="inlineStr">
        <is>
          <t>Iogurte Abacaxi c/ Coco 900g</t>
        </is>
      </c>
      <c r="G109" s="18" t="inlineStr">
        <is>
          <t>IOGURTE</t>
        </is>
      </c>
      <c r="H109" s="21" t="n">
        <v>0.9</v>
      </c>
      <c r="I109" s="36" t="n">
        <v>1350</v>
      </c>
      <c r="J109" s="21">
        <f>I109*H109</f>
        <v/>
      </c>
      <c r="K109" s="21">
        <f>IFERROR(IF(J109/P109&gt;1,P109,J109),0)</f>
        <v/>
      </c>
      <c r="L109" s="36" t="n">
        <v>1346</v>
      </c>
      <c r="M109" s="21">
        <f>L109*H109</f>
        <v/>
      </c>
      <c r="N109" s="21">
        <f>IFERROR(IF(M109/K109&gt;1,K109,M109),0)</f>
        <v/>
      </c>
      <c r="O109" s="36" t="n">
        <v>1300</v>
      </c>
      <c r="P109" s="21">
        <f>O109*H109</f>
        <v/>
      </c>
      <c r="Q109" s="30">
        <f>IF(MONTH(E109+1)=MONTH(E109+6),MONTH(E109+1),IF(MIN(EOMONTH(E109+1,0),E109+6)-(E109+1)+1&gt;=3,MONTH(E109+1),MONTH(E109+6)))</f>
        <v/>
      </c>
      <c r="R109" s="22">
        <f>IFERROR(K109/P109, 0)</f>
        <v/>
      </c>
      <c r="S109" s="38">
        <f>IFERROR(N109/P109,0)</f>
        <v/>
      </c>
      <c r="T109" s="31">
        <f>IFERROR(IF(N109&gt;0,(N109/K109),MIN(1,M109/J109)),0)</f>
        <v/>
      </c>
      <c r="U109" s="33" t="n"/>
    </row>
    <row r="110" hidden="1" s="40">
      <c r="A110" s="18" t="inlineStr">
        <is>
          <t>Semana 4 - janeiro</t>
        </is>
      </c>
      <c r="B110" s="27">
        <f>YEAR(E110)</f>
        <v/>
      </c>
      <c r="C110" s="18">
        <f>INDEX({"Janeiro";"Fevereiro";"Março";"Abril";"Maio";"Junho";"Julho";"Agosto";"Setembro";"Outubro";"Novembro";"Dezembro"},Q110)</f>
        <v/>
      </c>
      <c r="D110" s="19" t="n">
        <v>4</v>
      </c>
      <c r="E110" s="20" t="n">
        <v>46040</v>
      </c>
      <c r="F110" s="18" t="inlineStr">
        <is>
          <t>Iogurte Coco 120g</t>
        </is>
      </c>
      <c r="G110" s="18" t="inlineStr">
        <is>
          <t>IOGURTE</t>
        </is>
      </c>
      <c r="H110" s="21" t="n">
        <v>0.12</v>
      </c>
      <c r="I110" s="36" t="n">
        <v>0</v>
      </c>
      <c r="J110" s="21">
        <f>I110*H110</f>
        <v/>
      </c>
      <c r="K110" s="21">
        <f>IFERROR(IF(J110/P110&gt;1,P110,J110),0)</f>
        <v/>
      </c>
      <c r="L110" s="36" t="n">
        <v>0</v>
      </c>
      <c r="M110" s="21">
        <f>L110*H110</f>
        <v/>
      </c>
      <c r="N110" s="21">
        <f>IFERROR(IF(M110/K110&gt;1,K110,M110),0)</f>
        <v/>
      </c>
      <c r="O110" s="36" t="n">
        <v>5000</v>
      </c>
      <c r="P110" s="21">
        <f>O110*H110</f>
        <v/>
      </c>
      <c r="Q110" s="30">
        <f>IF(MONTH(E110+1)=MONTH(E110+6),MONTH(E110+1),IF(MIN(EOMONTH(E110+1,0),E110+6)-(E110+1)+1&gt;=3,MONTH(E110+1),MONTH(E110+6)))</f>
        <v/>
      </c>
      <c r="R110" s="22">
        <f>IFERROR(K110/P110, 0)</f>
        <v/>
      </c>
      <c r="S110" s="38">
        <f>IFERROR(N110/P110,0)</f>
        <v/>
      </c>
      <c r="T110" s="31">
        <f>IFERROR(IF(N110&gt;0,(N110/K110),MIN(1,M110/J110)),0)</f>
        <v/>
      </c>
      <c r="U110" s="33" t="n"/>
    </row>
    <row r="111" hidden="1" s="40">
      <c r="A111" s="23" t="inlineStr">
        <is>
          <t>Semana 4 - janeiro</t>
        </is>
      </c>
      <c r="B111" s="27">
        <f>YEAR(E111)</f>
        <v/>
      </c>
      <c r="C111" s="18">
        <f>INDEX({"Janeiro";"Fevereiro";"Março";"Abril";"Maio";"Junho";"Julho";"Agosto";"Setembro";"Outubro";"Novembro";"Dezembro"},Q111)</f>
        <v/>
      </c>
      <c r="D111" s="24" t="n">
        <v>4</v>
      </c>
      <c r="E111" s="25" t="n">
        <v>46040</v>
      </c>
      <c r="F111" s="23" t="inlineStr">
        <is>
          <t>Iogurte Coco 185g</t>
        </is>
      </c>
      <c r="G111" s="23" t="inlineStr">
        <is>
          <t>IOGURTE</t>
        </is>
      </c>
      <c r="H111" s="26" t="n">
        <v>0.185</v>
      </c>
      <c r="I111" s="36" t="n">
        <v>0</v>
      </c>
      <c r="J111" s="21">
        <f>I111*H111</f>
        <v/>
      </c>
      <c r="K111" s="21">
        <f>IFERROR(IF(J111/P111&gt;1,P111,J111),0)</f>
        <v/>
      </c>
      <c r="L111" s="36" t="n">
        <v>0</v>
      </c>
      <c r="M111" s="21">
        <f>L111*H111</f>
        <v/>
      </c>
      <c r="N111" s="21">
        <f>IFERROR(IF(M111/K111&gt;1,K111,M111),0)</f>
        <v/>
      </c>
      <c r="O111" s="36" t="n">
        <v>520</v>
      </c>
      <c r="P111" s="21">
        <f>O111*H111</f>
        <v/>
      </c>
      <c r="Q111" s="30">
        <f>IF(MONTH(E111+1)=MONTH(E111+6),MONTH(E111+1),IF(MIN(EOMONTH(E111+1,0),E111+6)-(E111+1)+1&gt;=3,MONTH(E111+1),MONTH(E111+6)))</f>
        <v/>
      </c>
      <c r="R111" s="22">
        <f>IFERROR(K111/P111, 0)</f>
        <v/>
      </c>
      <c r="S111" s="38">
        <f>IFERROR(N111/P111,0)</f>
        <v/>
      </c>
      <c r="T111" s="31">
        <f>IFERROR(IF(N111&gt;0,(N111/K111),MIN(1,M111/J111)),0)</f>
        <v/>
      </c>
      <c r="U111" s="33" t="n"/>
    </row>
    <row r="112" hidden="1" s="40">
      <c r="A112" s="18" t="inlineStr">
        <is>
          <t>Semana 4 - janeiro</t>
        </is>
      </c>
      <c r="B112" s="27">
        <f>YEAR(E112)</f>
        <v/>
      </c>
      <c r="C112" s="18">
        <f>INDEX({"Janeiro";"Fevereiro";"Março";"Abril";"Maio";"Junho";"Julho";"Agosto";"Setembro";"Outubro";"Novembro";"Dezembro"},Q112)</f>
        <v/>
      </c>
      <c r="D112" s="19" t="n">
        <v>4</v>
      </c>
      <c r="E112" s="20" t="n">
        <v>46040</v>
      </c>
      <c r="F112" s="18" t="inlineStr">
        <is>
          <t>Iogurte Coco 900g</t>
        </is>
      </c>
      <c r="G112" s="18" t="inlineStr">
        <is>
          <t>IOGURTE</t>
        </is>
      </c>
      <c r="H112" s="21" t="n">
        <v>0.9</v>
      </c>
      <c r="I112" s="36" t="n">
        <v>0</v>
      </c>
      <c r="J112" s="21">
        <f>I112*H112</f>
        <v/>
      </c>
      <c r="K112" s="21">
        <f>IFERROR(IF(J112/P112&gt;1,P112,J112),0)</f>
        <v/>
      </c>
      <c r="L112" s="36" t="n">
        <v>0</v>
      </c>
      <c r="M112" s="21">
        <f>L112*H112</f>
        <v/>
      </c>
      <c r="N112" s="21">
        <f>IFERROR(IF(M112/K112&gt;1,K112,M112),0)</f>
        <v/>
      </c>
      <c r="O112" s="36" t="n">
        <v>1800</v>
      </c>
      <c r="P112" s="21">
        <f>O112*H112</f>
        <v/>
      </c>
      <c r="Q112" s="30">
        <f>IF(MONTH(E112+1)=MONTH(E112+6),MONTH(E112+1),IF(MIN(EOMONTH(E112+1,0),E112+6)-(E112+1)+1&gt;=3,MONTH(E112+1),MONTH(E112+6)))</f>
        <v/>
      </c>
      <c r="R112" s="22">
        <f>IFERROR(K112/P112, 0)</f>
        <v/>
      </c>
      <c r="S112" s="38">
        <f>IFERROR(N112/P112,0)</f>
        <v/>
      </c>
      <c r="T112" s="31">
        <f>IFERROR(IF(N112&gt;0,(N112/K112),MIN(1,M112/J112)),0)</f>
        <v/>
      </c>
      <c r="U112" s="33" t="n"/>
    </row>
    <row r="113" hidden="1" s="40">
      <c r="A113" s="23" t="inlineStr">
        <is>
          <t>Semana 4 - janeiro</t>
        </is>
      </c>
      <c r="B113" s="27">
        <f>YEAR(E113)</f>
        <v/>
      </c>
      <c r="C113" s="18">
        <f>INDEX({"Janeiro";"Fevereiro";"Março";"Abril";"Maio";"Junho";"Julho";"Agosto";"Setembro";"Outubro";"Novembro";"Dezembro"},Q113)</f>
        <v/>
      </c>
      <c r="D113" s="24" t="n">
        <v>4</v>
      </c>
      <c r="E113" s="25" t="n">
        <v>46040</v>
      </c>
      <c r="F113" s="23" t="inlineStr">
        <is>
          <t>Iogurte Grego Frutas vermelhas 120g</t>
        </is>
      </c>
      <c r="G113" s="23" t="inlineStr">
        <is>
          <t>IOGURTE</t>
        </is>
      </c>
      <c r="H113" s="26" t="n">
        <v>0.17</v>
      </c>
      <c r="I113" s="36" t="n">
        <v>0</v>
      </c>
      <c r="J113" s="21">
        <f>I113*H113</f>
        <v/>
      </c>
      <c r="K113" s="21">
        <f>IFERROR(IF(J113/P113&gt;1,P113,J113),0)</f>
        <v/>
      </c>
      <c r="L113" s="36" t="n">
        <v>0</v>
      </c>
      <c r="M113" s="21">
        <f>L113*H113</f>
        <v/>
      </c>
      <c r="N113" s="21">
        <f>IFERROR(IF(M113/K113&gt;1,K113,M113),0)</f>
        <v/>
      </c>
      <c r="O113" s="36" t="n">
        <v>1400</v>
      </c>
      <c r="P113" s="21">
        <f>O113*H113</f>
        <v/>
      </c>
      <c r="Q113" s="30">
        <f>IF(MONTH(E113+1)=MONTH(E113+6),MONTH(E113+1),IF(MIN(EOMONTH(E113+1,0),E113+6)-(E113+1)+1&gt;=3,MONTH(E113+1),MONTH(E113+6)))</f>
        <v/>
      </c>
      <c r="R113" s="22">
        <f>IFERROR(K113/P113, 0)</f>
        <v/>
      </c>
      <c r="S113" s="38">
        <f>IFERROR(N113/P113,0)</f>
        <v/>
      </c>
      <c r="T113" s="31">
        <f>IFERROR(IF(N113&gt;0,(N113/K113),MIN(1,M113/J113)),0)</f>
        <v/>
      </c>
      <c r="U113" s="33" t="n"/>
    </row>
    <row r="114" hidden="1" s="40">
      <c r="A114" s="23" t="inlineStr">
        <is>
          <t>Semana 4 - janeiro</t>
        </is>
      </c>
      <c r="B114" s="27">
        <f>YEAR(E114)</f>
        <v/>
      </c>
      <c r="C114" s="18">
        <f>INDEX({"Janeiro";"Fevereiro";"Março";"Abril";"Maio";"Junho";"Julho";"Agosto";"Setembro";"Outubro";"Novembro";"Dezembro"},Q114)</f>
        <v/>
      </c>
      <c r="D114" s="24" t="n">
        <v>4</v>
      </c>
      <c r="E114" s="25" t="n">
        <v>46040</v>
      </c>
      <c r="F114" s="23" t="inlineStr">
        <is>
          <t>Iogurte Morango 120g</t>
        </is>
      </c>
      <c r="G114" s="23" t="inlineStr">
        <is>
          <t>IOGURTE</t>
        </is>
      </c>
      <c r="H114" s="26" t="n">
        <v>0.12</v>
      </c>
      <c r="I114" s="36" t="n">
        <v>24000</v>
      </c>
      <c r="J114" s="21">
        <f>I114*H114</f>
        <v/>
      </c>
      <c r="K114" s="21">
        <f>IFERROR(IF(J114/P114&gt;1,P114,J114),0)</f>
        <v/>
      </c>
      <c r="L114" s="36" t="n">
        <v>20019</v>
      </c>
      <c r="M114" s="21">
        <f>L114*H114</f>
        <v/>
      </c>
      <c r="N114" s="21">
        <f>IFERROR(IF(M114/K114&gt;1,K114,M114),0)</f>
        <v/>
      </c>
      <c r="O114" s="36" t="n">
        <v>20000</v>
      </c>
      <c r="P114" s="21">
        <f>O114*H114</f>
        <v/>
      </c>
      <c r="Q114" s="30">
        <f>IF(MONTH(E114+1)=MONTH(E114+6),MONTH(E114+1),IF(MIN(EOMONTH(E114+1,0),E114+6)-(E114+1)+1&gt;=3,MONTH(E114+1),MONTH(E114+6)))</f>
        <v/>
      </c>
      <c r="R114" s="22">
        <f>IFERROR(K114/P114, 0)</f>
        <v/>
      </c>
      <c r="S114" s="38">
        <f>IFERROR(N114/P114,0)</f>
        <v/>
      </c>
      <c r="T114" s="31">
        <f>IFERROR(IF(N114&gt;0,(N114/K114),MIN(1,M114/J114)),0)</f>
        <v/>
      </c>
      <c r="U114" s="33" t="n"/>
    </row>
    <row r="115" hidden="1" s="40">
      <c r="A115" s="18" t="inlineStr">
        <is>
          <t>Semana 4 - janeiro</t>
        </is>
      </c>
      <c r="B115" s="27">
        <f>YEAR(E115)</f>
        <v/>
      </c>
      <c r="C115" s="18">
        <f>INDEX({"Janeiro";"Fevereiro";"Março";"Abril";"Maio";"Junho";"Julho";"Agosto";"Setembro";"Outubro";"Novembro";"Dezembro"},Q115)</f>
        <v/>
      </c>
      <c r="D115" s="19" t="n">
        <v>4</v>
      </c>
      <c r="E115" s="20" t="n">
        <v>46040</v>
      </c>
      <c r="F115" s="18" t="inlineStr">
        <is>
          <t>Iogurte Morango 185g</t>
        </is>
      </c>
      <c r="G115" s="18" t="inlineStr">
        <is>
          <t>IOGURTE</t>
        </is>
      </c>
      <c r="H115" s="21" t="n">
        <v>0.185</v>
      </c>
      <c r="I115" s="36" t="n">
        <v>1820</v>
      </c>
      <c r="J115" s="21">
        <f>I115*H115</f>
        <v/>
      </c>
      <c r="K115" s="21">
        <f>IFERROR(IF(J115/P115&gt;1,P115,J115),0)</f>
        <v/>
      </c>
      <c r="L115" s="36" t="n">
        <v>1803</v>
      </c>
      <c r="M115" s="21">
        <f>L115*H115</f>
        <v/>
      </c>
      <c r="N115" s="21">
        <f>IFERROR(IF(M115/K115&gt;1,K115,M115),0)</f>
        <v/>
      </c>
      <c r="O115" s="36" t="n">
        <v>1300</v>
      </c>
      <c r="P115" s="21">
        <f>O115*H115</f>
        <v/>
      </c>
      <c r="Q115" s="30">
        <f>IF(MONTH(E115+1)=MONTH(E115+6),MONTH(E115+1),IF(MIN(EOMONTH(E115+1,0),E115+6)-(E115+1)+1&gt;=3,MONTH(E115+1),MONTH(E115+6)))</f>
        <v/>
      </c>
      <c r="R115" s="22">
        <f>IFERROR(K115/P115, 0)</f>
        <v/>
      </c>
      <c r="S115" s="38">
        <f>IFERROR(N115/P115,0)</f>
        <v/>
      </c>
      <c r="T115" s="31">
        <f>IFERROR(IF(N115&gt;0,(N115/K115),MIN(1,M115/J115)),0)</f>
        <v/>
      </c>
      <c r="U115" s="33" t="n"/>
    </row>
    <row r="116" hidden="1" s="40">
      <c r="A116" s="23" t="inlineStr">
        <is>
          <t>Semana 4 - janeiro</t>
        </is>
      </c>
      <c r="B116" s="27">
        <f>YEAR(E116)</f>
        <v/>
      </c>
      <c r="C116" s="18">
        <f>INDEX({"Janeiro";"Fevereiro";"Março";"Abril";"Maio";"Junho";"Julho";"Agosto";"Setembro";"Outubro";"Novembro";"Dezembro"},Q116)</f>
        <v/>
      </c>
      <c r="D116" s="24" t="n">
        <v>4</v>
      </c>
      <c r="E116" s="25" t="n">
        <v>46040</v>
      </c>
      <c r="F116" s="23" t="inlineStr">
        <is>
          <t>Iogurte Morango 900G</t>
        </is>
      </c>
      <c r="G116" s="23" t="inlineStr">
        <is>
          <t>IOGURTE</t>
        </is>
      </c>
      <c r="H116" s="26" t="n">
        <v>0.9</v>
      </c>
      <c r="I116" s="36" t="n">
        <v>3330</v>
      </c>
      <c r="J116" s="21">
        <f>I116*H116</f>
        <v/>
      </c>
      <c r="K116" s="21">
        <f>IFERROR(IF(J116/P116&gt;1,P116,J116),0)</f>
        <v/>
      </c>
      <c r="L116" s="36" t="n">
        <v>3675</v>
      </c>
      <c r="M116" s="21">
        <f>L116*H116</f>
        <v/>
      </c>
      <c r="N116" s="21">
        <f>IFERROR(IF(M116/K116&gt;1,K116,M116),0)</f>
        <v/>
      </c>
      <c r="O116" s="36" t="n">
        <v>2700</v>
      </c>
      <c r="P116" s="21">
        <f>O116*H116</f>
        <v/>
      </c>
      <c r="Q116" s="30">
        <f>IF(MONTH(E116+1)=MONTH(E116+6),MONTH(E116+1),IF(MIN(EOMONTH(E116+1,0),E116+6)-(E116+1)+1&gt;=3,MONTH(E116+1),MONTH(E116+6)))</f>
        <v/>
      </c>
      <c r="R116" s="22">
        <f>IFERROR(K116/P116, 0)</f>
        <v/>
      </c>
      <c r="S116" s="38">
        <f>IFERROR(N116/P116,0)</f>
        <v/>
      </c>
      <c r="T116" s="31">
        <f>IFERROR(IF(N116&gt;0,(N116/K116),MIN(1,M116/J116)),0)</f>
        <v/>
      </c>
      <c r="U116" s="33" t="n"/>
    </row>
    <row r="117" hidden="1" s="40">
      <c r="A117" s="18" t="inlineStr">
        <is>
          <t>Semana 4 - janeiro</t>
        </is>
      </c>
      <c r="B117" s="27">
        <f>YEAR(E117)</f>
        <v/>
      </c>
      <c r="C117" s="18">
        <f>INDEX({"Janeiro";"Fevereiro";"Março";"Abril";"Maio";"Junho";"Julho";"Agosto";"Setembro";"Outubro";"Novembro";"Dezembro"},Q117)</f>
        <v/>
      </c>
      <c r="D117" s="19" t="n">
        <v>4</v>
      </c>
      <c r="E117" s="20" t="n">
        <v>46040</v>
      </c>
      <c r="F117" s="18" t="inlineStr">
        <is>
          <t>Iogurte Natural Integral 170g</t>
        </is>
      </c>
      <c r="G117" s="18" t="inlineStr">
        <is>
          <t>IOGURTE</t>
        </is>
      </c>
      <c r="H117" s="21" t="n">
        <v>0.17</v>
      </c>
      <c r="I117" s="36" t="n">
        <v>3820</v>
      </c>
      <c r="J117" s="21">
        <f>I117*H117</f>
        <v/>
      </c>
      <c r="K117" s="21">
        <f>IFERROR(IF(J117/P117&gt;1,P117,J117),0)</f>
        <v/>
      </c>
      <c r="L117" s="36" t="n">
        <v>3372</v>
      </c>
      <c r="M117" s="21">
        <f>L117*H117</f>
        <v/>
      </c>
      <c r="N117" s="21">
        <f>IFERROR(IF(M117/K117&gt;1,K117,M117),0)</f>
        <v/>
      </c>
      <c r="O117" s="36" t="n">
        <v>3800</v>
      </c>
      <c r="P117" s="21">
        <f>O117*H117</f>
        <v/>
      </c>
      <c r="Q117" s="30">
        <f>IF(MONTH(E117+1)=MONTH(E117+6),MONTH(E117+1),IF(MIN(EOMONTH(E117+1,0),E117+6)-(E117+1)+1&gt;=3,MONTH(E117+1),MONTH(E117+6)))</f>
        <v/>
      </c>
      <c r="R117" s="22">
        <f>IFERROR(K117/P117, 0)</f>
        <v/>
      </c>
      <c r="S117" s="38">
        <f>IFERROR(N117/P117,0)</f>
        <v/>
      </c>
      <c r="T117" s="31">
        <f>IFERROR(IF(N117&gt;0,(N117/K117),MIN(1,M117/J117)),0)</f>
        <v/>
      </c>
      <c r="U117" s="33" t="n"/>
    </row>
    <row r="118" hidden="1" s="40">
      <c r="A118" s="23" t="inlineStr">
        <is>
          <t>Semana 4 - janeiro</t>
        </is>
      </c>
      <c r="B118" s="27">
        <f>YEAR(E118)</f>
        <v/>
      </c>
      <c r="C118" s="18">
        <f>INDEX({"Janeiro";"Fevereiro";"Março";"Abril";"Maio";"Junho";"Julho";"Agosto";"Setembro";"Outubro";"Novembro";"Dezembro"},Q118)</f>
        <v/>
      </c>
      <c r="D118" s="24" t="n">
        <v>4</v>
      </c>
      <c r="E118" s="25" t="n">
        <v>46040</v>
      </c>
      <c r="F118" s="23" t="inlineStr">
        <is>
          <t>Iogurte Natural Triplo Zero 170g</t>
        </is>
      </c>
      <c r="G118" s="23" t="inlineStr">
        <is>
          <t>IOGURTE</t>
        </is>
      </c>
      <c r="H118" s="26" t="n">
        <v>0.17</v>
      </c>
      <c r="I118" s="36" t="n">
        <v>3820</v>
      </c>
      <c r="J118" s="21">
        <f>I118*H118</f>
        <v/>
      </c>
      <c r="K118" s="21">
        <f>IFERROR(IF(J118/P118&gt;1,P118,J118),0)</f>
        <v/>
      </c>
      <c r="L118" s="36" t="n">
        <v>3380</v>
      </c>
      <c r="M118" s="21">
        <f>L118*H118</f>
        <v/>
      </c>
      <c r="N118" s="21">
        <f>IFERROR(IF(M118/K118&gt;1,K118,M118),0)</f>
        <v/>
      </c>
      <c r="O118" s="36" t="n">
        <v>3800</v>
      </c>
      <c r="P118" s="21">
        <f>O118*H118</f>
        <v/>
      </c>
      <c r="Q118" s="30">
        <f>IF(MONTH(E118+1)=MONTH(E118+6),MONTH(E118+1),IF(MIN(EOMONTH(E118+1,0),E118+6)-(E118+1)+1&gt;=3,MONTH(E118+1),MONTH(E118+6)))</f>
        <v/>
      </c>
      <c r="R118" s="22">
        <f>IFERROR(K118/P118, 0)</f>
        <v/>
      </c>
      <c r="S118" s="38">
        <f>IFERROR(N118/P118,0)</f>
        <v/>
      </c>
      <c r="T118" s="31">
        <f>IFERROR(IF(N118&gt;0,(N118/K118),MIN(1,M118/J118)),0)</f>
        <v/>
      </c>
      <c r="U118" s="33" t="n"/>
    </row>
    <row r="119" hidden="1" s="40">
      <c r="A119" s="23" t="inlineStr">
        <is>
          <t>Semana 4 - janeiro</t>
        </is>
      </c>
      <c r="B119" s="27">
        <f>YEAR(E119)</f>
        <v/>
      </c>
      <c r="C119" s="18">
        <f>INDEX({"Janeiro";"Fevereiro";"Março";"Abril";"Maio";"Junho";"Julho";"Agosto";"Setembro";"Outubro";"Novembro";"Dezembro"},Q119)</f>
        <v/>
      </c>
      <c r="D119" s="24" t="n">
        <v>4</v>
      </c>
      <c r="E119" s="25" t="n">
        <v>46040</v>
      </c>
      <c r="F119" s="23" t="inlineStr">
        <is>
          <t>Iogurte Salada 120g</t>
        </is>
      </c>
      <c r="G119" s="23" t="inlineStr">
        <is>
          <t>IOGURTE</t>
        </is>
      </c>
      <c r="H119" s="26" t="n">
        <v>0.12</v>
      </c>
      <c r="I119" s="36" t="n">
        <v>2000</v>
      </c>
      <c r="J119" s="21">
        <f>I119*H119</f>
        <v/>
      </c>
      <c r="K119" s="21">
        <f>IFERROR(IF(J119/P119&gt;1,P119,J119),0)</f>
        <v/>
      </c>
      <c r="L119" s="36" t="n">
        <v>1929</v>
      </c>
      <c r="M119" s="21">
        <f>L119*H119</f>
        <v/>
      </c>
      <c r="N119" s="21">
        <f>IFERROR(IF(M119/K119&gt;1,K119,M119),0)</f>
        <v/>
      </c>
      <c r="O119" s="36" t="n">
        <v>2000</v>
      </c>
      <c r="P119" s="21">
        <f>O119*H119</f>
        <v/>
      </c>
      <c r="Q119" s="30">
        <f>IF(MONTH(E119+1)=MONTH(E119+6),MONTH(E119+1),IF(MIN(EOMONTH(E119+1,0),E119+6)-(E119+1)+1&gt;=3,MONTH(E119+1),MONTH(E119+6)))</f>
        <v/>
      </c>
      <c r="R119" s="22">
        <f>IFERROR(K119/P119, 0)</f>
        <v/>
      </c>
      <c r="S119" s="38">
        <f>IFERROR(N119/P119,0)</f>
        <v/>
      </c>
      <c r="T119" s="31">
        <f>IFERROR(IF(N119&gt;0,(N119/K119),MIN(1,M119/J119)),0)</f>
        <v/>
      </c>
      <c r="U119" s="33" t="n"/>
    </row>
    <row r="120" hidden="1" s="40">
      <c r="A120" s="18" t="inlineStr">
        <is>
          <t>Semana 4 - janeiro</t>
        </is>
      </c>
      <c r="B120" s="27">
        <f>YEAR(E120)</f>
        <v/>
      </c>
      <c r="C120" s="18">
        <f>INDEX({"Janeiro";"Fevereiro";"Março";"Abril";"Maio";"Junho";"Julho";"Agosto";"Setembro";"Outubro";"Novembro";"Dezembro"},Q120)</f>
        <v/>
      </c>
      <c r="D120" s="19" t="n">
        <v>4</v>
      </c>
      <c r="E120" s="20" t="n">
        <v>46040</v>
      </c>
      <c r="F120" s="18" t="inlineStr">
        <is>
          <t>Iogurte Salada 185g</t>
        </is>
      </c>
      <c r="G120" s="18" t="inlineStr">
        <is>
          <t>IOGURTE</t>
        </is>
      </c>
      <c r="H120" s="21" t="n">
        <v>0.185</v>
      </c>
      <c r="I120" s="36" t="n">
        <v>520</v>
      </c>
      <c r="J120" s="21">
        <f>I120*H120</f>
        <v/>
      </c>
      <c r="K120" s="21">
        <f>IFERROR(IF(J120/P120&gt;1,P120,J120),0)</f>
        <v/>
      </c>
      <c r="L120" s="36" t="n">
        <v>519</v>
      </c>
      <c r="M120" s="21">
        <f>L120*H120</f>
        <v/>
      </c>
      <c r="N120" s="21">
        <f>IFERROR(IF(M120/K120&gt;1,K120,M120),0)</f>
        <v/>
      </c>
      <c r="O120" s="36" t="n">
        <v>520</v>
      </c>
      <c r="P120" s="21">
        <f>O120*H120</f>
        <v/>
      </c>
      <c r="Q120" s="30">
        <f>IF(MONTH(E120+1)=MONTH(E120+6),MONTH(E120+1),IF(MIN(EOMONTH(E120+1,0),E120+6)-(E120+1)+1&gt;=3,MONTH(E120+1),MONTH(E120+6)))</f>
        <v/>
      </c>
      <c r="R120" s="22">
        <f>IFERROR(K120/P120, 0)</f>
        <v/>
      </c>
      <c r="S120" s="38">
        <f>IFERROR(N120/P120,0)</f>
        <v/>
      </c>
      <c r="T120" s="31">
        <f>IFERROR(IF(N120&gt;0,(N120/K120),MIN(1,M120/J120)),0)</f>
        <v/>
      </c>
      <c r="U120" s="33" t="n"/>
    </row>
    <row r="121" hidden="1" s="40">
      <c r="A121" s="23" t="inlineStr">
        <is>
          <t>Semana 4 - janeiro</t>
        </is>
      </c>
      <c r="B121" s="27">
        <f>YEAR(E121)</f>
        <v/>
      </c>
      <c r="C121" s="18">
        <f>INDEX({"Janeiro";"Fevereiro";"Março";"Abril";"Maio";"Junho";"Julho";"Agosto";"Setembro";"Outubro";"Novembro";"Dezembro"},Q121)</f>
        <v/>
      </c>
      <c r="D121" s="24" t="n">
        <v>4</v>
      </c>
      <c r="E121" s="25" t="n">
        <v>46040</v>
      </c>
      <c r="F121" s="23" t="inlineStr">
        <is>
          <t>Iogurte Salada 900g</t>
        </is>
      </c>
      <c r="G121" s="23" t="inlineStr">
        <is>
          <t>IOGURTE</t>
        </is>
      </c>
      <c r="H121" s="26" t="n">
        <v>0.9</v>
      </c>
      <c r="I121" s="36" t="n">
        <v>1260</v>
      </c>
      <c r="J121" s="21">
        <f>I121*H121</f>
        <v/>
      </c>
      <c r="K121" s="21">
        <f>IFERROR(IF(J121/P121&gt;1,P121,J121),0)</f>
        <v/>
      </c>
      <c r="L121" s="36" t="n">
        <v>1230</v>
      </c>
      <c r="M121" s="21">
        <f>L121*H121</f>
        <v/>
      </c>
      <c r="N121" s="21">
        <f>IFERROR(IF(M121/K121&gt;1,K121,M121),0)</f>
        <v/>
      </c>
      <c r="O121" s="36" t="n">
        <v>1200</v>
      </c>
      <c r="P121" s="21">
        <f>O121*H121</f>
        <v/>
      </c>
      <c r="Q121" s="30">
        <f>IF(MONTH(E121+1)=MONTH(E121+6),MONTH(E121+1),IF(MIN(EOMONTH(E121+1,0),E121+6)-(E121+1)+1&gt;=3,MONTH(E121+1),MONTH(E121+6)))</f>
        <v/>
      </c>
      <c r="R121" s="22">
        <f>IFERROR(K121/P121, 0)</f>
        <v/>
      </c>
      <c r="S121" s="38">
        <f>IFERROR(N121/P121,0)</f>
        <v/>
      </c>
      <c r="T121" s="31">
        <f>IFERROR(IF(N121&gt;0,(N121/K121),MIN(1,M121/J121)),0)</f>
        <v/>
      </c>
      <c r="U121" s="33" t="n"/>
    </row>
    <row r="122" hidden="1" s="40">
      <c r="A122" s="18" t="inlineStr">
        <is>
          <t>Semana 4 - janeiro</t>
        </is>
      </c>
      <c r="B122" s="27">
        <f>YEAR(E122)</f>
        <v/>
      </c>
      <c r="C122" s="18">
        <f>INDEX({"Janeiro";"Fevereiro";"Março";"Abril";"Maio";"Junho";"Julho";"Agosto";"Setembro";"Outubro";"Novembro";"Dezembro"},Q122)</f>
        <v/>
      </c>
      <c r="D122" s="19" t="n">
        <v>4</v>
      </c>
      <c r="E122" s="20" t="n">
        <v>46040</v>
      </c>
      <c r="F122" s="18" t="inlineStr">
        <is>
          <t>Iogurte Vida Leve Ameixa c/ Grãos 180g</t>
        </is>
      </c>
      <c r="G122" s="18" t="inlineStr">
        <is>
          <t>IOGURTE</t>
        </is>
      </c>
      <c r="H122" s="21" t="n">
        <v>0.18</v>
      </c>
      <c r="I122" s="36" t="n">
        <v>0</v>
      </c>
      <c r="J122" s="21">
        <f>I122*H122</f>
        <v/>
      </c>
      <c r="K122" s="21">
        <f>IFERROR(IF(J122/P122&gt;1,P122,J122),0)</f>
        <v/>
      </c>
      <c r="L122" s="36" t="n">
        <v>0</v>
      </c>
      <c r="M122" s="21">
        <f>L122*H122</f>
        <v/>
      </c>
      <c r="N122" s="21">
        <f>IFERROR(IF(M122/K122&gt;1,K122,M122),0)</f>
        <v/>
      </c>
      <c r="O122" s="36" t="n">
        <v>0</v>
      </c>
      <c r="P122" s="21">
        <f>O122*H122</f>
        <v/>
      </c>
      <c r="Q122" s="30">
        <f>IF(MONTH(E122+1)=MONTH(E122+6),MONTH(E122+1),IF(MIN(EOMONTH(E122+1,0),E122+6)-(E122+1)+1&gt;=3,MONTH(E122+1),MONTH(E122+6)))</f>
        <v/>
      </c>
      <c r="R122" s="22">
        <f>IFERROR(K122/P122, 0)</f>
        <v/>
      </c>
      <c r="S122" s="38">
        <f>IFERROR(N122/P122,0)</f>
        <v/>
      </c>
      <c r="T122" s="31">
        <f>IFERROR(IF(N122&gt;0,(N122/K122),MIN(1,M122/J122)),0)</f>
        <v/>
      </c>
      <c r="U122" s="33" t="n"/>
    </row>
    <row r="123" hidden="1" s="40">
      <c r="A123" s="23" t="inlineStr">
        <is>
          <t>Semana 4 - janeiro</t>
        </is>
      </c>
      <c r="B123" s="27">
        <f>YEAR(E123)</f>
        <v/>
      </c>
      <c r="C123" s="18">
        <f>INDEX({"Janeiro";"Fevereiro";"Março";"Abril";"Maio";"Junho";"Julho";"Agosto";"Setembro";"Outubro";"Novembro";"Dezembro"},Q123)</f>
        <v/>
      </c>
      <c r="D123" s="24" t="n">
        <v>4</v>
      </c>
      <c r="E123" s="25" t="n">
        <v>46040</v>
      </c>
      <c r="F123" s="23" t="inlineStr">
        <is>
          <t>Iogurte Vida Leve Ameixa c/ Grãos 500g</t>
        </is>
      </c>
      <c r="G123" s="23" t="inlineStr">
        <is>
          <t>IOGURTE</t>
        </is>
      </c>
      <c r="H123" s="26" t="n">
        <v>0.5</v>
      </c>
      <c r="I123" s="36" t="n">
        <v>0</v>
      </c>
      <c r="J123" s="21">
        <f>I123*H123</f>
        <v/>
      </c>
      <c r="K123" s="21">
        <f>IFERROR(IF(J123/P123&gt;1,P123,J123),0)</f>
        <v/>
      </c>
      <c r="L123" s="36" t="n">
        <v>0</v>
      </c>
      <c r="M123" s="21">
        <f>L123*H123</f>
        <v/>
      </c>
      <c r="N123" s="21">
        <f>IFERROR(IF(M123/K123&gt;1,K123,M123),0)</f>
        <v/>
      </c>
      <c r="O123" s="36" t="n">
        <v>0</v>
      </c>
      <c r="P123" s="21">
        <f>O123*H123</f>
        <v/>
      </c>
      <c r="Q123" s="30">
        <f>IF(MONTH(E123+1)=MONTH(E123+6),MONTH(E123+1),IF(MIN(EOMONTH(E123+1,0),E123+6)-(E123+1)+1&gt;=3,MONTH(E123+1),MONTH(E123+6)))</f>
        <v/>
      </c>
      <c r="R123" s="22">
        <f>IFERROR(K123/P123, 0)</f>
        <v/>
      </c>
      <c r="S123" s="38">
        <f>IFERROR(N123/P123,0)</f>
        <v/>
      </c>
      <c r="T123" s="31">
        <f>IFERROR(IF(N123&gt;0,(N123/K123),MIN(1,M123/J123)),0)</f>
        <v/>
      </c>
      <c r="U123" s="33" t="n"/>
    </row>
    <row r="124" hidden="1" s="40">
      <c r="A124" s="18" t="inlineStr">
        <is>
          <t>Semana 4 - janeiro</t>
        </is>
      </c>
      <c r="B124" s="27">
        <f>YEAR(E124)</f>
        <v/>
      </c>
      <c r="C124" s="18">
        <f>INDEX({"Janeiro";"Fevereiro";"Março";"Abril";"Maio";"Junho";"Julho";"Agosto";"Setembro";"Outubro";"Novembro";"Dezembro"},Q124)</f>
        <v/>
      </c>
      <c r="D124" s="19" t="n">
        <v>4</v>
      </c>
      <c r="E124" s="20" t="n">
        <v>46040</v>
      </c>
      <c r="F124" s="18" t="inlineStr">
        <is>
          <t>Iogurte Vida Leve Morango 180g</t>
        </is>
      </c>
      <c r="G124" s="18" t="inlineStr">
        <is>
          <t>IOGURTE</t>
        </is>
      </c>
      <c r="H124" s="21" t="n">
        <v>0.185</v>
      </c>
      <c r="I124" s="36" t="n">
        <v>0</v>
      </c>
      <c r="J124" s="21">
        <f>I124*H124</f>
        <v/>
      </c>
      <c r="K124" s="21">
        <f>IFERROR(IF(J124/P124&gt;1,P124,J124),0)</f>
        <v/>
      </c>
      <c r="L124" s="36" t="n">
        <v>0</v>
      </c>
      <c r="M124" s="21">
        <f>L124*H124</f>
        <v/>
      </c>
      <c r="N124" s="21">
        <f>IFERROR(IF(M124/K124&gt;1,K124,M124),0)</f>
        <v/>
      </c>
      <c r="O124" s="36" t="n">
        <v>0</v>
      </c>
      <c r="P124" s="21">
        <f>O124*H124</f>
        <v/>
      </c>
      <c r="Q124" s="30">
        <f>IF(MONTH(E124+1)=MONTH(E124+6),MONTH(E124+1),IF(MIN(EOMONTH(E124+1,0),E124+6)-(E124+1)+1&gt;=3,MONTH(E124+1),MONTH(E124+6)))</f>
        <v/>
      </c>
      <c r="R124" s="22">
        <f>IFERROR(K124/P124, 0)</f>
        <v/>
      </c>
      <c r="S124" s="38">
        <f>IFERROR(N124/P124,0)</f>
        <v/>
      </c>
      <c r="T124" s="31">
        <f>IFERROR(IF(N124&gt;0,(N124/K124),MIN(1,M124/J124)),0)</f>
        <v/>
      </c>
      <c r="U124" s="33" t="n"/>
    </row>
    <row r="125" hidden="1" s="40">
      <c r="A125" s="23" t="inlineStr">
        <is>
          <t>Semana 4 - janeiro</t>
        </is>
      </c>
      <c r="B125" s="27">
        <f>YEAR(E125)</f>
        <v/>
      </c>
      <c r="C125" s="18">
        <f>INDEX({"Janeiro";"Fevereiro";"Março";"Abril";"Maio";"Junho";"Julho";"Agosto";"Setembro";"Outubro";"Novembro";"Dezembro"},Q125)</f>
        <v/>
      </c>
      <c r="D125" s="24" t="n">
        <v>4</v>
      </c>
      <c r="E125" s="25" t="n">
        <v>46040</v>
      </c>
      <c r="F125" s="23" t="inlineStr">
        <is>
          <t>Iogurte Vida Leve Morango 500g</t>
        </is>
      </c>
      <c r="G125" s="23" t="inlineStr">
        <is>
          <t>IOGURTE</t>
        </is>
      </c>
      <c r="H125" s="26" t="n">
        <v>0.5</v>
      </c>
      <c r="I125" s="36" t="n">
        <v>0</v>
      </c>
      <c r="J125" s="21">
        <f>I125*H125</f>
        <v/>
      </c>
      <c r="K125" s="21">
        <f>IFERROR(IF(J125/P125&gt;1,P125,J125),0)</f>
        <v/>
      </c>
      <c r="L125" s="36" t="n">
        <v>0</v>
      </c>
      <c r="M125" s="21">
        <f>L125*H125</f>
        <v/>
      </c>
      <c r="N125" s="21">
        <f>IFERROR(IF(M125/K125&gt;1,K125,M125),0)</f>
        <v/>
      </c>
      <c r="O125" s="36" t="n">
        <v>0</v>
      </c>
      <c r="P125" s="21">
        <f>O125*H125</f>
        <v/>
      </c>
      <c r="Q125" s="30">
        <f>IF(MONTH(E125+1)=MONTH(E125+6),MONTH(E125+1),IF(MIN(EOMONTH(E125+1,0),E125+6)-(E125+1)+1&gt;=3,MONTH(E125+1),MONTH(E125+6)))</f>
        <v/>
      </c>
      <c r="R125" s="22">
        <f>IFERROR(K125/P125, 0)</f>
        <v/>
      </c>
      <c r="S125" s="38">
        <f>IFERROR(N125/P125,0)</f>
        <v/>
      </c>
      <c r="T125" s="31">
        <f>IFERROR(IF(N125&gt;0,(N125/K125),MIN(1,M125/J125)),0)</f>
        <v/>
      </c>
      <c r="U125" s="33" t="n"/>
    </row>
    <row r="126" hidden="1" s="40">
      <c r="A126" s="18" t="inlineStr">
        <is>
          <t>Semana 4 - janeiro</t>
        </is>
      </c>
      <c r="B126" s="27">
        <f>YEAR(E126)</f>
        <v/>
      </c>
      <c r="C126" s="18">
        <f>INDEX({"Janeiro";"Fevereiro";"Março";"Abril";"Maio";"Junho";"Julho";"Agosto";"Setembro";"Outubro";"Novembro";"Dezembro"},Q126)</f>
        <v/>
      </c>
      <c r="D126" s="19" t="n">
        <v>4</v>
      </c>
      <c r="E126" s="20" t="n">
        <v>46040</v>
      </c>
      <c r="F126" s="18" t="inlineStr">
        <is>
          <t>LEITE PASTEURIZADO VIÇOSA DESNATADO</t>
        </is>
      </c>
      <c r="G126" s="18" t="inlineStr">
        <is>
          <t>LEITE PAST.</t>
        </is>
      </c>
      <c r="H126" s="21" t="n">
        <v>1</v>
      </c>
      <c r="I126" s="36" t="n">
        <v>701</v>
      </c>
      <c r="J126" s="21">
        <f>I126*H126</f>
        <v/>
      </c>
      <c r="K126" s="21">
        <f>IFERROR(IF(J126/P126&gt;1,P126,J126),0)</f>
        <v/>
      </c>
      <c r="L126" s="36" t="n">
        <v>701</v>
      </c>
      <c r="M126" s="21">
        <f>L126*H126</f>
        <v/>
      </c>
      <c r="N126" s="21">
        <f>IFERROR(IF(M126/K126&gt;1,K126,M126),0)</f>
        <v/>
      </c>
      <c r="O126" s="36" t="n">
        <v>701</v>
      </c>
      <c r="P126" s="21">
        <f>O126*H126</f>
        <v/>
      </c>
      <c r="Q126" s="30">
        <f>IF(MONTH(E126+1)=MONTH(E126+6),MONTH(E126+1),IF(MIN(EOMONTH(E126+1,0),E126+6)-(E126+1)+1&gt;=3,MONTH(E126+1),MONTH(E126+6)))</f>
        <v/>
      </c>
      <c r="R126" s="22">
        <f>IFERROR(K126/P126, 0)</f>
        <v/>
      </c>
      <c r="S126" s="38">
        <f>IFERROR(N126/P126,0)</f>
        <v/>
      </c>
      <c r="T126" s="31">
        <f>IFERROR(IF(N126&gt;0,(N126/K126),MIN(1,M126/J126)),0)</f>
        <v/>
      </c>
      <c r="U126" s="33" t="n"/>
    </row>
    <row r="127" hidden="1" s="40">
      <c r="A127" s="23" t="inlineStr">
        <is>
          <t>Semana 4 - janeiro</t>
        </is>
      </c>
      <c r="B127" s="27">
        <f>YEAR(E127)</f>
        <v/>
      </c>
      <c r="C127" s="18">
        <f>INDEX({"Janeiro";"Fevereiro";"Março";"Abril";"Maio";"Junho";"Julho";"Agosto";"Setembro";"Outubro";"Novembro";"Dezembro"},Q127)</f>
        <v/>
      </c>
      <c r="D127" s="24" t="n">
        <v>4</v>
      </c>
      <c r="E127" s="25" t="n">
        <v>46040</v>
      </c>
      <c r="F127" s="23" t="inlineStr">
        <is>
          <t>LEITE PASTEURIZADO VIÇOSA INTEGRAL</t>
        </is>
      </c>
      <c r="G127" s="23" t="inlineStr">
        <is>
          <t>LEITE PAST.</t>
        </is>
      </c>
      <c r="H127" s="26" t="n">
        <v>1</v>
      </c>
      <c r="I127" s="36" t="n">
        <v>16114</v>
      </c>
      <c r="J127" s="21">
        <f>I127*H127</f>
        <v/>
      </c>
      <c r="K127" s="21">
        <f>IFERROR(IF(J127/P127&gt;1,P127,J127),0)</f>
        <v/>
      </c>
      <c r="L127" s="36" t="n">
        <v>16114</v>
      </c>
      <c r="M127" s="21">
        <f>L127*H127</f>
        <v/>
      </c>
      <c r="N127" s="21">
        <f>IFERROR(IF(M127/K127&gt;1,K127,M127),0)</f>
        <v/>
      </c>
      <c r="O127" s="36" t="n">
        <v>16114</v>
      </c>
      <c r="P127" s="21">
        <f>O127*H127</f>
        <v/>
      </c>
      <c r="Q127" s="30">
        <f>IF(MONTH(E127+1)=MONTH(E127+6),MONTH(E127+1),IF(MIN(EOMONTH(E127+1,0),E127+6)-(E127+1)+1&gt;=3,MONTH(E127+1),MONTH(E127+6)))</f>
        <v/>
      </c>
      <c r="R127" s="22">
        <f>IFERROR(K127/P127, 0)</f>
        <v/>
      </c>
      <c r="S127" s="38">
        <f>IFERROR(N127/P127,0)</f>
        <v/>
      </c>
      <c r="T127" s="31">
        <f>IFERROR(IF(N127&gt;0,(N127/K127),MIN(1,M127/J127)),0)</f>
        <v/>
      </c>
      <c r="U127" s="33" t="n"/>
    </row>
    <row r="128" hidden="1" s="40">
      <c r="A128" s="18" t="inlineStr">
        <is>
          <t>Semana 4 - janeiro</t>
        </is>
      </c>
      <c r="B128" s="27">
        <f>YEAR(E128)</f>
        <v/>
      </c>
      <c r="C128" s="18">
        <f>INDEX({"Janeiro";"Fevereiro";"Março";"Abril";"Maio";"Junho";"Julho";"Agosto";"Setembro";"Outubro";"Novembro";"Dezembro"},Q128)</f>
        <v/>
      </c>
      <c r="D128" s="19" t="n">
        <v>4</v>
      </c>
      <c r="E128" s="20" t="n">
        <v>46040</v>
      </c>
      <c r="F128" s="18" t="inlineStr">
        <is>
          <t>LEITE PASTEURIZADO VIÇOSA ZERO LACTOSE INTEGRAL 1 L</t>
        </is>
      </c>
      <c r="G128" s="18" t="inlineStr">
        <is>
          <t>LEITE PAST.</t>
        </is>
      </c>
      <c r="H128" s="21" t="n">
        <v>1</v>
      </c>
      <c r="I128" s="36" t="n">
        <v>704</v>
      </c>
      <c r="J128" s="21">
        <f>I128*H128</f>
        <v/>
      </c>
      <c r="K128" s="21">
        <f>IFERROR(IF(J128/P128&gt;1,P128,J128),0)</f>
        <v/>
      </c>
      <c r="L128" s="36" t="n">
        <v>704</v>
      </c>
      <c r="M128" s="21">
        <f>L128*H128</f>
        <v/>
      </c>
      <c r="N128" s="21">
        <f>IFERROR(IF(M128/K128&gt;1,K128,M128),0)</f>
        <v/>
      </c>
      <c r="O128" s="36" t="n">
        <v>704</v>
      </c>
      <c r="P128" s="21">
        <f>O128*H128</f>
        <v/>
      </c>
      <c r="Q128" s="30">
        <f>IF(MONTH(E128+1)=MONTH(E128+6),MONTH(E128+1),IF(MIN(EOMONTH(E128+1,0),E128+6)-(E128+1)+1&gt;=3,MONTH(E128+1),MONTH(E128+6)))</f>
        <v/>
      </c>
      <c r="R128" s="22">
        <f>IFERROR(K128/P128, 0)</f>
        <v/>
      </c>
      <c r="S128" s="38">
        <f>IFERROR(N128/P128,0)</f>
        <v/>
      </c>
      <c r="T128" s="31">
        <f>IFERROR(IF(N128&gt;0,(N128/K128),MIN(1,M128/J128)),0)</f>
        <v/>
      </c>
      <c r="U128" s="33" t="n"/>
    </row>
    <row r="129" hidden="1" s="40">
      <c r="A129" s="23" t="inlineStr">
        <is>
          <t>Semana 4 - janeiro</t>
        </is>
      </c>
      <c r="B129" s="27">
        <f>YEAR(E129)</f>
        <v/>
      </c>
      <c r="C129" s="18">
        <f>INDEX({"Janeiro";"Fevereiro";"Março";"Abril";"Maio";"Junho";"Julho";"Agosto";"Setembro";"Outubro";"Novembro";"Dezembro"},Q129)</f>
        <v/>
      </c>
      <c r="D129" s="24" t="n">
        <v>4</v>
      </c>
      <c r="E129" s="25" t="n">
        <v>46040</v>
      </c>
      <c r="F129" s="23" t="inlineStr">
        <is>
          <t>Manteiga 200g</t>
        </is>
      </c>
      <c r="G129" s="23" t="inlineStr">
        <is>
          <t>MANTEIGA</t>
        </is>
      </c>
      <c r="H129" s="26" t="n">
        <v>0.2</v>
      </c>
      <c r="I129" s="36" t="n">
        <v>2500</v>
      </c>
      <c r="J129" s="21">
        <f>I129*H129</f>
        <v/>
      </c>
      <c r="K129" s="21">
        <f>IFERROR(IF(J129/P129&gt;1,P129,J129),0)</f>
        <v/>
      </c>
      <c r="L129" s="36" t="n">
        <v>2287</v>
      </c>
      <c r="M129" s="21">
        <f>L129*H129</f>
        <v/>
      </c>
      <c r="N129" s="21">
        <f>IFERROR(IF(M129/K129&gt;1,K129,M129),0)</f>
        <v/>
      </c>
      <c r="O129" s="36" t="n">
        <v>2500</v>
      </c>
      <c r="P129" s="21">
        <f>O129*H129</f>
        <v/>
      </c>
      <c r="Q129" s="30">
        <f>IF(MONTH(E129+1)=MONTH(E129+6),MONTH(E129+1),IF(MIN(EOMONTH(E129+1,0),E129+6)-(E129+1)+1&gt;=3,MONTH(E129+1),MONTH(E129+6)))</f>
        <v/>
      </c>
      <c r="R129" s="22">
        <f>IFERROR(K129/P129, 0)</f>
        <v/>
      </c>
      <c r="S129" s="38">
        <f>IFERROR(N129/P129,0)</f>
        <v/>
      </c>
      <c r="T129" s="31">
        <f>IFERROR(IF(N129&gt;0,(N129/K129),MIN(1,M129/J129)),0)</f>
        <v/>
      </c>
      <c r="U129" s="33" t="n"/>
    </row>
    <row r="130" hidden="1" s="40">
      <c r="A130" s="18" t="inlineStr">
        <is>
          <t>Semana 4 - janeiro</t>
        </is>
      </c>
      <c r="B130" s="27">
        <f>YEAR(E130)</f>
        <v/>
      </c>
      <c r="C130" s="18">
        <f>INDEX({"Janeiro";"Fevereiro";"Março";"Abril";"Maio";"Junho";"Julho";"Agosto";"Setembro";"Outubro";"Novembro";"Dezembro"},Q130)</f>
        <v/>
      </c>
      <c r="D130" s="19" t="n">
        <v>4</v>
      </c>
      <c r="E130" s="20" t="n">
        <v>46040</v>
      </c>
      <c r="F130" s="18" t="inlineStr">
        <is>
          <t>Manteiga 500g</t>
        </is>
      </c>
      <c r="G130" s="18" t="inlineStr">
        <is>
          <t>MANTEIGA</t>
        </is>
      </c>
      <c r="H130" s="21" t="n">
        <v>0.5</v>
      </c>
      <c r="I130" s="36" t="n">
        <v>1100</v>
      </c>
      <c r="J130" s="21">
        <f>I130*H130</f>
        <v/>
      </c>
      <c r="K130" s="21">
        <f>IFERROR(IF(J130/P130&gt;1,P130,J130),0)</f>
        <v/>
      </c>
      <c r="L130" s="36" t="n">
        <v>1033</v>
      </c>
      <c r="M130" s="21">
        <f>L130*H130</f>
        <v/>
      </c>
      <c r="N130" s="21">
        <f>IFERROR(IF(M130/K130&gt;1,K130,M130),0)</f>
        <v/>
      </c>
      <c r="O130" s="36" t="n">
        <v>1100</v>
      </c>
      <c r="P130" s="21">
        <f>O130*H130</f>
        <v/>
      </c>
      <c r="Q130" s="30">
        <f>IF(MONTH(E130+1)=MONTH(E130+6),MONTH(E130+1),IF(MIN(EOMONTH(E130+1,0),E130+6)-(E130+1)+1&gt;=3,MONTH(E130+1),MONTH(E130+6)))</f>
        <v/>
      </c>
      <c r="R130" s="22">
        <f>IFERROR(K130/P130, 0)</f>
        <v/>
      </c>
      <c r="S130" s="38">
        <f>IFERROR(N130/P130,0)</f>
        <v/>
      </c>
      <c r="T130" s="31">
        <f>IFERROR(IF(N130&gt;0,(N130/K130),MIN(1,M130/J130)),0)</f>
        <v/>
      </c>
      <c r="U130" s="33" t="n"/>
    </row>
    <row r="131" hidden="1" s="40">
      <c r="A131" s="23" t="inlineStr">
        <is>
          <t>Semana 4 - janeiro</t>
        </is>
      </c>
      <c r="B131" s="27">
        <f>YEAR(E131)</f>
        <v/>
      </c>
      <c r="C131" s="18">
        <f>INDEX({"Janeiro";"Fevereiro";"Março";"Abril";"Maio";"Junho";"Julho";"Agosto";"Setembro";"Outubro";"Novembro";"Dezembro"},Q131)</f>
        <v/>
      </c>
      <c r="D131" s="24" t="n">
        <v>4</v>
      </c>
      <c r="E131" s="25" t="n">
        <v>46040</v>
      </c>
      <c r="F131" s="23" t="inlineStr">
        <is>
          <t>QUEIJO MINAS MEIA CURA (FRACIONADO)</t>
        </is>
      </c>
      <c r="G131" s="23" t="inlineStr">
        <is>
          <t>QUEIJO</t>
        </is>
      </c>
      <c r="H131" s="26" t="n">
        <v>1</v>
      </c>
      <c r="I131" s="36" t="n">
        <v>0</v>
      </c>
      <c r="J131" s="21">
        <f>I131*H131</f>
        <v/>
      </c>
      <c r="K131" s="21">
        <f>IFERROR(IF(J131/P131&gt;1,P131,J131),0)</f>
        <v/>
      </c>
      <c r="L131" s="36" t="n">
        <v>0</v>
      </c>
      <c r="M131" s="21">
        <f>L131*H131</f>
        <v/>
      </c>
      <c r="N131" s="21">
        <f>IFERROR(IF(M131/K131&gt;1,K131,M131),0)</f>
        <v/>
      </c>
      <c r="O131" s="36" t="n">
        <v>0</v>
      </c>
      <c r="P131" s="21">
        <f>O131*H131</f>
        <v/>
      </c>
      <c r="Q131" s="30">
        <f>IF(MONTH(E131+1)=MONTH(E131+6),MONTH(E131+1),IF(MIN(EOMONTH(E131+1,0),E131+6)-(E131+1)+1&gt;=3,MONTH(E131+1),MONTH(E131+6)))</f>
        <v/>
      </c>
      <c r="R131" s="22">
        <f>IFERROR(K131/P131, 0)</f>
        <v/>
      </c>
      <c r="S131" s="38">
        <f>IFERROR(N131/P131,0)</f>
        <v/>
      </c>
      <c r="T131" s="31">
        <f>IFERROR(IF(N131&gt;0,(N131/K131),MIN(1,M131/J131)),0)</f>
        <v/>
      </c>
      <c r="U131" s="33" t="n"/>
    </row>
    <row r="132" hidden="1" s="40">
      <c r="A132" s="18" t="inlineStr">
        <is>
          <t>Semana 4 - janeiro</t>
        </is>
      </c>
      <c r="B132" s="27">
        <f>YEAR(E132)</f>
        <v/>
      </c>
      <c r="C132" s="18">
        <f>INDEX({"Janeiro";"Fevereiro";"Março";"Abril";"Maio";"Junho";"Julho";"Agosto";"Setembro";"Outubro";"Novembro";"Dezembro"},Q132)</f>
        <v/>
      </c>
      <c r="D132" s="19" t="n">
        <v>4</v>
      </c>
      <c r="E132" s="20" t="n">
        <v>46040</v>
      </c>
      <c r="F132" s="18" t="inlineStr">
        <is>
          <t>QUEIJO MINAS MEIA CURA (INTEIRO)</t>
        </is>
      </c>
      <c r="G132" s="18" t="inlineStr">
        <is>
          <t>QUEIJO</t>
        </is>
      </c>
      <c r="H132" s="21" t="n">
        <v>1</v>
      </c>
      <c r="I132" s="36" t="n">
        <v>0</v>
      </c>
      <c r="J132" s="21">
        <f>I132*H132</f>
        <v/>
      </c>
      <c r="K132" s="21">
        <f>IFERROR(IF(J132/P132&gt;1,P132,J132),0)</f>
        <v/>
      </c>
      <c r="L132" s="36" t="n">
        <v>0</v>
      </c>
      <c r="M132" s="21">
        <f>L132*H132</f>
        <v/>
      </c>
      <c r="N132" s="21">
        <f>IFERROR(IF(M132/K132&gt;1,K132,M132),0)</f>
        <v/>
      </c>
      <c r="O132" s="36" t="n">
        <v>0</v>
      </c>
      <c r="P132" s="21">
        <f>O132*H132</f>
        <v/>
      </c>
      <c r="Q132" s="30">
        <f>IF(MONTH(E132+1)=MONTH(E132+6),MONTH(E132+1),IF(MIN(EOMONTH(E132+1,0),E132+6)-(E132+1)+1&gt;=3,MONTH(E132+1),MONTH(E132+6)))</f>
        <v/>
      </c>
      <c r="R132" s="22">
        <f>IFERROR(K132/P132, 0)</f>
        <v/>
      </c>
      <c r="S132" s="38">
        <f>IFERROR(N132/P132,0)</f>
        <v/>
      </c>
      <c r="T132" s="31">
        <f>IFERROR(IF(N132&gt;0,(N132/K132),MIN(1,M132/J132)),0)</f>
        <v/>
      </c>
      <c r="U132" s="33" t="n"/>
    </row>
    <row r="133" hidden="1" s="40">
      <c r="A133" s="23" t="inlineStr">
        <is>
          <t>Semana 4 - janeiro</t>
        </is>
      </c>
      <c r="B133" s="27">
        <f>YEAR(E133)</f>
        <v/>
      </c>
      <c r="C133" s="18">
        <f>INDEX({"Janeiro";"Fevereiro";"Março";"Abril";"Maio";"Junho";"Julho";"Agosto";"Setembro";"Outubro";"Novembro";"Dezembro"},Q133)</f>
        <v/>
      </c>
      <c r="D133" s="24" t="n">
        <v>4</v>
      </c>
      <c r="E133" s="25" t="n">
        <v>46040</v>
      </c>
      <c r="F133" s="23" t="inlineStr">
        <is>
          <t xml:space="preserve">QUEIJO MINAS PADRÃO VIÇOSA FRACIONADO </t>
        </is>
      </c>
      <c r="G133" s="23" t="inlineStr">
        <is>
          <t>QUEIJO</t>
        </is>
      </c>
      <c r="H133" s="26" t="n">
        <v>1</v>
      </c>
      <c r="I133" s="36" t="n">
        <v>0</v>
      </c>
      <c r="J133" s="21">
        <f>I133*H133</f>
        <v/>
      </c>
      <c r="K133" s="21">
        <f>IFERROR(IF(J133/P133&gt;1,P133,J133),0)</f>
        <v/>
      </c>
      <c r="L133" s="36" t="n">
        <v>407.37</v>
      </c>
      <c r="M133" s="21">
        <f>L133*H133</f>
        <v/>
      </c>
      <c r="N133" s="21">
        <f>IFERROR(IF(M133/K133&gt;1,K133,M133),0)</f>
        <v/>
      </c>
      <c r="O133" s="36" t="n">
        <v>0</v>
      </c>
      <c r="P133" s="21">
        <f>O133*H133</f>
        <v/>
      </c>
      <c r="Q133" s="30">
        <f>IF(MONTH(E133+1)=MONTH(E133+6),MONTH(E133+1),IF(MIN(EOMONTH(E133+1,0),E133+6)-(E133+1)+1&gt;=3,MONTH(E133+1),MONTH(E133+6)))</f>
        <v/>
      </c>
      <c r="R133" s="22">
        <f>IFERROR(K133/P133, 0)</f>
        <v/>
      </c>
      <c r="S133" s="38">
        <f>IFERROR(N133/P133,0)</f>
        <v/>
      </c>
      <c r="T133" s="31">
        <f>IFERROR(IF(N133&gt;0,(N133/K133),MIN(1,M133/J133)),0)</f>
        <v/>
      </c>
      <c r="U133" s="33" t="n"/>
    </row>
    <row r="134" hidden="1" s="40">
      <c r="A134" s="18" t="inlineStr">
        <is>
          <t>Semana 4 - janeiro</t>
        </is>
      </c>
      <c r="B134" s="27">
        <f>YEAR(E134)</f>
        <v/>
      </c>
      <c r="C134" s="18">
        <f>INDEX({"Janeiro";"Fevereiro";"Março";"Abril";"Maio";"Junho";"Julho";"Agosto";"Setembro";"Outubro";"Novembro";"Dezembro"},Q134)</f>
        <v/>
      </c>
      <c r="D134" s="19" t="n">
        <v>4</v>
      </c>
      <c r="E134" s="20" t="n">
        <v>46040</v>
      </c>
      <c r="F134" s="18" t="inlineStr">
        <is>
          <t>QUEIJO MUSSARELA 3KG</t>
        </is>
      </c>
      <c r="G134" s="18" t="inlineStr">
        <is>
          <t>QUEIJO</t>
        </is>
      </c>
      <c r="H134" s="21" t="n">
        <v>1</v>
      </c>
      <c r="I134" s="36" t="n">
        <v>500</v>
      </c>
      <c r="J134" s="21">
        <f>I134*H134</f>
        <v/>
      </c>
      <c r="K134" s="21">
        <f>IFERROR(IF(J134/P134&gt;1,P134,J134),0)</f>
        <v/>
      </c>
      <c r="L134" s="36" t="n">
        <v>542.03</v>
      </c>
      <c r="M134" s="21">
        <f>L134*H134</f>
        <v/>
      </c>
      <c r="N134" s="21">
        <f>IFERROR(IF(M134/K134&gt;1,K134,M134),0)</f>
        <v/>
      </c>
      <c r="O134" s="36" t="n">
        <v>500</v>
      </c>
      <c r="P134" s="21">
        <f>O134*H134</f>
        <v/>
      </c>
      <c r="Q134" s="30">
        <f>IF(MONTH(E134+1)=MONTH(E134+6),MONTH(E134+1),IF(MIN(EOMONTH(E134+1,0),E134+6)-(E134+1)+1&gt;=3,MONTH(E134+1),MONTH(E134+6)))</f>
        <v/>
      </c>
      <c r="R134" s="22">
        <f>IFERROR(K134/P134, 0)</f>
        <v/>
      </c>
      <c r="S134" s="38">
        <f>IFERROR(N134/P134,0)</f>
        <v/>
      </c>
      <c r="T134" s="31">
        <f>IFERROR(IF(N134&gt;0,(N134/K134),MIN(1,M134/J134)),0)</f>
        <v/>
      </c>
      <c r="U134" s="33" t="n"/>
    </row>
    <row r="135" hidden="1" s="40">
      <c r="A135" s="23" t="inlineStr">
        <is>
          <t>Semana 4 - janeiro</t>
        </is>
      </c>
      <c r="B135" s="27">
        <f>YEAR(E135)</f>
        <v/>
      </c>
      <c r="C135" s="18">
        <f>INDEX({"Janeiro";"Fevereiro";"Março";"Abril";"Maio";"Junho";"Julho";"Agosto";"Setembro";"Outubro";"Novembro";"Dezembro"},Q135)</f>
        <v/>
      </c>
      <c r="D135" s="24" t="n">
        <v>4</v>
      </c>
      <c r="E135" s="25" t="n">
        <v>46040</v>
      </c>
      <c r="F135" s="23" t="inlineStr">
        <is>
          <t>QUEIJO MUSSARELA LANCHE</t>
        </is>
      </c>
      <c r="G135" s="23" t="inlineStr">
        <is>
          <t>QUEIJO</t>
        </is>
      </c>
      <c r="H135" s="26" t="n">
        <v>1</v>
      </c>
      <c r="I135" s="36" t="n">
        <v>0</v>
      </c>
      <c r="J135" s="21">
        <f>I135*H135</f>
        <v/>
      </c>
      <c r="K135" s="21">
        <f>IFERROR(IF(J135/P135&gt;1,P135,J135),0)</f>
        <v/>
      </c>
      <c r="L135" s="36" t="n">
        <v>0</v>
      </c>
      <c r="M135" s="21">
        <f>L135*H135</f>
        <v/>
      </c>
      <c r="N135" s="21">
        <f>IFERROR(IF(M135/K135&gt;1,K135,M135),0)</f>
        <v/>
      </c>
      <c r="O135" s="36" t="n">
        <v>0</v>
      </c>
      <c r="P135" s="21">
        <f>O135*H135</f>
        <v/>
      </c>
      <c r="Q135" s="30">
        <f>IF(MONTH(E135+1)=MONTH(E135+6),MONTH(E135+1),IF(MIN(EOMONTH(E135+1,0),E135+6)-(E135+1)+1&gt;=3,MONTH(E135+1),MONTH(E135+6)))</f>
        <v/>
      </c>
      <c r="R135" s="22">
        <f>IFERROR(K135/P135, 0)</f>
        <v/>
      </c>
      <c r="S135" s="38">
        <f>IFERROR(N135/P135,0)</f>
        <v/>
      </c>
      <c r="T135" s="31">
        <f>IFERROR(IF(N135&gt;0,(N135/K135),MIN(1,M135/J135)),0)</f>
        <v/>
      </c>
      <c r="U135" s="33" t="n"/>
    </row>
    <row r="136" hidden="1" s="40">
      <c r="A136" s="18" t="inlineStr">
        <is>
          <t>Semana 4 - janeiro</t>
        </is>
      </c>
      <c r="B136" s="27">
        <f>YEAR(E136)</f>
        <v/>
      </c>
      <c r="C136" s="18">
        <f>INDEX({"Janeiro";"Fevereiro";"Março";"Abril";"Maio";"Junho";"Julho";"Agosto";"Setembro";"Outubro";"Novembro";"Dezembro"},Q136)</f>
        <v/>
      </c>
      <c r="D136" s="19" t="n">
        <v>4</v>
      </c>
      <c r="E136" s="20" t="n">
        <v>46040</v>
      </c>
      <c r="F136" s="18" t="inlineStr">
        <is>
          <t>REQUEIJÃO VIÇOSA 200g</t>
        </is>
      </c>
      <c r="G136" s="18" t="inlineStr">
        <is>
          <t>REQUEIJÃO</t>
        </is>
      </c>
      <c r="H136" s="21" t="n">
        <v>0.2</v>
      </c>
      <c r="I136" s="36" t="n">
        <v>4000</v>
      </c>
      <c r="J136" s="21">
        <f>I136*H136</f>
        <v/>
      </c>
      <c r="K136" s="21">
        <f>IFERROR(IF(J136/P136&gt;1,P136,J136),0)</f>
        <v/>
      </c>
      <c r="L136" s="36" t="n">
        <v>7283</v>
      </c>
      <c r="M136" s="21">
        <f>L136*H136</f>
        <v/>
      </c>
      <c r="N136" s="21">
        <f>IFERROR(IF(M136/K136&gt;1,K136,M136),0)</f>
        <v/>
      </c>
      <c r="O136" s="36" t="n">
        <v>7200</v>
      </c>
      <c r="P136" s="21">
        <f>O136*H136</f>
        <v/>
      </c>
      <c r="Q136" s="30">
        <f>IF(MONTH(E136+1)=MONTH(E136+6),MONTH(E136+1),IF(MIN(EOMONTH(E136+1,0),E136+6)-(E136+1)+1&gt;=3,MONTH(E136+1),MONTH(E136+6)))</f>
        <v/>
      </c>
      <c r="R136" s="22">
        <f>IFERROR(K136/P136, 0)</f>
        <v/>
      </c>
      <c r="S136" s="38">
        <f>IFERROR(N136/P136,0)</f>
        <v/>
      </c>
      <c r="T136" s="31">
        <f>IFERROR(IF(N136&gt;0,(N136/K136),MIN(1,M136/J136)),0)</f>
        <v/>
      </c>
      <c r="U136" s="33" t="n"/>
    </row>
    <row r="137" hidden="1" s="40">
      <c r="A137" s="23" t="inlineStr">
        <is>
          <t>Semana 4 - janeiro</t>
        </is>
      </c>
      <c r="B137" s="27">
        <f>YEAR(E137)</f>
        <v/>
      </c>
      <c r="C137" s="18">
        <f>INDEX({"Janeiro";"Fevereiro";"Março";"Abril";"Maio";"Junho";"Julho";"Agosto";"Setembro";"Outubro";"Novembro";"Dezembro"},Q137)</f>
        <v/>
      </c>
      <c r="D137" s="24" t="n">
        <v>4</v>
      </c>
      <c r="E137" s="25" t="n">
        <v>46040</v>
      </c>
      <c r="F137" s="23" t="inlineStr">
        <is>
          <t>REQUEIJÃO VIÇOSA 400g</t>
        </is>
      </c>
      <c r="G137" s="23" t="inlineStr">
        <is>
          <t>REQUEIJÃO</t>
        </is>
      </c>
      <c r="H137" s="26" t="n">
        <v>0.4</v>
      </c>
      <c r="I137" s="36" t="n">
        <v>5170</v>
      </c>
      <c r="J137" s="21">
        <f>I137*H137</f>
        <v/>
      </c>
      <c r="K137" s="21">
        <f>IFERROR(IF(J137/P137&gt;1,P137,J137),0)</f>
        <v/>
      </c>
      <c r="L137" s="36" t="n">
        <v>4309</v>
      </c>
      <c r="M137" s="21">
        <f>L137*H137</f>
        <v/>
      </c>
      <c r="N137" s="21">
        <f>IFERROR(IF(M137/K137&gt;1,K137,M137),0)</f>
        <v/>
      </c>
      <c r="O137" s="36" t="n">
        <v>3200</v>
      </c>
      <c r="P137" s="21">
        <f>O137*H137</f>
        <v/>
      </c>
      <c r="Q137" s="30">
        <f>IF(MONTH(E137+1)=MONTH(E137+6),MONTH(E137+1),IF(MIN(EOMONTH(E137+1,0),E137+6)-(E137+1)+1&gt;=3,MONTH(E137+1),MONTH(E137+6)))</f>
        <v/>
      </c>
      <c r="R137" s="22">
        <f>IFERROR(K137/P137, 0)</f>
        <v/>
      </c>
      <c r="S137" s="38">
        <f>IFERROR(N137/P137,0)</f>
        <v/>
      </c>
      <c r="T137" s="31">
        <f>IFERROR(IF(N137&gt;0,(N137/K137),MIN(1,M137/J137)),0)</f>
        <v/>
      </c>
      <c r="U137" s="33" t="n"/>
    </row>
    <row r="138" hidden="1" s="40">
      <c r="A138" s="18" t="inlineStr">
        <is>
          <t>Semana 4 - janeiro</t>
        </is>
      </c>
      <c r="B138" s="27">
        <f>YEAR(E138)</f>
        <v/>
      </c>
      <c r="C138" s="18">
        <f>INDEX({"Janeiro";"Fevereiro";"Março";"Abril";"Maio";"Junho";"Julho";"Agosto";"Setembro";"Outubro";"Novembro";"Dezembro"},Q138)</f>
        <v/>
      </c>
      <c r="D138" s="19" t="n">
        <v>4</v>
      </c>
      <c r="E138" s="20" t="n">
        <v>46040</v>
      </c>
      <c r="F138" s="18" t="inlineStr">
        <is>
          <t>Requeijão Light 200g</t>
        </is>
      </c>
      <c r="G138" s="18" t="inlineStr">
        <is>
          <t>REQUEIJÃO</t>
        </is>
      </c>
      <c r="H138" s="21" t="n">
        <v>0.2</v>
      </c>
      <c r="I138" s="36" t="n">
        <v>0</v>
      </c>
      <c r="J138" s="21">
        <f>I138*H138</f>
        <v/>
      </c>
      <c r="K138" s="21">
        <f>IFERROR(IF(J138/P138&gt;1,P138,J138),0)</f>
        <v/>
      </c>
      <c r="L138" s="36" t="n">
        <v>0</v>
      </c>
      <c r="M138" s="21">
        <f>L138*H138</f>
        <v/>
      </c>
      <c r="N138" s="21">
        <f>IFERROR(IF(M138/K138&gt;1,K138,M138),0)</f>
        <v/>
      </c>
      <c r="O138" s="36" t="n">
        <v>1200</v>
      </c>
      <c r="P138" s="21">
        <f>O138*H138</f>
        <v/>
      </c>
      <c r="Q138" s="30">
        <f>IF(MONTH(E138+1)=MONTH(E138+6),MONTH(E138+1),IF(MIN(EOMONTH(E138+1,0),E138+6)-(E138+1)+1&gt;=3,MONTH(E138+1),MONTH(E138+6)))</f>
        <v/>
      </c>
      <c r="R138" s="22">
        <f>IFERROR(K138/P138, 0)</f>
        <v/>
      </c>
      <c r="S138" s="38">
        <f>IFERROR(N138/P138,0)</f>
        <v/>
      </c>
      <c r="T138" s="31">
        <f>IFERROR(IF(N138&gt;0,(N138/K138),MIN(1,M138/J138)),0)</f>
        <v/>
      </c>
      <c r="U138" s="33" t="n"/>
    </row>
    <row r="139" hidden="1" s="40">
      <c r="A139" s="23" t="inlineStr">
        <is>
          <t>Semana 4 - janeiro</t>
        </is>
      </c>
      <c r="B139" s="27">
        <f>YEAR(E139)</f>
        <v/>
      </c>
      <c r="C139" s="18">
        <f>INDEX({"Janeiro";"Fevereiro";"Março";"Abril";"Maio";"Junho";"Julho";"Agosto";"Setembro";"Outubro";"Novembro";"Dezembro"},Q139)</f>
        <v/>
      </c>
      <c r="D139" s="24" t="n">
        <v>4</v>
      </c>
      <c r="E139" s="25" t="n">
        <v>46040</v>
      </c>
      <c r="F139" s="23" t="inlineStr">
        <is>
          <t>Creme de Ricota 200g</t>
        </is>
      </c>
      <c r="G139" s="23" t="inlineStr">
        <is>
          <t>RICOTA</t>
        </is>
      </c>
      <c r="H139" s="26" t="n">
        <v>0.2</v>
      </c>
      <c r="I139" s="36" t="n">
        <v>1200</v>
      </c>
      <c r="J139" s="21">
        <f>I139*H139</f>
        <v/>
      </c>
      <c r="K139" s="21">
        <f>IFERROR(IF(J139/P139&gt;1,P139,J139),0)</f>
        <v/>
      </c>
      <c r="L139" s="36" t="n">
        <v>952</v>
      </c>
      <c r="M139" s="21">
        <f>L139*H139</f>
        <v/>
      </c>
      <c r="N139" s="21">
        <f>IFERROR(IF(M139/K139&gt;1,K139,M139),0)</f>
        <v/>
      </c>
      <c r="O139" s="36" t="n">
        <v>1200</v>
      </c>
      <c r="P139" s="21">
        <f>O139*H139</f>
        <v/>
      </c>
      <c r="Q139" s="30">
        <f>IF(MONTH(E139+1)=MONTH(E139+6),MONTH(E139+1),IF(MIN(EOMONTH(E139+1,0),E139+6)-(E139+1)+1&gt;=3,MONTH(E139+1),MONTH(E139+6)))</f>
        <v/>
      </c>
      <c r="R139" s="22">
        <f>IFERROR(K139/P139, 0)</f>
        <v/>
      </c>
      <c r="S139" s="38">
        <f>IFERROR(N139/P139,0)</f>
        <v/>
      </c>
      <c r="T139" s="31">
        <f>IFERROR(IF(N139&gt;0,(N139/K139),MIN(1,M139/J139)),0)</f>
        <v/>
      </c>
      <c r="U139" s="33" t="n"/>
    </row>
    <row r="140" hidden="1" s="40">
      <c r="A140" s="18" t="inlineStr">
        <is>
          <t>Semana 5 - janeiro</t>
        </is>
      </c>
      <c r="B140" s="27">
        <f>YEAR(E140)</f>
        <v/>
      </c>
      <c r="C140" s="18">
        <f>INDEX({"Janeiro";"Fevereiro";"Março";"Abril";"Maio";"Junho";"Julho";"Agosto";"Setembro";"Outubro";"Novembro";"Dezembro"},Q140)</f>
        <v/>
      </c>
      <c r="D140" s="19" t="n">
        <v>5</v>
      </c>
      <c r="E140" s="20" t="n">
        <v>46047</v>
      </c>
      <c r="F140" s="18" t="inlineStr">
        <is>
          <t>Doce de Leite 400g</t>
        </is>
      </c>
      <c r="G140" s="18" t="inlineStr">
        <is>
          <t>DOCE</t>
        </is>
      </c>
      <c r="H140" s="21" t="n">
        <v>0.4</v>
      </c>
      <c r="I140" s="36" t="n">
        <v>30000</v>
      </c>
      <c r="J140" s="21">
        <f>I140*H140</f>
        <v/>
      </c>
      <c r="K140" s="21">
        <f>IFERROR(IF(J140/P140&gt;1,P140,J140),0)</f>
        <v/>
      </c>
      <c r="L140" s="36" t="n">
        <v>31260</v>
      </c>
      <c r="M140" s="21">
        <f>L140*H140</f>
        <v/>
      </c>
      <c r="N140" s="21">
        <f>IFERROR(IF(M140/K140&gt;1,K140,M140),0)</f>
        <v/>
      </c>
      <c r="O140" s="36" t="n">
        <v>24000</v>
      </c>
      <c r="P140" s="21">
        <f>O140*H140</f>
        <v/>
      </c>
      <c r="Q140" s="30">
        <f>IF(MONTH(E140+1)=MONTH(E140+6),MONTH(E140+1),IF(MIN(EOMONTH(E140+1,0),E140+6)-(E140+1)+1&gt;=3,MONTH(E140+1),MONTH(E140+6)))</f>
        <v/>
      </c>
      <c r="R140" s="22">
        <f>IFERROR(K140/P140, 0)</f>
        <v/>
      </c>
      <c r="S140" s="38">
        <f>IFERROR(N140/P140,0)</f>
        <v/>
      </c>
      <c r="T140" s="31">
        <f>IFERROR(IF(N140&gt;0,(N140/K140),MIN(1,M140/J140)),0)</f>
        <v/>
      </c>
      <c r="U140" s="33" t="n"/>
    </row>
    <row r="141" hidden="1" s="40">
      <c r="A141" s="23" t="inlineStr">
        <is>
          <t>Semana 5 - janeiro</t>
        </is>
      </c>
      <c r="B141" s="27">
        <f>YEAR(E141)</f>
        <v/>
      </c>
      <c r="C141" s="18">
        <f>INDEX({"Janeiro";"Fevereiro";"Março";"Abril";"Maio";"Junho";"Julho";"Agosto";"Setembro";"Outubro";"Novembro";"Dezembro"},Q141)</f>
        <v/>
      </c>
      <c r="D141" s="24" t="n">
        <v>5</v>
      </c>
      <c r="E141" s="25" t="n">
        <v>46047</v>
      </c>
      <c r="F141" s="23" t="inlineStr">
        <is>
          <t>Doce de Leite 5kg</t>
        </is>
      </c>
      <c r="G141" s="23" t="inlineStr">
        <is>
          <t>DOCE</t>
        </is>
      </c>
      <c r="H141" s="26" t="n">
        <v>5</v>
      </c>
      <c r="I141" s="36" t="n">
        <v>0</v>
      </c>
      <c r="J141" s="21">
        <f>I141*H141</f>
        <v/>
      </c>
      <c r="K141" s="21">
        <f>IFERROR(IF(J141/P141&gt;1,P141,J141),0)</f>
        <v/>
      </c>
      <c r="L141" s="36" t="n">
        <v>0</v>
      </c>
      <c r="M141" s="21">
        <f>L141*H141</f>
        <v/>
      </c>
      <c r="N141" s="21">
        <f>IFERROR(IF(M141/K141&gt;1,K141,M141),0)</f>
        <v/>
      </c>
      <c r="O141" s="36" t="n">
        <v>0</v>
      </c>
      <c r="P141" s="21">
        <f>O141*H141</f>
        <v/>
      </c>
      <c r="Q141" s="30">
        <f>IF(MONTH(E141+1)=MONTH(E141+6),MONTH(E141+1),IF(MIN(EOMONTH(E141+1,0),E141+6)-(E141+1)+1&gt;=3,MONTH(E141+1),MONTH(E141+6)))</f>
        <v/>
      </c>
      <c r="R141" s="22">
        <f>IFERROR(K141/P141, 0)</f>
        <v/>
      </c>
      <c r="S141" s="38">
        <f>IFERROR(N141/P141,0)</f>
        <v/>
      </c>
      <c r="T141" s="31">
        <f>IFERROR(IF(N141&gt;0,(N141/K141),MIN(1,M141/J141)),0)</f>
        <v/>
      </c>
      <c r="U141" s="33" t="n"/>
    </row>
    <row r="142" hidden="1" s="40">
      <c r="A142" s="18" t="inlineStr">
        <is>
          <t>Semana 5 - janeiro</t>
        </is>
      </c>
      <c r="B142" s="27">
        <f>YEAR(E142)</f>
        <v/>
      </c>
      <c r="C142" s="18">
        <f>INDEX({"Janeiro";"Fevereiro";"Março";"Abril";"Maio";"Junho";"Julho";"Agosto";"Setembro";"Outubro";"Novembro";"Dezembro"},Q142)</f>
        <v/>
      </c>
      <c r="D142" s="19" t="n">
        <v>5</v>
      </c>
      <c r="E142" s="20" t="n">
        <v>46047</v>
      </c>
      <c r="F142" s="18" t="inlineStr">
        <is>
          <t>Doce de Leite 5kg - Bombeável</t>
        </is>
      </c>
      <c r="G142" s="18" t="inlineStr">
        <is>
          <t>DOCE</t>
        </is>
      </c>
      <c r="H142" s="21" t="n">
        <v>5</v>
      </c>
      <c r="I142" s="36" t="n">
        <v>0</v>
      </c>
      <c r="J142" s="21">
        <f>I142*H142</f>
        <v/>
      </c>
      <c r="K142" s="21">
        <f>IFERROR(IF(J142/P142&gt;1,P142,J142),0)</f>
        <v/>
      </c>
      <c r="L142" s="36" t="n">
        <v>0</v>
      </c>
      <c r="M142" s="21">
        <f>L142*H142</f>
        <v/>
      </c>
      <c r="N142" s="21">
        <f>IFERROR(IF(M142/K142&gt;1,K142,M142),0)</f>
        <v/>
      </c>
      <c r="O142" s="36" t="n">
        <v>0</v>
      </c>
      <c r="P142" s="21">
        <f>O142*H142</f>
        <v/>
      </c>
      <c r="Q142" s="30">
        <f>IF(MONTH(E142+1)=MONTH(E142+6),MONTH(E142+1),IF(MIN(EOMONTH(E142+1,0),E142+6)-(E142+1)+1&gt;=3,MONTH(E142+1),MONTH(E142+6)))</f>
        <v/>
      </c>
      <c r="R142" s="22">
        <f>IFERROR(K142/P142, 0)</f>
        <v/>
      </c>
      <c r="S142" s="38">
        <f>IFERROR(N142/P142,0)</f>
        <v/>
      </c>
      <c r="T142" s="31">
        <f>IFERROR(IF(N142&gt;0,(N142/K142),MIN(1,M142/J142)),0)</f>
        <v/>
      </c>
      <c r="U142" s="33" t="n"/>
    </row>
    <row r="143" hidden="1" s="40">
      <c r="A143" s="23" t="inlineStr">
        <is>
          <t>Semana 5 - janeiro</t>
        </is>
      </c>
      <c r="B143" s="27">
        <f>YEAR(E143)</f>
        <v/>
      </c>
      <c r="C143" s="18">
        <f>INDEX({"Janeiro";"Fevereiro";"Março";"Abril";"Maio";"Junho";"Julho";"Agosto";"Setembro";"Outubro";"Novembro";"Dezembro"},Q143)</f>
        <v/>
      </c>
      <c r="D143" s="24" t="n">
        <v>5</v>
      </c>
      <c r="E143" s="25" t="n">
        <v>46047</v>
      </c>
      <c r="F143" s="23" t="inlineStr">
        <is>
          <t>Doce de Leite 5kg - Forneável</t>
        </is>
      </c>
      <c r="G143" s="23" t="inlineStr">
        <is>
          <t>DOCE</t>
        </is>
      </c>
      <c r="H143" s="26" t="n">
        <v>5</v>
      </c>
      <c r="I143" s="36" t="n">
        <v>0</v>
      </c>
      <c r="J143" s="21">
        <f>I143*H143</f>
        <v/>
      </c>
      <c r="K143" s="21">
        <f>IFERROR(IF(J143/P143&gt;1,P143,J143),0)</f>
        <v/>
      </c>
      <c r="L143" s="36" t="n">
        <v>0</v>
      </c>
      <c r="M143" s="21">
        <f>L143*H143</f>
        <v/>
      </c>
      <c r="N143" s="21">
        <f>IFERROR(IF(M143/K143&gt;1,K143,M143),0)</f>
        <v/>
      </c>
      <c r="O143" s="36" t="n">
        <v>0</v>
      </c>
      <c r="P143" s="21">
        <f>O143*H143</f>
        <v/>
      </c>
      <c r="Q143" s="30">
        <f>IF(MONTH(E143+1)=MONTH(E143+6),MONTH(E143+1),IF(MIN(EOMONTH(E143+1,0),E143+6)-(E143+1)+1&gt;=3,MONTH(E143+1),MONTH(E143+6)))</f>
        <v/>
      </c>
      <c r="R143" s="22">
        <f>IFERROR(K143/P143, 0)</f>
        <v/>
      </c>
      <c r="S143" s="38">
        <f>IFERROR(N143/P143,0)</f>
        <v/>
      </c>
      <c r="T143" s="31">
        <f>IFERROR(IF(N143&gt;0,(N143/K143),MIN(1,M143/J143)),0)</f>
        <v/>
      </c>
      <c r="U143" s="33" t="n"/>
    </row>
    <row r="144" hidden="1" s="40">
      <c r="A144" s="18" t="inlineStr">
        <is>
          <t>Semana 5 - janeiro</t>
        </is>
      </c>
      <c r="B144" s="27">
        <f>YEAR(E144)</f>
        <v/>
      </c>
      <c r="C144" s="18">
        <f>INDEX({"Janeiro";"Fevereiro";"Março";"Abril";"Maio";"Junho";"Julho";"Agosto";"Setembro";"Outubro";"Novembro";"Dezembro"},Q144)</f>
        <v/>
      </c>
      <c r="D144" s="19" t="n">
        <v>5</v>
      </c>
      <c r="E144" s="20" t="n">
        <v>46047</v>
      </c>
      <c r="F144" s="18" t="inlineStr">
        <is>
          <t>Doce de Leite 800g</t>
        </is>
      </c>
      <c r="G144" s="18" t="inlineStr">
        <is>
          <t>DOCE</t>
        </is>
      </c>
      <c r="H144" s="21" t="n">
        <v>0.8</v>
      </c>
      <c r="I144" s="36" t="n">
        <v>30000</v>
      </c>
      <c r="J144" s="21">
        <f>I144*H144</f>
        <v/>
      </c>
      <c r="K144" s="21">
        <f>IFERROR(IF(J144/P144&gt;1,P144,J144),0)</f>
        <v/>
      </c>
      <c r="L144" s="36" t="n">
        <v>33613</v>
      </c>
      <c r="M144" s="21">
        <f>L144*H144</f>
        <v/>
      </c>
      <c r="N144" s="21">
        <f>IFERROR(IF(M144/K144&gt;1,K144,M144),0)</f>
        <v/>
      </c>
      <c r="O144" s="36" t="n">
        <v>15000</v>
      </c>
      <c r="P144" s="21">
        <f>O144*H144</f>
        <v/>
      </c>
      <c r="Q144" s="30">
        <f>IF(MONTH(E144+1)=MONTH(E144+6),MONTH(E144+1),IF(MIN(EOMONTH(E144+1,0),E144+6)-(E144+1)+1&gt;=3,MONTH(E144+1),MONTH(E144+6)))</f>
        <v/>
      </c>
      <c r="R144" s="22">
        <f>IFERROR(K144/P144, 0)</f>
        <v/>
      </c>
      <c r="S144" s="38">
        <f>IFERROR(N144/P144,0)</f>
        <v/>
      </c>
      <c r="T144" s="31">
        <f>IFERROR(IF(N144&gt;0,(N144/K144),MIN(1,M144/J144)),0)</f>
        <v/>
      </c>
      <c r="U144" s="33" t="n"/>
    </row>
    <row r="145" hidden="1" s="40">
      <c r="A145" s="23" t="inlineStr">
        <is>
          <t>Semana 5 - janeiro</t>
        </is>
      </c>
      <c r="B145" s="27">
        <f>YEAR(E145)</f>
        <v/>
      </c>
      <c r="C145" s="18">
        <f>INDEX({"Janeiro";"Fevereiro";"Março";"Abril";"Maio";"Junho";"Julho";"Agosto";"Setembro";"Outubro";"Novembro";"Dezembro"},Q145)</f>
        <v/>
      </c>
      <c r="D145" s="24" t="n">
        <v>5</v>
      </c>
      <c r="E145" s="25" t="n">
        <v>46047</v>
      </c>
      <c r="F145" s="23" t="inlineStr">
        <is>
          <t>Doce de Leite Cacau 400g</t>
        </is>
      </c>
      <c r="G145" s="23" t="inlineStr">
        <is>
          <t>DOCE</t>
        </is>
      </c>
      <c r="H145" s="26" t="n">
        <v>0.4</v>
      </c>
      <c r="I145" s="36" t="n">
        <v>6000</v>
      </c>
      <c r="J145" s="21">
        <f>I145*H145</f>
        <v/>
      </c>
      <c r="K145" s="21">
        <f>IFERROR(IF(J145/P145&gt;1,P145,J145),0)</f>
        <v/>
      </c>
      <c r="L145" s="36" t="n">
        <v>6644</v>
      </c>
      <c r="M145" s="21">
        <f>L145*H145</f>
        <v/>
      </c>
      <c r="N145" s="21">
        <f>IFERROR(IF(M145/K145&gt;1,K145,M145),0)</f>
        <v/>
      </c>
      <c r="O145" s="36" t="n">
        <v>0</v>
      </c>
      <c r="P145" s="21">
        <f>O145*H145</f>
        <v/>
      </c>
      <c r="Q145" s="30">
        <f>IF(MONTH(E145+1)=MONTH(E145+6),MONTH(E145+1),IF(MIN(EOMONTH(E145+1,0),E145+6)-(E145+1)+1&gt;=3,MONTH(E145+1),MONTH(E145+6)))</f>
        <v/>
      </c>
      <c r="R145" s="22">
        <f>IFERROR(K145/P145, 0)</f>
        <v/>
      </c>
      <c r="S145" s="38">
        <f>IFERROR(N145/P145,0)</f>
        <v/>
      </c>
      <c r="T145" s="31">
        <f>IFERROR(IF(N145&gt;0,(N145/K145),MIN(1,M145/J145)),0)</f>
        <v/>
      </c>
      <c r="U145" s="33" t="n"/>
    </row>
    <row r="146" hidden="1" s="40">
      <c r="A146" s="18" t="inlineStr">
        <is>
          <t>Semana 5 - janeiro</t>
        </is>
      </c>
      <c r="B146" s="27">
        <f>YEAR(E146)</f>
        <v/>
      </c>
      <c r="C146" s="18">
        <f>INDEX({"Janeiro";"Fevereiro";"Março";"Abril";"Maio";"Junho";"Julho";"Agosto";"Setembro";"Outubro";"Novembro";"Dezembro"},Q146)</f>
        <v/>
      </c>
      <c r="D146" s="19" t="n">
        <v>5</v>
      </c>
      <c r="E146" s="20" t="n">
        <v>46047</v>
      </c>
      <c r="F146" s="18" t="inlineStr">
        <is>
          <t>Doce de Leite Cacau 5kg - Bombeável</t>
        </is>
      </c>
      <c r="G146" s="18" t="inlineStr">
        <is>
          <t>DOCE</t>
        </is>
      </c>
      <c r="H146" s="21" t="n">
        <v>5</v>
      </c>
      <c r="I146" s="36" t="n">
        <v>0</v>
      </c>
      <c r="J146" s="21">
        <f>I146*H146</f>
        <v/>
      </c>
      <c r="K146" s="21">
        <f>IFERROR(IF(J146/P146&gt;1,P146,J146),0)</f>
        <v/>
      </c>
      <c r="L146" s="36" t="n">
        <v>0</v>
      </c>
      <c r="M146" s="21">
        <f>L146*H146</f>
        <v/>
      </c>
      <c r="N146" s="21">
        <f>IFERROR(IF(M146/K146&gt;1,K146,M146),0)</f>
        <v/>
      </c>
      <c r="O146" s="36" t="n">
        <v>0</v>
      </c>
      <c r="P146" s="21">
        <f>O146*H146</f>
        <v/>
      </c>
      <c r="Q146" s="30">
        <f>IF(MONTH(E146+1)=MONTH(E146+6),MONTH(E146+1),IF(MIN(EOMONTH(E146+1,0),E146+6)-(E146+1)+1&gt;=3,MONTH(E146+1),MONTH(E146+6)))</f>
        <v/>
      </c>
      <c r="R146" s="22">
        <f>IFERROR(K146/P146, 0)</f>
        <v/>
      </c>
      <c r="S146" s="38">
        <f>IFERROR(N146/P146,0)</f>
        <v/>
      </c>
      <c r="T146" s="31">
        <f>IFERROR(IF(N146&gt;0,(N146/K146),MIN(1,M146/J146)),0)</f>
        <v/>
      </c>
      <c r="U146" s="33" t="n"/>
    </row>
    <row r="147" hidden="1" s="40">
      <c r="A147" s="23" t="inlineStr">
        <is>
          <t>Semana 5 - janeiro</t>
        </is>
      </c>
      <c r="B147" s="27">
        <f>YEAR(E147)</f>
        <v/>
      </c>
      <c r="C147" s="18">
        <f>INDEX({"Janeiro";"Fevereiro";"Março";"Abril";"Maio";"Junho";"Julho";"Agosto";"Setembro";"Outubro";"Novembro";"Dezembro"},Q147)</f>
        <v/>
      </c>
      <c r="D147" s="24" t="n">
        <v>5</v>
      </c>
      <c r="E147" s="25" t="n">
        <v>46047</v>
      </c>
      <c r="F147" s="23" t="inlineStr">
        <is>
          <t>Doce de Leite Cacau 5kg - FOOD</t>
        </is>
      </c>
      <c r="G147" s="23" t="inlineStr">
        <is>
          <t>DOCE</t>
        </is>
      </c>
      <c r="H147" s="26" t="n">
        <v>5</v>
      </c>
      <c r="I147" s="36" t="n">
        <v>930</v>
      </c>
      <c r="J147" s="21">
        <f>I147*H147</f>
        <v/>
      </c>
      <c r="K147" s="21">
        <f>IFERROR(IF(J147/P147&gt;1,P147,J147),0)</f>
        <v/>
      </c>
      <c r="L147" s="36" t="n">
        <v>647</v>
      </c>
      <c r="M147" s="21">
        <f>L147*H147</f>
        <v/>
      </c>
      <c r="N147" s="21">
        <f>IFERROR(IF(M147/K147&gt;1,K147,M147),0)</f>
        <v/>
      </c>
      <c r="O147" s="36" t="n">
        <v>0</v>
      </c>
      <c r="P147" s="21">
        <f>O147*H147</f>
        <v/>
      </c>
      <c r="Q147" s="30">
        <f>IF(MONTH(E147+1)=MONTH(E147+6),MONTH(E147+1),IF(MIN(EOMONTH(E147+1,0),E147+6)-(E147+1)+1&gt;=3,MONTH(E147+1),MONTH(E147+6)))</f>
        <v/>
      </c>
      <c r="R147" s="22">
        <f>IFERROR(K147/P147, 0)</f>
        <v/>
      </c>
      <c r="S147" s="38">
        <f>IFERROR(N147/P147,0)</f>
        <v/>
      </c>
      <c r="T147" s="31">
        <f>IFERROR(IF(N147&gt;0,(N147/K147),MIN(1,M147/J147)),0)</f>
        <v/>
      </c>
      <c r="U147" s="33" t="n"/>
    </row>
    <row r="148" hidden="1" s="40">
      <c r="A148" s="18" t="inlineStr">
        <is>
          <t>Semana 5 - janeiro</t>
        </is>
      </c>
      <c r="B148" s="27">
        <f>YEAR(E148)</f>
        <v/>
      </c>
      <c r="C148" s="18">
        <f>INDEX({"Janeiro";"Fevereiro";"Março";"Abril";"Maio";"Junho";"Julho";"Agosto";"Setembro";"Outubro";"Novembro";"Dezembro"},Q148)</f>
        <v/>
      </c>
      <c r="D148" s="19" t="n">
        <v>5</v>
      </c>
      <c r="E148" s="20" t="n">
        <v>46047</v>
      </c>
      <c r="F148" s="18" t="inlineStr">
        <is>
          <t>Doce de Leite c/ Café 400</t>
        </is>
      </c>
      <c r="G148" s="18" t="inlineStr">
        <is>
          <t>DOCE</t>
        </is>
      </c>
      <c r="H148" s="21" t="n">
        <v>0.4</v>
      </c>
      <c r="I148" s="36" t="n">
        <v>6000</v>
      </c>
      <c r="J148" s="21">
        <f>I148*H148</f>
        <v/>
      </c>
      <c r="K148" s="21">
        <f>IFERROR(IF(J148/P148&gt;1,P148,J148),0)</f>
        <v/>
      </c>
      <c r="L148" s="36" t="n">
        <v>6704</v>
      </c>
      <c r="M148" s="21">
        <f>L148*H148</f>
        <v/>
      </c>
      <c r="N148" s="21">
        <f>IFERROR(IF(M148/K148&gt;1,K148,M148),0)</f>
        <v/>
      </c>
      <c r="O148" s="36" t="n">
        <v>0</v>
      </c>
      <c r="P148" s="21">
        <f>O148*H148</f>
        <v/>
      </c>
      <c r="Q148" s="30">
        <f>IF(MONTH(E148+1)=MONTH(E148+6),MONTH(E148+1),IF(MIN(EOMONTH(E148+1,0),E148+6)-(E148+1)+1&gt;=3,MONTH(E148+1),MONTH(E148+6)))</f>
        <v/>
      </c>
      <c r="R148" s="22">
        <f>IFERROR(K148/P148, 0)</f>
        <v/>
      </c>
      <c r="S148" s="38">
        <f>IFERROR(N148/P148,0)</f>
        <v/>
      </c>
      <c r="T148" s="31">
        <f>IFERROR(IF(N148&gt;0,(N148/K148),MIN(1,M148/J148)),0)</f>
        <v/>
      </c>
      <c r="U148" s="33" t="n"/>
    </row>
    <row r="149" hidden="1" s="40">
      <c r="A149" s="23" t="inlineStr">
        <is>
          <t>Semana 5 - janeiro</t>
        </is>
      </c>
      <c r="B149" s="27">
        <f>YEAR(E149)</f>
        <v/>
      </c>
      <c r="C149" s="18">
        <f>INDEX({"Janeiro";"Fevereiro";"Março";"Abril";"Maio";"Junho";"Julho";"Agosto";"Setembro";"Outubro";"Novembro";"Dezembro"},Q149)</f>
        <v/>
      </c>
      <c r="D149" s="24" t="n">
        <v>5</v>
      </c>
      <c r="E149" s="25" t="n">
        <v>46047</v>
      </c>
      <c r="F149" s="23" t="inlineStr">
        <is>
          <t>Doce de Leite c/ Café 5kg</t>
        </is>
      </c>
      <c r="G149" s="23" t="inlineStr">
        <is>
          <t>DOCE</t>
        </is>
      </c>
      <c r="H149" s="26" t="n">
        <v>5</v>
      </c>
      <c r="I149" s="36" t="n">
        <v>0</v>
      </c>
      <c r="J149" s="21">
        <f>I149*H149</f>
        <v/>
      </c>
      <c r="K149" s="21">
        <f>IFERROR(IF(J149/P149&gt;1,P149,J149),0)</f>
        <v/>
      </c>
      <c r="L149" s="36" t="n">
        <v>0</v>
      </c>
      <c r="M149" s="21">
        <f>L149*H149</f>
        <v/>
      </c>
      <c r="N149" s="21">
        <f>IFERROR(IF(M149/K149&gt;1,K149,M149),0)</f>
        <v/>
      </c>
      <c r="O149" s="36" t="n">
        <v>160</v>
      </c>
      <c r="P149" s="21">
        <f>O149*H149</f>
        <v/>
      </c>
      <c r="Q149" s="30">
        <f>IF(MONTH(E149+1)=MONTH(E149+6),MONTH(E149+1),IF(MIN(EOMONTH(E149+1,0),E149+6)-(E149+1)+1&gt;=3,MONTH(E149+1),MONTH(E149+6)))</f>
        <v/>
      </c>
      <c r="R149" s="22">
        <f>IFERROR(K149/P149, 0)</f>
        <v/>
      </c>
      <c r="S149" s="38">
        <f>IFERROR(N149/P149,0)</f>
        <v/>
      </c>
      <c r="T149" s="31">
        <f>IFERROR(IF(N149&gt;0,(N149/K149),MIN(1,M149/J149)),0)</f>
        <v/>
      </c>
      <c r="U149" s="33" t="n"/>
    </row>
    <row r="150" hidden="1" s="40">
      <c r="A150" s="18" t="inlineStr">
        <is>
          <t>Semana 5 - janeiro</t>
        </is>
      </c>
      <c r="B150" s="27">
        <f>YEAR(E150)</f>
        <v/>
      </c>
      <c r="C150" s="18">
        <f>INDEX({"Janeiro";"Fevereiro";"Março";"Abril";"Maio";"Junho";"Julho";"Agosto";"Setembro";"Outubro";"Novembro";"Dezembro"},Q150)</f>
        <v/>
      </c>
      <c r="D150" s="19" t="n">
        <v>5</v>
      </c>
      <c r="E150" s="20" t="n">
        <v>46047</v>
      </c>
      <c r="F150" s="18" t="inlineStr">
        <is>
          <t>Doce de Leite c/ coco 400</t>
        </is>
      </c>
      <c r="G150" s="18" t="inlineStr">
        <is>
          <t>DOCE</t>
        </is>
      </c>
      <c r="H150" s="21" t="n">
        <v>0.4</v>
      </c>
      <c r="I150" s="36" t="n">
        <v>6000</v>
      </c>
      <c r="J150" s="21">
        <f>I150*H150</f>
        <v/>
      </c>
      <c r="K150" s="21">
        <f>IFERROR(IF(J150/P150&gt;1,P150,J150),0)</f>
        <v/>
      </c>
      <c r="L150" s="36" t="n">
        <v>6692</v>
      </c>
      <c r="M150" s="21">
        <f>L150*H150</f>
        <v/>
      </c>
      <c r="N150" s="21">
        <f>IFERROR(IF(M150/K150&gt;1,K150,M150),0)</f>
        <v/>
      </c>
      <c r="O150" s="36" t="n">
        <v>6000</v>
      </c>
      <c r="P150" s="21">
        <f>O150*H150</f>
        <v/>
      </c>
      <c r="Q150" s="30">
        <f>IF(MONTH(E150+1)=MONTH(E150+6),MONTH(E150+1),IF(MIN(EOMONTH(E150+1,0),E150+6)-(E150+1)+1&gt;=3,MONTH(E150+1),MONTH(E150+6)))</f>
        <v/>
      </c>
      <c r="R150" s="22">
        <f>IFERROR(K150/P150, 0)</f>
        <v/>
      </c>
      <c r="S150" s="38">
        <f>IFERROR(N150/P150,0)</f>
        <v/>
      </c>
      <c r="T150" s="31">
        <f>IFERROR(IF(N150&gt;0,(N150/K150),MIN(1,M150/J150)),0)</f>
        <v/>
      </c>
      <c r="U150" s="33" t="n"/>
    </row>
    <row r="151" hidden="1" s="40">
      <c r="A151" s="23" t="inlineStr">
        <is>
          <t>Semana 5 - janeiro</t>
        </is>
      </c>
      <c r="B151" s="27">
        <f>YEAR(E151)</f>
        <v/>
      </c>
      <c r="C151" s="18">
        <f>INDEX({"Janeiro";"Fevereiro";"Março";"Abril";"Maio";"Junho";"Julho";"Agosto";"Setembro";"Outubro";"Novembro";"Dezembro"},Q151)</f>
        <v/>
      </c>
      <c r="D151" s="24" t="n">
        <v>5</v>
      </c>
      <c r="E151" s="25" t="n">
        <v>46047</v>
      </c>
      <c r="F151" s="23" t="inlineStr">
        <is>
          <t>IOGURTE VIÇOSA MORANGO LIGHT 180g</t>
        </is>
      </c>
      <c r="G151" s="23" t="inlineStr">
        <is>
          <t>IOGURTE</t>
        </is>
      </c>
      <c r="H151" s="26" t="n">
        <v>0.18</v>
      </c>
      <c r="I151" s="36" t="n">
        <v>0</v>
      </c>
      <c r="J151" s="21">
        <f>I151*H151</f>
        <v/>
      </c>
      <c r="K151" s="21">
        <f>IFERROR(IF(J151/P151&gt;1,P151,J151),0)</f>
        <v/>
      </c>
      <c r="L151" s="36" t="n">
        <v>0</v>
      </c>
      <c r="M151" s="21">
        <f>L151*H151</f>
        <v/>
      </c>
      <c r="N151" s="21">
        <f>IFERROR(IF(M151/K151&gt;1,K151,M151),0)</f>
        <v/>
      </c>
      <c r="O151" s="36" t="n">
        <v>0</v>
      </c>
      <c r="P151" s="21">
        <f>O151*H151</f>
        <v/>
      </c>
      <c r="Q151" s="30">
        <f>IF(MONTH(E151+1)=MONTH(E151+6),MONTH(E151+1),IF(MIN(EOMONTH(E151+1,0),E151+6)-(E151+1)+1&gt;=3,MONTH(E151+1),MONTH(E151+6)))</f>
        <v/>
      </c>
      <c r="R151" s="22">
        <f>IFERROR(K151/P151, 0)</f>
        <v/>
      </c>
      <c r="S151" s="38">
        <f>IFERROR(N151/P151,0)</f>
        <v/>
      </c>
      <c r="T151" s="31">
        <f>IFERROR(IF(N151&gt;0,(N151/K151),MIN(1,M151/J151)),0)</f>
        <v/>
      </c>
      <c r="U151" s="33" t="n"/>
    </row>
    <row r="152" hidden="1" s="40">
      <c r="A152" s="18" t="inlineStr">
        <is>
          <t>Semana 5 - janeiro</t>
        </is>
      </c>
      <c r="B152" s="27">
        <f>YEAR(E152)</f>
        <v/>
      </c>
      <c r="C152" s="18">
        <f>INDEX({"Janeiro";"Fevereiro";"Março";"Abril";"Maio";"Junho";"Julho";"Agosto";"Setembro";"Outubro";"Novembro";"Dezembro"},Q152)</f>
        <v/>
      </c>
      <c r="D152" s="19" t="n">
        <v>5</v>
      </c>
      <c r="E152" s="20" t="n">
        <v>46047</v>
      </c>
      <c r="F152" s="18" t="inlineStr">
        <is>
          <t>IOGURTE VIÇOSA MORANGO LIGHT 800g</t>
        </is>
      </c>
      <c r="G152" s="18" t="inlineStr">
        <is>
          <t>IOGURTE</t>
        </is>
      </c>
      <c r="H152" s="21" t="n">
        <v>0.8</v>
      </c>
      <c r="I152" s="36" t="n">
        <v>0</v>
      </c>
      <c r="J152" s="21">
        <f>I152*H152</f>
        <v/>
      </c>
      <c r="K152" s="21">
        <f>IFERROR(IF(J152/P152&gt;1,P152,J152),0)</f>
        <v/>
      </c>
      <c r="L152" s="36" t="n">
        <v>0</v>
      </c>
      <c r="M152" s="21">
        <f>L152*H152</f>
        <v/>
      </c>
      <c r="N152" s="21">
        <f>IFERROR(IF(M152/K152&gt;1,K152,M152),0)</f>
        <v/>
      </c>
      <c r="O152" s="36" t="n">
        <v>0</v>
      </c>
      <c r="P152" s="21">
        <f>O152*H152</f>
        <v/>
      </c>
      <c r="Q152" s="30">
        <f>IF(MONTH(E152+1)=MONTH(E152+6),MONTH(E152+1),IF(MIN(EOMONTH(E152+1,0),E152+6)-(E152+1)+1&gt;=3,MONTH(E152+1),MONTH(E152+6)))</f>
        <v/>
      </c>
      <c r="R152" s="22">
        <f>IFERROR(K152/P152, 0)</f>
        <v/>
      </c>
      <c r="S152" s="38">
        <f>IFERROR(N152/P152,0)</f>
        <v/>
      </c>
      <c r="T152" s="31">
        <f>IFERROR(IF(N152&gt;0,(N152/K152),MIN(1,M152/J152)),0)</f>
        <v/>
      </c>
      <c r="U152" s="33" t="n"/>
    </row>
    <row r="153" hidden="1" s="40">
      <c r="A153" s="18" t="inlineStr">
        <is>
          <t>Semana 5 - janeiro</t>
        </is>
      </c>
      <c r="B153" s="27">
        <f>YEAR(E153)</f>
        <v/>
      </c>
      <c r="C153" s="18">
        <f>INDEX({"Janeiro";"Fevereiro";"Março";"Abril";"Maio";"Junho";"Julho";"Agosto";"Setembro";"Outubro";"Novembro";"Dezembro"},Q153)</f>
        <v/>
      </c>
      <c r="D153" s="19" t="n">
        <v>5</v>
      </c>
      <c r="E153" s="20" t="n">
        <v>46047</v>
      </c>
      <c r="F153" s="18" t="inlineStr">
        <is>
          <t>Iogurte Abacaxi c/ Coco 120g</t>
        </is>
      </c>
      <c r="G153" s="18" t="inlineStr">
        <is>
          <t>IOGURTE</t>
        </is>
      </c>
      <c r="H153" s="21" t="n">
        <v>0.12</v>
      </c>
      <c r="I153" s="36" t="n">
        <v>2000</v>
      </c>
      <c r="J153" s="21">
        <f>I153*H153</f>
        <v/>
      </c>
      <c r="K153" s="21">
        <f>IFERROR(IF(J153/P153&gt;1,P153,J153),0)</f>
        <v/>
      </c>
      <c r="L153" s="36" t="n">
        <v>2065</v>
      </c>
      <c r="M153" s="21">
        <f>L153*H153</f>
        <v/>
      </c>
      <c r="N153" s="21">
        <f>IFERROR(IF(M153/K153&gt;1,K153,M153),0)</f>
        <v/>
      </c>
      <c r="O153" s="36" t="n">
        <v>2000</v>
      </c>
      <c r="P153" s="21">
        <f>O153*H153</f>
        <v/>
      </c>
      <c r="Q153" s="30">
        <f>IF(MONTH(E153+1)=MONTH(E153+6),MONTH(E153+1),IF(MIN(EOMONTH(E153+1,0),E153+6)-(E153+1)+1&gt;=3,MONTH(E153+1),MONTH(E153+6)))</f>
        <v/>
      </c>
      <c r="R153" s="22">
        <f>IFERROR(K153/P153, 0)</f>
        <v/>
      </c>
      <c r="S153" s="38">
        <f>IFERROR(N153/P153,0)</f>
        <v/>
      </c>
      <c r="T153" s="31">
        <f>IFERROR(IF(N153&gt;0,(N153/K153),MIN(1,M153/J153)),0)</f>
        <v/>
      </c>
      <c r="U153" s="33" t="n"/>
    </row>
    <row r="154" hidden="1" s="40">
      <c r="A154" s="23" t="inlineStr">
        <is>
          <t>Semana 5 - janeiro</t>
        </is>
      </c>
      <c r="B154" s="27">
        <f>YEAR(E154)</f>
        <v/>
      </c>
      <c r="C154" s="18">
        <f>INDEX({"Janeiro";"Fevereiro";"Março";"Abril";"Maio";"Junho";"Julho";"Agosto";"Setembro";"Outubro";"Novembro";"Dezembro"},Q154)</f>
        <v/>
      </c>
      <c r="D154" s="24" t="n">
        <v>5</v>
      </c>
      <c r="E154" s="25" t="n">
        <v>46047</v>
      </c>
      <c r="F154" s="23" t="inlineStr">
        <is>
          <t>Iogurte Abacaxi c/ Coco 185g</t>
        </is>
      </c>
      <c r="G154" s="23" t="inlineStr">
        <is>
          <t>IOGURTE</t>
        </is>
      </c>
      <c r="H154" s="26" t="n">
        <v>0.185</v>
      </c>
      <c r="I154" s="36" t="n">
        <v>260</v>
      </c>
      <c r="J154" s="21">
        <f>I154*H154</f>
        <v/>
      </c>
      <c r="K154" s="21">
        <f>IFERROR(IF(J154/P154&gt;1,P154,J154),0)</f>
        <v/>
      </c>
      <c r="L154" s="36" t="n">
        <v>155</v>
      </c>
      <c r="M154" s="21">
        <f>L154*H154</f>
        <v/>
      </c>
      <c r="N154" s="21">
        <f>IFERROR(IF(M154/K154&gt;1,K154,M154),0)</f>
        <v/>
      </c>
      <c r="O154" s="36" t="n">
        <v>260</v>
      </c>
      <c r="P154" s="21">
        <f>O154*H154</f>
        <v/>
      </c>
      <c r="Q154" s="30">
        <f>IF(MONTH(E154+1)=MONTH(E154+6),MONTH(E154+1),IF(MIN(EOMONTH(E154+1,0),E154+6)-(E154+1)+1&gt;=3,MONTH(E154+1),MONTH(E154+6)))</f>
        <v/>
      </c>
      <c r="R154" s="22">
        <f>IFERROR(K154/P154, 0)</f>
        <v/>
      </c>
      <c r="S154" s="38">
        <f>IFERROR(N154/P154,0)</f>
        <v/>
      </c>
      <c r="T154" s="31">
        <f>IFERROR(IF(N154&gt;0,(N154/K154),MIN(1,M154/J154)),0)</f>
        <v/>
      </c>
      <c r="U154" s="33" t="n"/>
    </row>
    <row r="155" hidden="1" s="40">
      <c r="A155" s="18" t="inlineStr">
        <is>
          <t>Semana 5 - janeiro</t>
        </is>
      </c>
      <c r="B155" s="27">
        <f>YEAR(E155)</f>
        <v/>
      </c>
      <c r="C155" s="18">
        <f>INDEX({"Janeiro";"Fevereiro";"Março";"Abril";"Maio";"Junho";"Julho";"Agosto";"Setembro";"Outubro";"Novembro";"Dezembro"},Q155)</f>
        <v/>
      </c>
      <c r="D155" s="19" t="n">
        <v>5</v>
      </c>
      <c r="E155" s="20" t="n">
        <v>46047</v>
      </c>
      <c r="F155" s="18" t="inlineStr">
        <is>
          <t>Iogurte Abacaxi c/ Coco 900g</t>
        </is>
      </c>
      <c r="G155" s="18" t="inlineStr">
        <is>
          <t>IOGURTE</t>
        </is>
      </c>
      <c r="H155" s="21" t="n">
        <v>0.9</v>
      </c>
      <c r="I155" s="36" t="n">
        <v>1350</v>
      </c>
      <c r="J155" s="21">
        <f>I155*H155</f>
        <v/>
      </c>
      <c r="K155" s="21">
        <f>IFERROR(IF(J155/P155&gt;1,P155,J155),0)</f>
        <v/>
      </c>
      <c r="L155" s="36" t="n">
        <v>1346</v>
      </c>
      <c r="M155" s="21">
        <f>L155*H155</f>
        <v/>
      </c>
      <c r="N155" s="21">
        <f>IFERROR(IF(M155/K155&gt;1,K155,M155),0)</f>
        <v/>
      </c>
      <c r="O155" s="36" t="n">
        <v>1300</v>
      </c>
      <c r="P155" s="21">
        <f>O155*H155</f>
        <v/>
      </c>
      <c r="Q155" s="30">
        <f>IF(MONTH(E155+1)=MONTH(E155+6),MONTH(E155+1),IF(MIN(EOMONTH(E155+1,0),E155+6)-(E155+1)+1&gt;=3,MONTH(E155+1),MONTH(E155+6)))</f>
        <v/>
      </c>
      <c r="R155" s="22">
        <f>IFERROR(K155/P155, 0)</f>
        <v/>
      </c>
      <c r="S155" s="38">
        <f>IFERROR(N155/P155,0)</f>
        <v/>
      </c>
      <c r="T155" s="31">
        <f>IFERROR(IF(N155&gt;0,(N155/K155),MIN(1,M155/J155)),0)</f>
        <v/>
      </c>
      <c r="U155" s="33" t="n"/>
    </row>
    <row r="156" hidden="1" s="40">
      <c r="A156" s="18" t="inlineStr">
        <is>
          <t>Semana 5 - janeiro</t>
        </is>
      </c>
      <c r="B156" s="27">
        <f>YEAR(E156)</f>
        <v/>
      </c>
      <c r="C156" s="18">
        <f>INDEX({"Janeiro";"Fevereiro";"Março";"Abril";"Maio";"Junho";"Julho";"Agosto";"Setembro";"Outubro";"Novembro";"Dezembro"},Q156)</f>
        <v/>
      </c>
      <c r="D156" s="19" t="n">
        <v>5</v>
      </c>
      <c r="E156" s="20" t="n">
        <v>46047</v>
      </c>
      <c r="F156" s="18" t="inlineStr">
        <is>
          <t>Iogurte Coco 120g</t>
        </is>
      </c>
      <c r="G156" s="18" t="inlineStr">
        <is>
          <t>IOGURTE</t>
        </is>
      </c>
      <c r="H156" s="21" t="n">
        <v>0.12</v>
      </c>
      <c r="I156" s="36" t="n">
        <v>8000</v>
      </c>
      <c r="J156" s="21">
        <f>I156*H156</f>
        <v/>
      </c>
      <c r="K156" s="21">
        <f>IFERROR(IF(J156/P156&gt;1,P156,J156),0)</f>
        <v/>
      </c>
      <c r="L156" s="36" t="n">
        <v>9256</v>
      </c>
      <c r="M156" s="21">
        <f>L156*H156</f>
        <v/>
      </c>
      <c r="N156" s="21">
        <f>IFERROR(IF(M156/K156&gt;1,K156,M156),0)</f>
        <v/>
      </c>
      <c r="O156" s="36" t="n">
        <v>10000</v>
      </c>
      <c r="P156" s="21">
        <f>O156*H156</f>
        <v/>
      </c>
      <c r="Q156" s="30">
        <f>IF(MONTH(E156+1)=MONTH(E156+6),MONTH(E156+1),IF(MIN(EOMONTH(E156+1,0),E156+6)-(E156+1)+1&gt;=3,MONTH(E156+1),MONTH(E156+6)))</f>
        <v/>
      </c>
      <c r="R156" s="22">
        <f>IFERROR(K156/P156, 0)</f>
        <v/>
      </c>
      <c r="S156" s="38">
        <f>IFERROR(N156/P156,0)</f>
        <v/>
      </c>
      <c r="T156" s="31">
        <f>IFERROR(IF(N156&gt;0,(N156/K156),MIN(1,M156/J156)),0)</f>
        <v/>
      </c>
      <c r="U156" s="33" t="n"/>
    </row>
    <row r="157" hidden="1" s="40">
      <c r="A157" s="23" t="inlineStr">
        <is>
          <t>Semana 5 - janeiro</t>
        </is>
      </c>
      <c r="B157" s="27">
        <f>YEAR(E157)</f>
        <v/>
      </c>
      <c r="C157" s="18">
        <f>INDEX({"Janeiro";"Fevereiro";"Março";"Abril";"Maio";"Junho";"Julho";"Agosto";"Setembro";"Outubro";"Novembro";"Dezembro"},Q157)</f>
        <v/>
      </c>
      <c r="D157" s="24" t="n">
        <v>5</v>
      </c>
      <c r="E157" s="25" t="n">
        <v>46047</v>
      </c>
      <c r="F157" s="23" t="inlineStr">
        <is>
          <t>Iogurte Coco 185g</t>
        </is>
      </c>
      <c r="G157" s="23" t="inlineStr">
        <is>
          <t>IOGURTE</t>
        </is>
      </c>
      <c r="H157" s="26" t="n">
        <v>0.185</v>
      </c>
      <c r="I157" s="36" t="n">
        <v>260</v>
      </c>
      <c r="J157" s="21">
        <f>I157*H157</f>
        <v/>
      </c>
      <c r="K157" s="21">
        <f>IFERROR(IF(J157/P157&gt;1,P157,J157),0)</f>
        <v/>
      </c>
      <c r="L157" s="36" t="n">
        <v>730</v>
      </c>
      <c r="M157" s="21">
        <f>L157*H157</f>
        <v/>
      </c>
      <c r="N157" s="21">
        <f>IFERROR(IF(M157/K157&gt;1,K157,M157),0)</f>
        <v/>
      </c>
      <c r="O157" s="36" t="n">
        <v>780</v>
      </c>
      <c r="P157" s="21">
        <f>O157*H157</f>
        <v/>
      </c>
      <c r="Q157" s="30">
        <f>IF(MONTH(E157+1)=MONTH(E157+6),MONTH(E157+1),IF(MIN(EOMONTH(E157+1,0),E157+6)-(E157+1)+1&gt;=3,MONTH(E157+1),MONTH(E157+6)))</f>
        <v/>
      </c>
      <c r="R157" s="22">
        <f>IFERROR(K157/P157, 0)</f>
        <v/>
      </c>
      <c r="S157" s="38">
        <f>IFERROR(N157/P157,0)</f>
        <v/>
      </c>
      <c r="T157" s="31">
        <f>IFERROR(IF(N157&gt;0,(N157/K157),MIN(1,M157/J157)),0)</f>
        <v/>
      </c>
      <c r="U157" s="33" t="n"/>
    </row>
    <row r="158" hidden="1" s="40">
      <c r="A158" s="18" t="inlineStr">
        <is>
          <t>Semana 5 - janeiro</t>
        </is>
      </c>
      <c r="B158" s="27">
        <f>YEAR(E158)</f>
        <v/>
      </c>
      <c r="C158" s="18">
        <f>INDEX({"Janeiro";"Fevereiro";"Março";"Abril";"Maio";"Junho";"Julho";"Agosto";"Setembro";"Outubro";"Novembro";"Dezembro"},Q158)</f>
        <v/>
      </c>
      <c r="D158" s="19" t="n">
        <v>5</v>
      </c>
      <c r="E158" s="20" t="n">
        <v>46047</v>
      </c>
      <c r="F158" s="18" t="inlineStr">
        <is>
          <t>Iogurte Coco 900g</t>
        </is>
      </c>
      <c r="G158" s="18" t="inlineStr">
        <is>
          <t>IOGURTE</t>
        </is>
      </c>
      <c r="H158" s="21" t="n">
        <v>0.9</v>
      </c>
      <c r="I158" s="36" t="n">
        <v>1530</v>
      </c>
      <c r="J158" s="21">
        <f>I158*H158</f>
        <v/>
      </c>
      <c r="K158" s="21">
        <f>IFERROR(IF(J158/P158&gt;1,P158,J158),0)</f>
        <v/>
      </c>
      <c r="L158" s="36" t="n">
        <v>2774</v>
      </c>
      <c r="M158" s="21">
        <f>L158*H158</f>
        <v/>
      </c>
      <c r="N158" s="21">
        <f>IFERROR(IF(M158/K158&gt;1,K158,M158),0)</f>
        <v/>
      </c>
      <c r="O158" s="36" t="n">
        <v>2800</v>
      </c>
      <c r="P158" s="21">
        <f>O158*H158</f>
        <v/>
      </c>
      <c r="Q158" s="30">
        <f>IF(MONTH(E158+1)=MONTH(E158+6),MONTH(E158+1),IF(MIN(EOMONTH(E158+1,0),E158+6)-(E158+1)+1&gt;=3,MONTH(E158+1),MONTH(E158+6)))</f>
        <v/>
      </c>
      <c r="R158" s="22">
        <f>IFERROR(K158/P158, 0)</f>
        <v/>
      </c>
      <c r="S158" s="38">
        <f>IFERROR(N158/P158,0)</f>
        <v/>
      </c>
      <c r="T158" s="31">
        <f>IFERROR(IF(N158&gt;0,(N158/K158),MIN(1,M158/J158)),0)</f>
        <v/>
      </c>
      <c r="U158" s="33" t="n"/>
    </row>
    <row r="159" hidden="1" s="40">
      <c r="A159" s="23" t="inlineStr">
        <is>
          <t>Semana 5 - janeiro</t>
        </is>
      </c>
      <c r="B159" s="27">
        <f>YEAR(E159)</f>
        <v/>
      </c>
      <c r="C159" s="18">
        <f>INDEX({"Janeiro";"Fevereiro";"Março";"Abril";"Maio";"Junho";"Julho";"Agosto";"Setembro";"Outubro";"Novembro";"Dezembro"},Q159)</f>
        <v/>
      </c>
      <c r="D159" s="24" t="n">
        <v>5</v>
      </c>
      <c r="E159" s="25" t="n">
        <v>46047</v>
      </c>
      <c r="F159" s="23" t="inlineStr">
        <is>
          <t>Iogurte Grego Frutas vermelhas 120g</t>
        </is>
      </c>
      <c r="G159" s="23" t="inlineStr">
        <is>
          <t>IOGURTE</t>
        </is>
      </c>
      <c r="H159" s="26" t="n">
        <v>0.17</v>
      </c>
      <c r="I159" s="36" t="n">
        <v>1400</v>
      </c>
      <c r="J159" s="21">
        <f>I159*H159</f>
        <v/>
      </c>
      <c r="K159" s="21">
        <f>IFERROR(IF(J159/P159&gt;1,P159,J159),0)</f>
        <v/>
      </c>
      <c r="L159" s="36" t="n">
        <v>1168</v>
      </c>
      <c r="M159" s="21">
        <f>L159*H159</f>
        <v/>
      </c>
      <c r="N159" s="21">
        <f>IFERROR(IF(M159/K159&gt;1,K159,M159),0)</f>
        <v/>
      </c>
      <c r="O159" s="36" t="n">
        <v>1400</v>
      </c>
      <c r="P159" s="21">
        <f>O159*H159</f>
        <v/>
      </c>
      <c r="Q159" s="30">
        <f>IF(MONTH(E159+1)=MONTH(E159+6),MONTH(E159+1),IF(MIN(EOMONTH(E159+1,0),E159+6)-(E159+1)+1&gt;=3,MONTH(E159+1),MONTH(E159+6)))</f>
        <v/>
      </c>
      <c r="R159" s="22">
        <f>IFERROR(K159/P159, 0)</f>
        <v/>
      </c>
      <c r="S159" s="38">
        <f>IFERROR(N159/P159,0)</f>
        <v/>
      </c>
      <c r="T159" s="31">
        <f>IFERROR(IF(N159&gt;0,(N159/K159),MIN(1,M159/J159)),0)</f>
        <v/>
      </c>
      <c r="U159" s="33" t="n"/>
    </row>
    <row r="160" hidden="1" s="40">
      <c r="A160" s="23" t="inlineStr">
        <is>
          <t>Semana 5 - janeiro</t>
        </is>
      </c>
      <c r="B160" s="27">
        <f>YEAR(E160)</f>
        <v/>
      </c>
      <c r="C160" s="18">
        <f>INDEX({"Janeiro";"Fevereiro";"Março";"Abril";"Maio";"Junho";"Julho";"Agosto";"Setembro";"Outubro";"Novembro";"Dezembro"},Q160)</f>
        <v/>
      </c>
      <c r="D160" s="24" t="n">
        <v>5</v>
      </c>
      <c r="E160" s="25" t="n">
        <v>46047</v>
      </c>
      <c r="F160" s="23" t="inlineStr">
        <is>
          <t>Iogurte Morango 120g</t>
        </is>
      </c>
      <c r="G160" s="23" t="inlineStr">
        <is>
          <t>IOGURTE</t>
        </is>
      </c>
      <c r="H160" s="26" t="n">
        <v>0.12</v>
      </c>
      <c r="I160" s="36" t="n">
        <v>28000</v>
      </c>
      <c r="J160" s="21">
        <f>I160*H160</f>
        <v/>
      </c>
      <c r="K160" s="21">
        <f>IFERROR(IF(J160/P160&gt;1,P160,J160),0)</f>
        <v/>
      </c>
      <c r="L160" s="36" t="n">
        <v>25223</v>
      </c>
      <c r="M160" s="21">
        <f>L160*H160</f>
        <v/>
      </c>
      <c r="N160" s="21">
        <f>IFERROR(IF(M160/K160&gt;1,K160,M160),0)</f>
        <v/>
      </c>
      <c r="O160" s="36" t="n">
        <v>28000</v>
      </c>
      <c r="P160" s="21">
        <f>O160*H160</f>
        <v/>
      </c>
      <c r="Q160" s="30">
        <f>IF(MONTH(E160+1)=MONTH(E160+6),MONTH(E160+1),IF(MIN(EOMONTH(E160+1,0),E160+6)-(E160+1)+1&gt;=3,MONTH(E160+1),MONTH(E160+6)))</f>
        <v/>
      </c>
      <c r="R160" s="22">
        <f>IFERROR(K160/P160, 0)</f>
        <v/>
      </c>
      <c r="S160" s="38">
        <f>IFERROR(N160/P160,0)</f>
        <v/>
      </c>
      <c r="T160" s="31">
        <f>IFERROR(IF(N160&gt;0,(N160/K160),MIN(1,M160/J160)),0)</f>
        <v/>
      </c>
      <c r="U160" s="33" t="n"/>
    </row>
    <row r="161" hidden="1" s="40">
      <c r="A161" s="18" t="inlineStr">
        <is>
          <t>Semana 5 - janeiro</t>
        </is>
      </c>
      <c r="B161" s="27">
        <f>YEAR(E161)</f>
        <v/>
      </c>
      <c r="C161" s="18">
        <f>INDEX({"Janeiro";"Fevereiro";"Março";"Abril";"Maio";"Junho";"Julho";"Agosto";"Setembro";"Outubro";"Novembro";"Dezembro"},Q161)</f>
        <v/>
      </c>
      <c r="D161" s="19" t="n">
        <v>5</v>
      </c>
      <c r="E161" s="20" t="n">
        <v>46047</v>
      </c>
      <c r="F161" s="18" t="inlineStr">
        <is>
          <t>Iogurte Morango 185g</t>
        </is>
      </c>
      <c r="G161" s="18" t="inlineStr">
        <is>
          <t>IOGURTE</t>
        </is>
      </c>
      <c r="H161" s="21" t="n">
        <v>0.185</v>
      </c>
      <c r="I161" s="36" t="n">
        <v>1560</v>
      </c>
      <c r="J161" s="21">
        <f>I161*H161</f>
        <v/>
      </c>
      <c r="K161" s="21">
        <f>IFERROR(IF(J161/P161&gt;1,P161,J161),0)</f>
        <v/>
      </c>
      <c r="L161" s="36" t="n">
        <v>1284</v>
      </c>
      <c r="M161" s="21">
        <f>L161*H161</f>
        <v/>
      </c>
      <c r="N161" s="21">
        <f>IFERROR(IF(M161/K161&gt;1,K161,M161),0)</f>
        <v/>
      </c>
      <c r="O161" s="36" t="n">
        <v>1300</v>
      </c>
      <c r="P161" s="21">
        <f>O161*H161</f>
        <v/>
      </c>
      <c r="Q161" s="30">
        <f>IF(MONTH(E161+1)=MONTH(E161+6),MONTH(E161+1),IF(MIN(EOMONTH(E161+1,0),E161+6)-(E161+1)+1&gt;=3,MONTH(E161+1),MONTH(E161+6)))</f>
        <v/>
      </c>
      <c r="R161" s="22">
        <f>IFERROR(K161/P161, 0)</f>
        <v/>
      </c>
      <c r="S161" s="38">
        <f>IFERROR(N161/P161,0)</f>
        <v/>
      </c>
      <c r="T161" s="31">
        <f>IFERROR(IF(N161&gt;0,(N161/K161),MIN(1,M161/J161)),0)</f>
        <v/>
      </c>
      <c r="U161" s="33" t="n"/>
    </row>
    <row r="162" hidden="1" s="40">
      <c r="A162" s="23" t="inlineStr">
        <is>
          <t>Semana 5 - janeiro</t>
        </is>
      </c>
      <c r="B162" s="27">
        <f>YEAR(E162)</f>
        <v/>
      </c>
      <c r="C162" s="18">
        <f>INDEX({"Janeiro";"Fevereiro";"Março";"Abril";"Maio";"Junho";"Julho";"Agosto";"Setembro";"Outubro";"Novembro";"Dezembro"},Q162)</f>
        <v/>
      </c>
      <c r="D162" s="24" t="n">
        <v>5</v>
      </c>
      <c r="E162" s="25" t="n">
        <v>46047</v>
      </c>
      <c r="F162" s="23" t="inlineStr">
        <is>
          <t>Iogurte Morango 900G</t>
        </is>
      </c>
      <c r="G162" s="23" t="inlineStr">
        <is>
          <t>IOGURTE</t>
        </is>
      </c>
      <c r="H162" s="26" t="n">
        <v>0.9</v>
      </c>
      <c r="I162" s="36" t="n">
        <v>4410</v>
      </c>
      <c r="J162" s="21">
        <f>I162*H162</f>
        <v/>
      </c>
      <c r="K162" s="21">
        <f>IFERROR(IF(J162/P162&gt;1,P162,J162),0)</f>
        <v/>
      </c>
      <c r="L162" s="36" t="n">
        <v>4557</v>
      </c>
      <c r="M162" s="21">
        <f>L162*H162</f>
        <v/>
      </c>
      <c r="N162" s="21">
        <f>IFERROR(IF(M162/K162&gt;1,K162,M162),0)</f>
        <v/>
      </c>
      <c r="O162" s="36" t="n">
        <v>3500</v>
      </c>
      <c r="P162" s="21">
        <f>O162*H162</f>
        <v/>
      </c>
      <c r="Q162" s="30">
        <f>IF(MONTH(E162+1)=MONTH(E162+6),MONTH(E162+1),IF(MIN(EOMONTH(E162+1,0),E162+6)-(E162+1)+1&gt;=3,MONTH(E162+1),MONTH(E162+6)))</f>
        <v/>
      </c>
      <c r="R162" s="22">
        <f>IFERROR(K162/P162, 0)</f>
        <v/>
      </c>
      <c r="S162" s="38">
        <f>IFERROR(N162/P162,0)</f>
        <v/>
      </c>
      <c r="T162" s="31">
        <f>IFERROR(IF(N162&gt;0,(N162/K162),MIN(1,M162/J162)),0)</f>
        <v/>
      </c>
      <c r="U162" s="33" t="n"/>
    </row>
    <row r="163" hidden="1" s="40">
      <c r="A163" s="18" t="inlineStr">
        <is>
          <t>Semana 5 - janeiro</t>
        </is>
      </c>
      <c r="B163" s="27">
        <f>YEAR(E163)</f>
        <v/>
      </c>
      <c r="C163" s="18">
        <f>INDEX({"Janeiro";"Fevereiro";"Março";"Abril";"Maio";"Junho";"Julho";"Agosto";"Setembro";"Outubro";"Novembro";"Dezembro"},Q163)</f>
        <v/>
      </c>
      <c r="D163" s="19" t="n">
        <v>5</v>
      </c>
      <c r="E163" s="20" t="n">
        <v>46047</v>
      </c>
      <c r="F163" s="18" t="inlineStr">
        <is>
          <t>Iogurte Natural Integral 170g</t>
        </is>
      </c>
      <c r="G163" s="18" t="inlineStr">
        <is>
          <t>IOGURTE</t>
        </is>
      </c>
      <c r="H163" s="21" t="n">
        <v>0.17</v>
      </c>
      <c r="I163" s="36" t="n">
        <v>3820</v>
      </c>
      <c r="J163" s="21">
        <f>I163*H163</f>
        <v/>
      </c>
      <c r="K163" s="21">
        <f>IFERROR(IF(J163/P163&gt;1,P163,J163),0)</f>
        <v/>
      </c>
      <c r="L163" s="36" t="n">
        <v>3293</v>
      </c>
      <c r="M163" s="21">
        <f>L163*H163</f>
        <v/>
      </c>
      <c r="N163" s="21">
        <f>IFERROR(IF(M163/K163&gt;1,K163,M163),0)</f>
        <v/>
      </c>
      <c r="O163" s="36" t="n">
        <v>3800</v>
      </c>
      <c r="P163" s="21">
        <f>O163*H163</f>
        <v/>
      </c>
      <c r="Q163" s="30">
        <f>IF(MONTH(E163+1)=MONTH(E163+6),MONTH(E163+1),IF(MIN(EOMONTH(E163+1,0),E163+6)-(E163+1)+1&gt;=3,MONTH(E163+1),MONTH(E163+6)))</f>
        <v/>
      </c>
      <c r="R163" s="22">
        <f>IFERROR(K163/P163, 0)</f>
        <v/>
      </c>
      <c r="S163" s="38">
        <f>IFERROR(N163/P163,0)</f>
        <v/>
      </c>
      <c r="T163" s="31">
        <f>IFERROR(IF(N163&gt;0,(N163/K163),MIN(1,M163/J163)),0)</f>
        <v/>
      </c>
      <c r="U163" s="33" t="n"/>
    </row>
    <row r="164" hidden="1" s="40">
      <c r="A164" s="23" t="inlineStr">
        <is>
          <t>Semana 5 - janeiro</t>
        </is>
      </c>
      <c r="B164" s="27">
        <f>YEAR(E164)</f>
        <v/>
      </c>
      <c r="C164" s="18">
        <f>INDEX({"Janeiro";"Fevereiro";"Março";"Abril";"Maio";"Junho";"Julho";"Agosto";"Setembro";"Outubro";"Novembro";"Dezembro"},Q164)</f>
        <v/>
      </c>
      <c r="D164" s="24" t="n">
        <v>5</v>
      </c>
      <c r="E164" s="25" t="n">
        <v>46047</v>
      </c>
      <c r="F164" s="23" t="inlineStr">
        <is>
          <t>Iogurte Natural Triplo Zero 170g</t>
        </is>
      </c>
      <c r="G164" s="23" t="inlineStr">
        <is>
          <t>IOGURTE</t>
        </is>
      </c>
      <c r="H164" s="26" t="n">
        <v>0.17</v>
      </c>
      <c r="I164" s="36" t="n">
        <v>3820</v>
      </c>
      <c r="J164" s="21">
        <f>I164*H164</f>
        <v/>
      </c>
      <c r="K164" s="21">
        <f>IFERROR(IF(J164/P164&gt;1,P164,J164),0)</f>
        <v/>
      </c>
      <c r="L164" s="36" t="n">
        <v>3373</v>
      </c>
      <c r="M164" s="21">
        <f>L164*H164</f>
        <v/>
      </c>
      <c r="N164" s="21">
        <f>IFERROR(IF(M164/K164&gt;1,K164,M164),0)</f>
        <v/>
      </c>
      <c r="O164" s="36" t="n">
        <v>3800</v>
      </c>
      <c r="P164" s="21">
        <f>O164*H164</f>
        <v/>
      </c>
      <c r="Q164" s="30">
        <f>IF(MONTH(E164+1)=MONTH(E164+6),MONTH(E164+1),IF(MIN(EOMONTH(E164+1,0),E164+6)-(E164+1)+1&gt;=3,MONTH(E164+1),MONTH(E164+6)))</f>
        <v/>
      </c>
      <c r="R164" s="22">
        <f>IFERROR(K164/P164, 0)</f>
        <v/>
      </c>
      <c r="S164" s="38">
        <f>IFERROR(N164/P164,0)</f>
        <v/>
      </c>
      <c r="T164" s="31">
        <f>IFERROR(IF(N164&gt;0,(N164/K164),MIN(1,M164/J164)),0)</f>
        <v/>
      </c>
      <c r="U164" s="33" t="n"/>
    </row>
    <row r="165" hidden="1" s="40">
      <c r="A165" s="23" t="inlineStr">
        <is>
          <t>Semana 5 - janeiro</t>
        </is>
      </c>
      <c r="B165" s="27">
        <f>YEAR(E165)</f>
        <v/>
      </c>
      <c r="C165" s="18">
        <f>INDEX({"Janeiro";"Fevereiro";"Março";"Abril";"Maio";"Junho";"Julho";"Agosto";"Setembro";"Outubro";"Novembro";"Dezembro"},Q165)</f>
        <v/>
      </c>
      <c r="D165" s="24" t="n">
        <v>5</v>
      </c>
      <c r="E165" s="25" t="n">
        <v>46047</v>
      </c>
      <c r="F165" s="23" t="inlineStr">
        <is>
          <t>Iogurte Salada 120g</t>
        </is>
      </c>
      <c r="G165" s="23" t="inlineStr">
        <is>
          <t>IOGURTE</t>
        </is>
      </c>
      <c r="H165" s="26" t="n">
        <v>0.12</v>
      </c>
      <c r="I165" s="36" t="n">
        <v>0</v>
      </c>
      <c r="J165" s="21">
        <f>I165*H165</f>
        <v/>
      </c>
      <c r="K165" s="21">
        <f>IFERROR(IF(J165/P165&gt;1,P165,J165),0)</f>
        <v/>
      </c>
      <c r="L165" s="36" t="n">
        <v>4909</v>
      </c>
      <c r="M165" s="21">
        <f>L165*H165</f>
        <v/>
      </c>
      <c r="N165" s="21">
        <f>IFERROR(IF(M165/K165&gt;1,K165,M165),0)</f>
        <v/>
      </c>
      <c r="O165" s="36" t="n">
        <v>2000</v>
      </c>
      <c r="P165" s="21">
        <f>O165*H165</f>
        <v/>
      </c>
      <c r="Q165" s="30">
        <f>IF(MONTH(E165+1)=MONTH(E165+6),MONTH(E165+1),IF(MIN(EOMONTH(E165+1,0),E165+6)-(E165+1)+1&gt;=3,MONTH(E165+1),MONTH(E165+6)))</f>
        <v/>
      </c>
      <c r="R165" s="22">
        <f>IFERROR(K165/P165, 0)</f>
        <v/>
      </c>
      <c r="S165" s="38">
        <f>IFERROR(N165/P165,0)</f>
        <v/>
      </c>
      <c r="T165" s="31">
        <f>IFERROR(IF(N165&gt;0,(N165/K165),MIN(1,M165/J165)),0)</f>
        <v/>
      </c>
      <c r="U165" s="33" t="n"/>
    </row>
    <row r="166" hidden="1" s="40">
      <c r="A166" s="18" t="inlineStr">
        <is>
          <t>Semana 5 - janeiro</t>
        </is>
      </c>
      <c r="B166" s="27">
        <f>YEAR(E166)</f>
        <v/>
      </c>
      <c r="C166" s="18">
        <f>INDEX({"Janeiro";"Fevereiro";"Março";"Abril";"Maio";"Junho";"Julho";"Agosto";"Setembro";"Outubro";"Novembro";"Dezembro"},Q166)</f>
        <v/>
      </c>
      <c r="D166" s="19" t="n">
        <v>5</v>
      </c>
      <c r="E166" s="20" t="n">
        <v>46047</v>
      </c>
      <c r="F166" s="18" t="inlineStr">
        <is>
          <t>Iogurte Salada 185g</t>
        </is>
      </c>
      <c r="G166" s="18" t="inlineStr">
        <is>
          <t>IOGURTE</t>
        </is>
      </c>
      <c r="H166" s="21" t="n">
        <v>0.185</v>
      </c>
      <c r="I166" s="36" t="n">
        <v>0</v>
      </c>
      <c r="J166" s="21">
        <f>I166*H166</f>
        <v/>
      </c>
      <c r="K166" s="21">
        <f>IFERROR(IF(J166/P166&gt;1,P166,J166),0)</f>
        <v/>
      </c>
      <c r="L166" s="36" t="n">
        <v>750</v>
      </c>
      <c r="M166" s="21">
        <f>L166*H166</f>
        <v/>
      </c>
      <c r="N166" s="21">
        <f>IFERROR(IF(M166/K166&gt;1,K166,M166),0)</f>
        <v/>
      </c>
      <c r="O166" s="36" t="n">
        <v>520</v>
      </c>
      <c r="P166" s="21">
        <f>O166*H166</f>
        <v/>
      </c>
      <c r="Q166" s="30">
        <f>IF(MONTH(E166+1)=MONTH(E166+6),MONTH(E166+1),IF(MIN(EOMONTH(E166+1,0),E166+6)-(E166+1)+1&gt;=3,MONTH(E166+1),MONTH(E166+6)))</f>
        <v/>
      </c>
      <c r="R166" s="22">
        <f>IFERROR(K166/P166, 0)</f>
        <v/>
      </c>
      <c r="S166" s="38">
        <f>IFERROR(N166/P166,0)</f>
        <v/>
      </c>
      <c r="T166" s="31">
        <f>IFERROR(IF(N166&gt;0,(N166/K166),MIN(1,M166/J166)),0)</f>
        <v/>
      </c>
      <c r="U166" s="33" t="n"/>
    </row>
    <row r="167" hidden="1" s="40">
      <c r="A167" s="23" t="inlineStr">
        <is>
          <t>Semana 5 - janeiro</t>
        </is>
      </c>
      <c r="B167" s="27">
        <f>YEAR(E167)</f>
        <v/>
      </c>
      <c r="C167" s="18">
        <f>INDEX({"Janeiro";"Fevereiro";"Março";"Abril";"Maio";"Junho";"Julho";"Agosto";"Setembro";"Outubro";"Novembro";"Dezembro"},Q167)</f>
        <v/>
      </c>
      <c r="D167" s="24" t="n">
        <v>5</v>
      </c>
      <c r="E167" s="25" t="n">
        <v>46047</v>
      </c>
      <c r="F167" s="23" t="inlineStr">
        <is>
          <t>Iogurte Salada 900g</t>
        </is>
      </c>
      <c r="G167" s="23" t="inlineStr">
        <is>
          <t>IOGURTE</t>
        </is>
      </c>
      <c r="H167" s="26" t="n">
        <v>0.9</v>
      </c>
      <c r="I167" s="36" t="n">
        <v>0</v>
      </c>
      <c r="J167" s="21">
        <f>I167*H167</f>
        <v/>
      </c>
      <c r="K167" s="21">
        <f>IFERROR(IF(J167/P167&gt;1,P167,J167),0)</f>
        <v/>
      </c>
      <c r="L167" s="36" t="n">
        <v>1694</v>
      </c>
      <c r="M167" s="21">
        <f>L167*H167</f>
        <v/>
      </c>
      <c r="N167" s="21">
        <f>IFERROR(IF(M167/K167&gt;1,K167,M167),0)</f>
        <v/>
      </c>
      <c r="O167" s="36" t="n">
        <v>2100</v>
      </c>
      <c r="P167" s="21">
        <f>O167*H167</f>
        <v/>
      </c>
      <c r="Q167" s="30">
        <f>IF(MONTH(E167+1)=MONTH(E167+6),MONTH(E167+1),IF(MIN(EOMONTH(E167+1,0),E167+6)-(E167+1)+1&gt;=3,MONTH(E167+1),MONTH(E167+6)))</f>
        <v/>
      </c>
      <c r="R167" s="22">
        <f>IFERROR(K167/P167, 0)</f>
        <v/>
      </c>
      <c r="S167" s="38">
        <f>IFERROR(N167/P167,0)</f>
        <v/>
      </c>
      <c r="T167" s="31">
        <f>IFERROR(IF(N167&gt;0,(N167/K167),MIN(1,M167/J167)),0)</f>
        <v/>
      </c>
      <c r="U167" s="33" t="n"/>
    </row>
    <row r="168" hidden="1" s="40">
      <c r="A168" s="18" t="inlineStr">
        <is>
          <t>Semana 5 - janeiro</t>
        </is>
      </c>
      <c r="B168" s="27">
        <f>YEAR(E168)</f>
        <v/>
      </c>
      <c r="C168" s="18">
        <f>INDEX({"Janeiro";"Fevereiro";"Março";"Abril";"Maio";"Junho";"Julho";"Agosto";"Setembro";"Outubro";"Novembro";"Dezembro"},Q168)</f>
        <v/>
      </c>
      <c r="D168" s="19" t="n">
        <v>5</v>
      </c>
      <c r="E168" s="20" t="n">
        <v>46047</v>
      </c>
      <c r="F168" s="18" t="inlineStr">
        <is>
          <t>Iogurte Vida Leve Ameixa c/ Grãos 180g</t>
        </is>
      </c>
      <c r="G168" s="18" t="inlineStr">
        <is>
          <t>IOGURTE</t>
        </is>
      </c>
      <c r="H168" s="21" t="n">
        <v>0.18</v>
      </c>
      <c r="I168" s="36" t="n">
        <v>1100</v>
      </c>
      <c r="J168" s="21">
        <f>I168*H168</f>
        <v/>
      </c>
      <c r="K168" s="21">
        <f>IFERROR(IF(J168/P168&gt;1,P168,J168),0)</f>
        <v/>
      </c>
      <c r="L168" s="36" t="n">
        <v>0</v>
      </c>
      <c r="M168" s="21">
        <f>L168*H168</f>
        <v/>
      </c>
      <c r="N168" s="21">
        <f>IFERROR(IF(M168/K168&gt;1,K168,M168),0)</f>
        <v/>
      </c>
      <c r="O168" s="36" t="n">
        <v>1100</v>
      </c>
      <c r="P168" s="21">
        <f>O168*H168</f>
        <v/>
      </c>
      <c r="Q168" s="30">
        <f>IF(MONTH(E168+1)=MONTH(E168+6),MONTH(E168+1),IF(MIN(EOMONTH(E168+1,0),E168+6)-(E168+1)+1&gt;=3,MONTH(E168+1),MONTH(E168+6)))</f>
        <v/>
      </c>
      <c r="R168" s="22">
        <f>IFERROR(K168/P168, 0)</f>
        <v/>
      </c>
      <c r="S168" s="38">
        <f>IFERROR(N168/P168,0)</f>
        <v/>
      </c>
      <c r="T168" s="31">
        <f>IFERROR(IF(N168&gt;0,(N168/K168),MIN(1,M168/J168)),0)</f>
        <v/>
      </c>
      <c r="U168" s="33" t="n"/>
    </row>
    <row r="169" hidden="1" s="40">
      <c r="A169" s="23" t="inlineStr">
        <is>
          <t>Semana 5 - janeiro</t>
        </is>
      </c>
      <c r="B169" s="27">
        <f>YEAR(E169)</f>
        <v/>
      </c>
      <c r="C169" s="18">
        <f>INDEX({"Janeiro";"Fevereiro";"Março";"Abril";"Maio";"Junho";"Julho";"Agosto";"Setembro";"Outubro";"Novembro";"Dezembro"},Q169)</f>
        <v/>
      </c>
      <c r="D169" s="24" t="n">
        <v>5</v>
      </c>
      <c r="E169" s="25" t="n">
        <v>46047</v>
      </c>
      <c r="F169" s="23" t="inlineStr">
        <is>
          <t>Iogurte Vida Leve Ameixa c/ Grãos 500g</t>
        </is>
      </c>
      <c r="G169" s="23" t="inlineStr">
        <is>
          <t>IOGURTE</t>
        </is>
      </c>
      <c r="H169" s="26" t="n">
        <v>0.5</v>
      </c>
      <c r="I169" s="36" t="n">
        <v>1200</v>
      </c>
      <c r="J169" s="21">
        <f>I169*H169</f>
        <v/>
      </c>
      <c r="K169" s="21">
        <f>IFERROR(IF(J169/P169&gt;1,P169,J169),0)</f>
        <v/>
      </c>
      <c r="L169" s="36" t="n">
        <v>0</v>
      </c>
      <c r="M169" s="21">
        <f>L169*H169</f>
        <v/>
      </c>
      <c r="N169" s="21">
        <f>IFERROR(IF(M169/K169&gt;1,K169,M169),0)</f>
        <v/>
      </c>
      <c r="O169" s="36" t="n">
        <v>1200</v>
      </c>
      <c r="P169" s="21">
        <f>O169*H169</f>
        <v/>
      </c>
      <c r="Q169" s="30">
        <f>IF(MONTH(E169+1)=MONTH(E169+6),MONTH(E169+1),IF(MIN(EOMONTH(E169+1,0),E169+6)-(E169+1)+1&gt;=3,MONTH(E169+1),MONTH(E169+6)))</f>
        <v/>
      </c>
      <c r="R169" s="22">
        <f>IFERROR(K169/P169, 0)</f>
        <v/>
      </c>
      <c r="S169" s="38">
        <f>IFERROR(N169/P169,0)</f>
        <v/>
      </c>
      <c r="T169" s="31">
        <f>IFERROR(IF(N169&gt;0,(N169/K169),MIN(1,M169/J169)),0)</f>
        <v/>
      </c>
      <c r="U169" s="33" t="n"/>
    </row>
    <row r="170" hidden="1" s="40">
      <c r="A170" s="18" t="inlineStr">
        <is>
          <t>Semana 5 - janeiro</t>
        </is>
      </c>
      <c r="B170" s="27">
        <f>YEAR(E170)</f>
        <v/>
      </c>
      <c r="C170" s="18">
        <f>INDEX({"Janeiro";"Fevereiro";"Março";"Abril";"Maio";"Junho";"Julho";"Agosto";"Setembro";"Outubro";"Novembro";"Dezembro"},Q170)</f>
        <v/>
      </c>
      <c r="D170" s="19" t="n">
        <v>5</v>
      </c>
      <c r="E170" s="20" t="n">
        <v>46047</v>
      </c>
      <c r="F170" s="18" t="inlineStr">
        <is>
          <t>Iogurte Vida Leve Morango 180g</t>
        </is>
      </c>
      <c r="G170" s="18" t="inlineStr">
        <is>
          <t>IOGURTE</t>
        </is>
      </c>
      <c r="H170" s="21" t="n">
        <v>0.185</v>
      </c>
      <c r="I170" s="36" t="n">
        <v>1500</v>
      </c>
      <c r="J170" s="21">
        <f>I170*H170</f>
        <v/>
      </c>
      <c r="K170" s="21">
        <f>IFERROR(IF(J170/P170&gt;1,P170,J170),0)</f>
        <v/>
      </c>
      <c r="L170" s="36" t="n">
        <v>0</v>
      </c>
      <c r="M170" s="21">
        <f>L170*H170</f>
        <v/>
      </c>
      <c r="N170" s="21">
        <f>IFERROR(IF(M170/K170&gt;1,K170,M170),0)</f>
        <v/>
      </c>
      <c r="O170" s="36" t="n">
        <v>1500</v>
      </c>
      <c r="P170" s="21">
        <f>O170*H170</f>
        <v/>
      </c>
      <c r="Q170" s="30">
        <f>IF(MONTH(E170+1)=MONTH(E170+6),MONTH(E170+1),IF(MIN(EOMONTH(E170+1,0),E170+6)-(E170+1)+1&gt;=3,MONTH(E170+1),MONTH(E170+6)))</f>
        <v/>
      </c>
      <c r="R170" s="22">
        <f>IFERROR(K170/P170, 0)</f>
        <v/>
      </c>
      <c r="S170" s="38">
        <f>IFERROR(N170/P170,0)</f>
        <v/>
      </c>
      <c r="T170" s="31">
        <f>IFERROR(IF(N170&gt;0,(N170/K170),MIN(1,M170/J170)),0)</f>
        <v/>
      </c>
      <c r="U170" s="33" t="n"/>
    </row>
    <row r="171" hidden="1" s="40">
      <c r="A171" s="23" t="inlineStr">
        <is>
          <t>Semana 5 - janeiro</t>
        </is>
      </c>
      <c r="B171" s="27">
        <f>YEAR(E171)</f>
        <v/>
      </c>
      <c r="C171" s="18">
        <f>INDEX({"Janeiro";"Fevereiro";"Março";"Abril";"Maio";"Junho";"Julho";"Agosto";"Setembro";"Outubro";"Novembro";"Dezembro"},Q171)</f>
        <v/>
      </c>
      <c r="D171" s="24" t="n">
        <v>5</v>
      </c>
      <c r="E171" s="25" t="n">
        <v>46047</v>
      </c>
      <c r="F171" s="23" t="inlineStr">
        <is>
          <t>Iogurte Vida Leve Morango 500g</t>
        </is>
      </c>
      <c r="G171" s="23" t="inlineStr">
        <is>
          <t>IOGURTE</t>
        </is>
      </c>
      <c r="H171" s="26" t="n">
        <v>0.5</v>
      </c>
      <c r="I171" s="36" t="n">
        <v>2000</v>
      </c>
      <c r="J171" s="21">
        <f>I171*H171</f>
        <v/>
      </c>
      <c r="K171" s="21">
        <f>IFERROR(IF(J171/P171&gt;1,P171,J171),0)</f>
        <v/>
      </c>
      <c r="L171" s="36" t="n">
        <v>0</v>
      </c>
      <c r="M171" s="21">
        <f>L171*H171</f>
        <v/>
      </c>
      <c r="N171" s="21">
        <f>IFERROR(IF(M171/K171&gt;1,K171,M171),0)</f>
        <v/>
      </c>
      <c r="O171" s="36" t="n">
        <v>2000</v>
      </c>
      <c r="P171" s="21">
        <f>O171*H171</f>
        <v/>
      </c>
      <c r="Q171" s="30">
        <f>IF(MONTH(E171+1)=MONTH(E171+6),MONTH(E171+1),IF(MIN(EOMONTH(E171+1,0),E171+6)-(E171+1)+1&gt;=3,MONTH(E171+1),MONTH(E171+6)))</f>
        <v/>
      </c>
      <c r="R171" s="22">
        <f>IFERROR(K171/P171, 0)</f>
        <v/>
      </c>
      <c r="S171" s="38">
        <f>IFERROR(N171/P171,0)</f>
        <v/>
      </c>
      <c r="T171" s="31">
        <f>IFERROR(IF(N171&gt;0,(N171/K171),MIN(1,M171/J171)),0)</f>
        <v/>
      </c>
      <c r="U171" s="33" t="n"/>
    </row>
    <row r="172" hidden="1" s="40">
      <c r="A172" s="18" t="inlineStr">
        <is>
          <t>Semana 5 - janeiro</t>
        </is>
      </c>
      <c r="B172" s="27">
        <f>YEAR(E172)</f>
        <v/>
      </c>
      <c r="C172" s="18">
        <f>INDEX({"Janeiro";"Fevereiro";"Março";"Abril";"Maio";"Junho";"Julho";"Agosto";"Setembro";"Outubro";"Novembro";"Dezembro"},Q172)</f>
        <v/>
      </c>
      <c r="D172" s="19" t="n">
        <v>5</v>
      </c>
      <c r="E172" s="20" t="n">
        <v>46047</v>
      </c>
      <c r="F172" s="18" t="inlineStr">
        <is>
          <t>LEITE PASTEURIZADO VIÇOSA DESNATADO</t>
        </is>
      </c>
      <c r="G172" s="18" t="inlineStr">
        <is>
          <t>LEITE PAST.</t>
        </is>
      </c>
      <c r="H172" s="21" t="n">
        <v>1</v>
      </c>
      <c r="I172" s="36" t="n">
        <v>559</v>
      </c>
      <c r="J172" s="21">
        <f>I172*H172</f>
        <v/>
      </c>
      <c r="K172" s="21">
        <f>IFERROR(IF(J172/P172&gt;1,P172,J172),0)</f>
        <v/>
      </c>
      <c r="L172" s="36" t="n">
        <v>559</v>
      </c>
      <c r="M172" s="21">
        <f>L172*H172</f>
        <v/>
      </c>
      <c r="N172" s="21">
        <f>IFERROR(IF(M172/K172&gt;1,K172,M172),0)</f>
        <v/>
      </c>
      <c r="O172" s="36" t="n">
        <v>559</v>
      </c>
      <c r="P172" s="21">
        <f>O172*H172</f>
        <v/>
      </c>
      <c r="Q172" s="30">
        <f>IF(MONTH(E172+1)=MONTH(E172+6),MONTH(E172+1),IF(MIN(EOMONTH(E172+1,0),E172+6)-(E172+1)+1&gt;=3,MONTH(E172+1),MONTH(E172+6)))</f>
        <v/>
      </c>
      <c r="R172" s="22">
        <f>IFERROR(K172/P172, 0)</f>
        <v/>
      </c>
      <c r="S172" s="38">
        <f>IFERROR(N172/P172,0)</f>
        <v/>
      </c>
      <c r="T172" s="31">
        <f>IFERROR(IF(N172&gt;0,(N172/K172),MIN(1,M172/J172)),0)</f>
        <v/>
      </c>
      <c r="U172" s="33" t="n"/>
    </row>
    <row r="173" hidden="1" s="40">
      <c r="A173" s="23" t="inlineStr">
        <is>
          <t>Semana 5 - janeiro</t>
        </is>
      </c>
      <c r="B173" s="27">
        <f>YEAR(E173)</f>
        <v/>
      </c>
      <c r="C173" s="18">
        <f>INDEX({"Janeiro";"Fevereiro";"Março";"Abril";"Maio";"Junho";"Julho";"Agosto";"Setembro";"Outubro";"Novembro";"Dezembro"},Q173)</f>
        <v/>
      </c>
      <c r="D173" s="24" t="n">
        <v>5</v>
      </c>
      <c r="E173" s="25" t="n">
        <v>46047</v>
      </c>
      <c r="F173" s="23" t="inlineStr">
        <is>
          <t>LEITE PASTEURIZADO VIÇOSA INTEGRAL</t>
        </is>
      </c>
      <c r="G173" s="23" t="inlineStr">
        <is>
          <t>LEITE PAST.</t>
        </is>
      </c>
      <c r="H173" s="26" t="n">
        <v>1</v>
      </c>
      <c r="I173" s="36" t="n">
        <v>19506</v>
      </c>
      <c r="J173" s="21">
        <f>I173*H173</f>
        <v/>
      </c>
      <c r="K173" s="21">
        <f>IFERROR(IF(J173/P173&gt;1,P173,J173),0)</f>
        <v/>
      </c>
      <c r="L173" s="36" t="n">
        <v>19506</v>
      </c>
      <c r="M173" s="21">
        <f>L173*H173</f>
        <v/>
      </c>
      <c r="N173" s="21">
        <f>IFERROR(IF(M173/K173&gt;1,K173,M173),0)</f>
        <v/>
      </c>
      <c r="O173" s="36" t="n">
        <v>19506</v>
      </c>
      <c r="P173" s="21">
        <f>O173*H173</f>
        <v/>
      </c>
      <c r="Q173" s="30">
        <f>IF(MONTH(E173+1)=MONTH(E173+6),MONTH(E173+1),IF(MIN(EOMONTH(E173+1,0),E173+6)-(E173+1)+1&gt;=3,MONTH(E173+1),MONTH(E173+6)))</f>
        <v/>
      </c>
      <c r="R173" s="22">
        <f>IFERROR(K173/P173, 0)</f>
        <v/>
      </c>
      <c r="S173" s="38">
        <f>IFERROR(N173/P173,0)</f>
        <v/>
      </c>
      <c r="T173" s="31">
        <f>IFERROR(IF(N173&gt;0,(N173/K173),MIN(1,M173/J173)),0)</f>
        <v/>
      </c>
      <c r="U173" s="33" t="n"/>
    </row>
    <row r="174" hidden="1" s="40">
      <c r="A174" s="18" t="inlineStr">
        <is>
          <t>Semana 5 - janeiro</t>
        </is>
      </c>
      <c r="B174" s="27">
        <f>YEAR(E174)</f>
        <v/>
      </c>
      <c r="C174" s="18">
        <f>INDEX({"Janeiro";"Fevereiro";"Março";"Abril";"Maio";"Junho";"Julho";"Agosto";"Setembro";"Outubro";"Novembro";"Dezembro"},Q174)</f>
        <v/>
      </c>
      <c r="D174" s="19" t="n">
        <v>5</v>
      </c>
      <c r="E174" s="20" t="n">
        <v>46047</v>
      </c>
      <c r="F174" s="18" t="inlineStr">
        <is>
          <t>LEITE PASTEURIZADO VIÇOSA ZERO LACTOSE INTEGRAL 1 L</t>
        </is>
      </c>
      <c r="G174" s="18" t="inlineStr">
        <is>
          <t>LEITE PAST.</t>
        </is>
      </c>
      <c r="H174" s="21" t="n">
        <v>1</v>
      </c>
      <c r="I174" s="36" t="n">
        <v>549</v>
      </c>
      <c r="J174" s="21">
        <f>I174*H174</f>
        <v/>
      </c>
      <c r="K174" s="21">
        <f>IFERROR(IF(J174/P174&gt;1,P174,J174),0)</f>
        <v/>
      </c>
      <c r="L174" s="36" t="n">
        <v>549</v>
      </c>
      <c r="M174" s="21">
        <f>L174*H174</f>
        <v/>
      </c>
      <c r="N174" s="21">
        <f>IFERROR(IF(M174/K174&gt;1,K174,M174),0)</f>
        <v/>
      </c>
      <c r="O174" s="36" t="n">
        <v>549</v>
      </c>
      <c r="P174" s="21">
        <f>O174*H174</f>
        <v/>
      </c>
      <c r="Q174" s="30">
        <f>IF(MONTH(E174+1)=MONTH(E174+6),MONTH(E174+1),IF(MIN(EOMONTH(E174+1,0),E174+6)-(E174+1)+1&gt;=3,MONTH(E174+1),MONTH(E174+6)))</f>
        <v/>
      </c>
      <c r="R174" s="22">
        <f>IFERROR(K174/P174, 0)</f>
        <v/>
      </c>
      <c r="S174" s="38">
        <f>IFERROR(N174/P174,0)</f>
        <v/>
      </c>
      <c r="T174" s="31">
        <f>IFERROR(IF(N174&gt;0,(N174/K174),MIN(1,M174/J174)),0)</f>
        <v/>
      </c>
      <c r="U174" s="33" t="n"/>
    </row>
    <row r="175" hidden="1" s="40">
      <c r="A175" s="23" t="inlineStr">
        <is>
          <t>Semana 5 - janeiro</t>
        </is>
      </c>
      <c r="B175" s="27">
        <f>YEAR(E175)</f>
        <v/>
      </c>
      <c r="C175" s="18">
        <f>INDEX({"Janeiro";"Fevereiro";"Março";"Abril";"Maio";"Junho";"Julho";"Agosto";"Setembro";"Outubro";"Novembro";"Dezembro"},Q175)</f>
        <v/>
      </c>
      <c r="D175" s="24" t="n">
        <v>5</v>
      </c>
      <c r="E175" s="25" t="n">
        <v>46047</v>
      </c>
      <c r="F175" s="23" t="inlineStr">
        <is>
          <t>Manteiga 200g</t>
        </is>
      </c>
      <c r="G175" s="23" t="inlineStr">
        <is>
          <t>MANTEIGA</t>
        </is>
      </c>
      <c r="H175" s="26" t="n">
        <v>0.2</v>
      </c>
      <c r="I175" s="36" t="n">
        <v>2500</v>
      </c>
      <c r="J175" s="21">
        <f>I175*H175</f>
        <v/>
      </c>
      <c r="K175" s="21">
        <f>IFERROR(IF(J175/P175&gt;1,P175,J175),0)</f>
        <v/>
      </c>
      <c r="L175" s="36" t="n">
        <v>2312</v>
      </c>
      <c r="M175" s="21">
        <f>L175*H175</f>
        <v/>
      </c>
      <c r="N175" s="21">
        <f>IFERROR(IF(M175/K175&gt;1,K175,M175),0)</f>
        <v/>
      </c>
      <c r="O175" s="36" t="n">
        <v>2500</v>
      </c>
      <c r="P175" s="21">
        <f>O175*H175</f>
        <v/>
      </c>
      <c r="Q175" s="30">
        <f>IF(MONTH(E175+1)=MONTH(E175+6),MONTH(E175+1),IF(MIN(EOMONTH(E175+1,0),E175+6)-(E175+1)+1&gt;=3,MONTH(E175+1),MONTH(E175+6)))</f>
        <v/>
      </c>
      <c r="R175" s="22">
        <f>IFERROR(K175/P175, 0)</f>
        <v/>
      </c>
      <c r="S175" s="38">
        <f>IFERROR(N175/P175,0)</f>
        <v/>
      </c>
      <c r="T175" s="31">
        <f>IFERROR(IF(N175&gt;0,(N175/K175),MIN(1,M175/J175)),0)</f>
        <v/>
      </c>
      <c r="U175" s="33" t="n"/>
    </row>
    <row r="176" hidden="1" s="40">
      <c r="A176" s="18" t="inlineStr">
        <is>
          <t>Semana 5 - janeiro</t>
        </is>
      </c>
      <c r="B176" s="27">
        <f>YEAR(E176)</f>
        <v/>
      </c>
      <c r="C176" s="18">
        <f>INDEX({"Janeiro";"Fevereiro";"Março";"Abril";"Maio";"Junho";"Julho";"Agosto";"Setembro";"Outubro";"Novembro";"Dezembro"},Q176)</f>
        <v/>
      </c>
      <c r="D176" s="19" t="n">
        <v>5</v>
      </c>
      <c r="E176" s="20" t="n">
        <v>46047</v>
      </c>
      <c r="F176" s="18" t="inlineStr">
        <is>
          <t>Manteiga 500g</t>
        </is>
      </c>
      <c r="G176" s="18" t="inlineStr">
        <is>
          <t>MANTEIGA</t>
        </is>
      </c>
      <c r="H176" s="21" t="n">
        <v>0.5</v>
      </c>
      <c r="I176" s="36" t="n">
        <v>1100</v>
      </c>
      <c r="J176" s="21">
        <f>I176*H176</f>
        <v/>
      </c>
      <c r="K176" s="21">
        <f>IFERROR(IF(J176/P176&gt;1,P176,J176),0)</f>
        <v/>
      </c>
      <c r="L176" s="36" t="n">
        <v>1038</v>
      </c>
      <c r="M176" s="21">
        <f>L176*H176</f>
        <v/>
      </c>
      <c r="N176" s="21">
        <f>IFERROR(IF(M176/K176&gt;1,K176,M176),0)</f>
        <v/>
      </c>
      <c r="O176" s="36" t="n">
        <v>1100</v>
      </c>
      <c r="P176" s="21">
        <f>O176*H176</f>
        <v/>
      </c>
      <c r="Q176" s="30">
        <f>IF(MONTH(E176+1)=MONTH(E176+6),MONTH(E176+1),IF(MIN(EOMONTH(E176+1,0),E176+6)-(E176+1)+1&gt;=3,MONTH(E176+1),MONTH(E176+6)))</f>
        <v/>
      </c>
      <c r="R176" s="22">
        <f>IFERROR(K176/P176, 0)</f>
        <v/>
      </c>
      <c r="S176" s="38">
        <f>IFERROR(N176/P176,0)</f>
        <v/>
      </c>
      <c r="T176" s="31">
        <f>IFERROR(IF(N176&gt;0,(N176/K176),MIN(1,M176/J176)),0)</f>
        <v/>
      </c>
      <c r="U176" s="33" t="n"/>
    </row>
    <row r="177" hidden="1" s="40">
      <c r="A177" s="23" t="inlineStr">
        <is>
          <t>Semana 5 - janeiro</t>
        </is>
      </c>
      <c r="B177" s="27">
        <f>YEAR(E177)</f>
        <v/>
      </c>
      <c r="C177" s="18">
        <f>INDEX({"Janeiro";"Fevereiro";"Março";"Abril";"Maio";"Junho";"Julho";"Agosto";"Setembro";"Outubro";"Novembro";"Dezembro"},Q177)</f>
        <v/>
      </c>
      <c r="D177" s="24" t="n">
        <v>5</v>
      </c>
      <c r="E177" s="25" t="n">
        <v>46047</v>
      </c>
      <c r="F177" s="23" t="inlineStr">
        <is>
          <t>QUEIJO MINAS MEIA CURA (FRACIONADO)</t>
        </is>
      </c>
      <c r="G177" s="23" t="inlineStr">
        <is>
          <t>QUEIJO</t>
        </is>
      </c>
      <c r="H177" s="26" t="n">
        <v>1</v>
      </c>
      <c r="I177" s="36" t="n">
        <v>0</v>
      </c>
      <c r="J177" s="21">
        <f>I177*H177</f>
        <v/>
      </c>
      <c r="K177" s="21">
        <f>IFERROR(IF(J177/P177&gt;1,P177,J177),0)</f>
        <v/>
      </c>
      <c r="L177" s="36" t="n">
        <v>190.52</v>
      </c>
      <c r="M177" s="21">
        <f>L177*H177</f>
        <v/>
      </c>
      <c r="N177" s="21">
        <f>IFERROR(IF(M177/K177&gt;1,K177,M177),0)</f>
        <v/>
      </c>
      <c r="O177" s="36" t="n">
        <v>0</v>
      </c>
      <c r="P177" s="21">
        <f>O177*H177</f>
        <v/>
      </c>
      <c r="Q177" s="30">
        <f>IF(MONTH(E177+1)=MONTH(E177+6),MONTH(E177+1),IF(MIN(EOMONTH(E177+1,0),E177+6)-(E177+1)+1&gt;=3,MONTH(E177+1),MONTH(E177+6)))</f>
        <v/>
      </c>
      <c r="R177" s="22">
        <f>IFERROR(K177/P177, 0)</f>
        <v/>
      </c>
      <c r="S177" s="38">
        <f>IFERROR(N177/P177,0)</f>
        <v/>
      </c>
      <c r="T177" s="31">
        <f>IFERROR(IF(N177&gt;0,(N177/K177),MIN(1,M177/J177)),0)</f>
        <v/>
      </c>
      <c r="U177" s="33" t="n"/>
    </row>
    <row r="178" hidden="1" s="40">
      <c r="A178" s="18" t="inlineStr">
        <is>
          <t>Semana 5 - janeiro</t>
        </is>
      </c>
      <c r="B178" s="27">
        <f>YEAR(E178)</f>
        <v/>
      </c>
      <c r="C178" s="18">
        <f>INDEX({"Janeiro";"Fevereiro";"Março";"Abril";"Maio";"Junho";"Julho";"Agosto";"Setembro";"Outubro";"Novembro";"Dezembro"},Q178)</f>
        <v/>
      </c>
      <c r="D178" s="19" t="n">
        <v>5</v>
      </c>
      <c r="E178" s="20" t="n">
        <v>46047</v>
      </c>
      <c r="F178" s="18" t="inlineStr">
        <is>
          <t>QUEIJO MINAS MEIA CURA (INTEIRO)</t>
        </is>
      </c>
      <c r="G178" s="18" t="inlineStr">
        <is>
          <t>QUEIJO</t>
        </is>
      </c>
      <c r="H178" s="21" t="n">
        <v>1</v>
      </c>
      <c r="I178" s="36" t="n">
        <v>0</v>
      </c>
      <c r="J178" s="21">
        <f>I178*H178</f>
        <v/>
      </c>
      <c r="K178" s="21">
        <f>IFERROR(IF(J178/P178&gt;1,P178,J178),0)</f>
        <v/>
      </c>
      <c r="L178" s="36" t="n">
        <v>0</v>
      </c>
      <c r="M178" s="21">
        <f>L178*H178</f>
        <v/>
      </c>
      <c r="N178" s="21">
        <f>IFERROR(IF(M178/K178&gt;1,K178,M178),0)</f>
        <v/>
      </c>
      <c r="O178" s="36" t="n">
        <v>0</v>
      </c>
      <c r="P178" s="21">
        <f>O178*H178</f>
        <v/>
      </c>
      <c r="Q178" s="30">
        <f>IF(MONTH(E178+1)=MONTH(E178+6),MONTH(E178+1),IF(MIN(EOMONTH(E178+1,0),E178+6)-(E178+1)+1&gt;=3,MONTH(E178+1),MONTH(E178+6)))</f>
        <v/>
      </c>
      <c r="R178" s="22">
        <f>IFERROR(K178/P178, 0)</f>
        <v/>
      </c>
      <c r="S178" s="38">
        <f>IFERROR(N178/P178,0)</f>
        <v/>
      </c>
      <c r="T178" s="31">
        <f>IFERROR(IF(N178&gt;0,(N178/K178),MIN(1,M178/J178)),0)</f>
        <v/>
      </c>
      <c r="U178" s="33" t="n"/>
    </row>
    <row r="179" hidden="1" s="40">
      <c r="A179" s="23" t="inlineStr">
        <is>
          <t>Semana 5 - janeiro</t>
        </is>
      </c>
      <c r="B179" s="27">
        <f>YEAR(E179)</f>
        <v/>
      </c>
      <c r="C179" s="18">
        <f>INDEX({"Janeiro";"Fevereiro";"Março";"Abril";"Maio";"Junho";"Julho";"Agosto";"Setembro";"Outubro";"Novembro";"Dezembro"},Q179)</f>
        <v/>
      </c>
      <c r="D179" s="24" t="n">
        <v>5</v>
      </c>
      <c r="E179" s="25" t="n">
        <v>46047</v>
      </c>
      <c r="F179" s="23" t="inlineStr">
        <is>
          <t xml:space="preserve">QUEIJO MINAS PADRÃO VIÇOSA FRACIONADO </t>
        </is>
      </c>
      <c r="G179" s="23" t="inlineStr">
        <is>
          <t>QUEIJO</t>
        </is>
      </c>
      <c r="H179" s="26" t="n">
        <v>1</v>
      </c>
      <c r="I179" s="36" t="n">
        <v>0</v>
      </c>
      <c r="J179" s="21">
        <f>I179*H179</f>
        <v/>
      </c>
      <c r="K179" s="21">
        <f>IFERROR(IF(J179/P179&gt;1,P179,J179),0)</f>
        <v/>
      </c>
      <c r="L179" s="36" t="n">
        <v>202.24</v>
      </c>
      <c r="M179" s="21">
        <f>L179*H179</f>
        <v/>
      </c>
      <c r="N179" s="21">
        <f>IFERROR(IF(M179/K179&gt;1,K179,M179),0)</f>
        <v/>
      </c>
      <c r="O179" s="36" t="n">
        <v>0</v>
      </c>
      <c r="P179" s="21">
        <f>O179*H179</f>
        <v/>
      </c>
      <c r="Q179" s="30">
        <f>IF(MONTH(E179+1)=MONTH(E179+6),MONTH(E179+1),IF(MIN(EOMONTH(E179+1,0),E179+6)-(E179+1)+1&gt;=3,MONTH(E179+1),MONTH(E179+6)))</f>
        <v/>
      </c>
      <c r="R179" s="22">
        <f>IFERROR(K179/P179, 0)</f>
        <v/>
      </c>
      <c r="S179" s="38">
        <f>IFERROR(N179/P179,0)</f>
        <v/>
      </c>
      <c r="T179" s="31">
        <f>IFERROR(IF(N179&gt;0,(N179/K179),MIN(1,M179/J179)),0)</f>
        <v/>
      </c>
      <c r="U179" s="33" t="n"/>
    </row>
    <row r="180" hidden="1" s="40">
      <c r="A180" s="18" t="inlineStr">
        <is>
          <t>Semana 5 - janeiro</t>
        </is>
      </c>
      <c r="B180" s="27">
        <f>YEAR(E180)</f>
        <v/>
      </c>
      <c r="C180" s="18">
        <f>INDEX({"Janeiro";"Fevereiro";"Março";"Abril";"Maio";"Junho";"Julho";"Agosto";"Setembro";"Outubro";"Novembro";"Dezembro"},Q180)</f>
        <v/>
      </c>
      <c r="D180" s="19" t="n">
        <v>5</v>
      </c>
      <c r="E180" s="20" t="n">
        <v>46047</v>
      </c>
      <c r="F180" s="18" t="inlineStr">
        <is>
          <t>QUEIJO MUSSARELA 3KG</t>
        </is>
      </c>
      <c r="G180" s="18" t="inlineStr">
        <is>
          <t>QUEIJO</t>
        </is>
      </c>
      <c r="H180" s="21" t="n">
        <v>1</v>
      </c>
      <c r="I180" s="36" t="n">
        <v>500</v>
      </c>
      <c r="J180" s="21">
        <f>I180*H180</f>
        <v/>
      </c>
      <c r="K180" s="21">
        <f>IFERROR(IF(J180/P180&gt;1,P180,J180),0)</f>
        <v/>
      </c>
      <c r="L180" s="36" t="n">
        <v>484.23</v>
      </c>
      <c r="M180" s="21">
        <f>L180*H180</f>
        <v/>
      </c>
      <c r="N180" s="21">
        <f>IFERROR(IF(M180/K180&gt;1,K180,M180),0)</f>
        <v/>
      </c>
      <c r="O180" s="36" t="n">
        <v>500</v>
      </c>
      <c r="P180" s="21">
        <f>O180*H180</f>
        <v/>
      </c>
      <c r="Q180" s="30">
        <f>IF(MONTH(E180+1)=MONTH(E180+6),MONTH(E180+1),IF(MIN(EOMONTH(E180+1,0),E180+6)-(E180+1)+1&gt;=3,MONTH(E180+1),MONTH(E180+6)))</f>
        <v/>
      </c>
      <c r="R180" s="22">
        <f>IFERROR(K180/P180, 0)</f>
        <v/>
      </c>
      <c r="S180" s="38">
        <f>IFERROR(N180/P180,0)</f>
        <v/>
      </c>
      <c r="T180" s="31">
        <f>IFERROR(IF(N180&gt;0,(N180/K180),MIN(1,M180/J180)),0)</f>
        <v/>
      </c>
      <c r="U180" s="33" t="n"/>
    </row>
    <row r="181" hidden="1" s="40">
      <c r="A181" s="23" t="inlineStr">
        <is>
          <t>Semana 5 - janeiro</t>
        </is>
      </c>
      <c r="B181" s="27">
        <f>YEAR(E181)</f>
        <v/>
      </c>
      <c r="C181" s="18">
        <f>INDEX({"Janeiro";"Fevereiro";"Março";"Abril";"Maio";"Junho";"Julho";"Agosto";"Setembro";"Outubro";"Novembro";"Dezembro"},Q181)</f>
        <v/>
      </c>
      <c r="D181" s="24" t="n">
        <v>5</v>
      </c>
      <c r="E181" s="25" t="n">
        <v>46047</v>
      </c>
      <c r="F181" s="23" t="inlineStr">
        <is>
          <t>QUEIJO MUSSARELA LANCHE</t>
        </is>
      </c>
      <c r="G181" s="23" t="inlineStr">
        <is>
          <t>QUEIJO</t>
        </is>
      </c>
      <c r="H181" s="26" t="n">
        <v>1</v>
      </c>
      <c r="I181" s="36" t="n">
        <v>0</v>
      </c>
      <c r="J181" s="21">
        <f>I181*H181</f>
        <v/>
      </c>
      <c r="K181" s="21">
        <f>IFERROR(IF(J181/P181&gt;1,P181,J181),0)</f>
        <v/>
      </c>
      <c r="L181" s="36" t="n">
        <v>0</v>
      </c>
      <c r="M181" s="21">
        <f>L181*H181</f>
        <v/>
      </c>
      <c r="N181" s="21">
        <f>IFERROR(IF(M181/K181&gt;1,K181,M181),0)</f>
        <v/>
      </c>
      <c r="O181" s="36" t="n">
        <v>0</v>
      </c>
      <c r="P181" s="21">
        <f>O181*H181</f>
        <v/>
      </c>
      <c r="Q181" s="30">
        <f>IF(MONTH(E181+1)=MONTH(E181+6),MONTH(E181+1),IF(MIN(EOMONTH(E181+1,0),E181+6)-(E181+1)+1&gt;=3,MONTH(E181+1),MONTH(E181+6)))</f>
        <v/>
      </c>
      <c r="R181" s="22">
        <f>IFERROR(K181/P181, 0)</f>
        <v/>
      </c>
      <c r="S181" s="38">
        <f>IFERROR(N181/P181,0)</f>
        <v/>
      </c>
      <c r="T181" s="31">
        <f>IFERROR(IF(N181&gt;0,(N181/K181),MIN(1,M181/J181)),0)</f>
        <v/>
      </c>
      <c r="U181" s="33" t="n"/>
    </row>
    <row r="182" hidden="1" s="40">
      <c r="A182" s="18" t="inlineStr">
        <is>
          <t>Semana 5 - janeiro</t>
        </is>
      </c>
      <c r="B182" s="27">
        <f>YEAR(E182)</f>
        <v/>
      </c>
      <c r="C182" s="18">
        <f>INDEX({"Janeiro";"Fevereiro";"Março";"Abril";"Maio";"Junho";"Julho";"Agosto";"Setembro";"Outubro";"Novembro";"Dezembro"},Q182)</f>
        <v/>
      </c>
      <c r="D182" s="19" t="n">
        <v>5</v>
      </c>
      <c r="E182" s="20" t="n">
        <v>46047</v>
      </c>
      <c r="F182" s="18" t="inlineStr">
        <is>
          <t>REQUEIJÃO VIÇOSA 200g</t>
        </is>
      </c>
      <c r="G182" s="18" t="inlineStr">
        <is>
          <t>REQUEIJÃO</t>
        </is>
      </c>
      <c r="H182" s="21" t="n">
        <v>0.2</v>
      </c>
      <c r="I182" s="36" t="n">
        <v>4000</v>
      </c>
      <c r="J182" s="21">
        <f>I182*H182</f>
        <v/>
      </c>
      <c r="K182" s="21">
        <f>IFERROR(IF(J182/P182&gt;1,P182,J182),0)</f>
        <v/>
      </c>
      <c r="L182" s="36" t="n">
        <v>4861</v>
      </c>
      <c r="M182" s="21">
        <f>L182*H182</f>
        <v/>
      </c>
      <c r="N182" s="21">
        <f>IFERROR(IF(M182/K182&gt;1,K182,M182),0)</f>
        <v/>
      </c>
      <c r="O182" s="36" t="n">
        <v>4200</v>
      </c>
      <c r="P182" s="21">
        <f>O182*H182</f>
        <v/>
      </c>
      <c r="Q182" s="30">
        <f>IF(MONTH(E182+1)=MONTH(E182+6),MONTH(E182+1),IF(MIN(EOMONTH(E182+1,0),E182+6)-(E182+1)+1&gt;=3,MONTH(E182+1),MONTH(E182+6)))</f>
        <v/>
      </c>
      <c r="R182" s="22">
        <f>IFERROR(K182/P182, 0)</f>
        <v/>
      </c>
      <c r="S182" s="38">
        <f>IFERROR(N182/P182,0)</f>
        <v/>
      </c>
      <c r="T182" s="31">
        <f>IFERROR(IF(N182&gt;0,(N182/K182),MIN(1,M182/J182)),0)</f>
        <v/>
      </c>
      <c r="U182" s="33" t="n"/>
    </row>
    <row r="183" hidden="1" s="40">
      <c r="A183" s="23" t="inlineStr">
        <is>
          <t>Semana 5 - janeiro</t>
        </is>
      </c>
      <c r="B183" s="27">
        <f>YEAR(E183)</f>
        <v/>
      </c>
      <c r="C183" s="18">
        <f>INDEX({"Janeiro";"Fevereiro";"Março";"Abril";"Maio";"Junho";"Julho";"Agosto";"Setembro";"Outubro";"Novembro";"Dezembro"},Q183)</f>
        <v/>
      </c>
      <c r="D183" s="24" t="n">
        <v>5</v>
      </c>
      <c r="E183" s="25" t="n">
        <v>46047</v>
      </c>
      <c r="F183" s="23" t="inlineStr">
        <is>
          <t>REQUEIJÃO VIÇOSA 400g</t>
        </is>
      </c>
      <c r="G183" s="23" t="inlineStr">
        <is>
          <t>REQUEIJÃO</t>
        </is>
      </c>
      <c r="H183" s="26" t="n">
        <v>0.4</v>
      </c>
      <c r="I183" s="36" t="n">
        <v>5170</v>
      </c>
      <c r="J183" s="21">
        <f>I183*H183</f>
        <v/>
      </c>
      <c r="K183" s="21">
        <f>IFERROR(IF(J183/P183&gt;1,P183,J183),0)</f>
        <v/>
      </c>
      <c r="L183" s="36" t="n">
        <v>5306</v>
      </c>
      <c r="M183" s="21">
        <f>L183*H183</f>
        <v/>
      </c>
      <c r="N183" s="21">
        <f>IFERROR(IF(M183/K183&gt;1,K183,M183),0)</f>
        <v/>
      </c>
      <c r="O183" s="36" t="n">
        <v>3200</v>
      </c>
      <c r="P183" s="21">
        <f>O183*H183</f>
        <v/>
      </c>
      <c r="Q183" s="30">
        <f>IF(MONTH(E183+1)=MONTH(E183+6),MONTH(E183+1),IF(MIN(EOMONTH(E183+1,0),E183+6)-(E183+1)+1&gt;=3,MONTH(E183+1),MONTH(E183+6)))</f>
        <v/>
      </c>
      <c r="R183" s="22">
        <f>IFERROR(K183/P183, 0)</f>
        <v/>
      </c>
      <c r="S183" s="38">
        <f>IFERROR(N183/P183,0)</f>
        <v/>
      </c>
      <c r="T183" s="31">
        <f>IFERROR(IF(N183&gt;0,(N183/K183),MIN(1,M183/J183)),0)</f>
        <v/>
      </c>
      <c r="U183" s="33" t="n"/>
    </row>
    <row r="184" hidden="1" s="40">
      <c r="A184" s="18" t="inlineStr">
        <is>
          <t>Semana 5 - janeiro</t>
        </is>
      </c>
      <c r="B184" s="27">
        <f>YEAR(E184)</f>
        <v/>
      </c>
      <c r="C184" s="18">
        <f>INDEX({"Janeiro";"Fevereiro";"Março";"Abril";"Maio";"Junho";"Julho";"Agosto";"Setembro";"Outubro";"Novembro";"Dezembro"},Q184)</f>
        <v/>
      </c>
      <c r="D184" s="19" t="n">
        <v>5</v>
      </c>
      <c r="E184" s="20" t="n">
        <v>46047</v>
      </c>
      <c r="F184" s="18" t="inlineStr">
        <is>
          <t>Requeijão Light 200g</t>
        </is>
      </c>
      <c r="G184" s="18" t="inlineStr">
        <is>
          <t>REQUEIJÃO</t>
        </is>
      </c>
      <c r="H184" s="21" t="n">
        <v>0.2</v>
      </c>
      <c r="I184" s="36" t="n">
        <v>0</v>
      </c>
      <c r="J184" s="21">
        <f>I184*H184</f>
        <v/>
      </c>
      <c r="K184" s="21">
        <f>IFERROR(IF(J184/P184&gt;1,P184,J184),0)</f>
        <v/>
      </c>
      <c r="L184" s="36" t="n">
        <v>0</v>
      </c>
      <c r="M184" s="21">
        <f>L184*H184</f>
        <v/>
      </c>
      <c r="N184" s="21">
        <f>IFERROR(IF(M184/K184&gt;1,K184,M184),0)</f>
        <v/>
      </c>
      <c r="O184" s="36" t="n">
        <v>1200</v>
      </c>
      <c r="P184" s="21">
        <f>O184*H184</f>
        <v/>
      </c>
      <c r="Q184" s="30">
        <f>IF(MONTH(E184+1)=MONTH(E184+6),MONTH(E184+1),IF(MIN(EOMONTH(E184+1,0),E184+6)-(E184+1)+1&gt;=3,MONTH(E184+1),MONTH(E184+6)))</f>
        <v/>
      </c>
      <c r="R184" s="22">
        <f>IFERROR(K184/P184, 0)</f>
        <v/>
      </c>
      <c r="S184" s="38">
        <f>IFERROR(N184/P184,0)</f>
        <v/>
      </c>
      <c r="T184" s="31">
        <f>IFERROR(IF(N184&gt;0,(N184/K184),MIN(1,M184/J184)),0)</f>
        <v/>
      </c>
      <c r="U184" s="33" t="n"/>
    </row>
    <row r="185" hidden="1" s="40">
      <c r="A185" s="23" t="inlineStr">
        <is>
          <t>Semana 5 - janeiro</t>
        </is>
      </c>
      <c r="B185" s="27">
        <f>YEAR(E185)</f>
        <v/>
      </c>
      <c r="C185" s="18">
        <f>INDEX({"Janeiro";"Fevereiro";"Março";"Abril";"Maio";"Junho";"Julho";"Agosto";"Setembro";"Outubro";"Novembro";"Dezembro"},Q185)</f>
        <v/>
      </c>
      <c r="D185" s="24" t="n">
        <v>5</v>
      </c>
      <c r="E185" s="25" t="n">
        <v>46047</v>
      </c>
      <c r="F185" s="23" t="inlineStr">
        <is>
          <t>Creme de Ricota 200g</t>
        </is>
      </c>
      <c r="G185" s="23" t="inlineStr">
        <is>
          <t>RICOTA</t>
        </is>
      </c>
      <c r="H185" s="26" t="n">
        <v>0.2</v>
      </c>
      <c r="I185" s="36" t="n">
        <v>1200</v>
      </c>
      <c r="J185" s="21">
        <f>I185*H185</f>
        <v/>
      </c>
      <c r="K185" s="21">
        <f>IFERROR(IF(J185/P185&gt;1,P185,J185),0)</f>
        <v/>
      </c>
      <c r="L185" s="36" t="n">
        <v>942</v>
      </c>
      <c r="M185" s="21">
        <f>L185*H185</f>
        <v/>
      </c>
      <c r="N185" s="21">
        <f>IFERROR(IF(M185/K185&gt;1,K185,M185),0)</f>
        <v/>
      </c>
      <c r="O185" s="36" t="n">
        <v>1200</v>
      </c>
      <c r="P185" s="21">
        <f>O185*H185</f>
        <v/>
      </c>
      <c r="Q185" s="30">
        <f>IF(MONTH(E185+1)=MONTH(E185+6),MONTH(E185+1),IF(MIN(EOMONTH(E185+1,0),E185+6)-(E185+1)+1&gt;=3,MONTH(E185+1),MONTH(E185+6)))</f>
        <v/>
      </c>
      <c r="R185" s="22">
        <f>IFERROR(K185/P185, 0)</f>
        <v/>
      </c>
      <c r="S185" s="38">
        <f>IFERROR(N185/P185,0)</f>
        <v/>
      </c>
      <c r="T185" s="31">
        <f>IFERROR(IF(N185&gt;0,(N185/K185),MIN(1,M185/J185)),0)</f>
        <v/>
      </c>
      <c r="U185" s="33" t="n"/>
    </row>
    <row r="186" hidden="1" s="40">
      <c r="A186" s="18" t="inlineStr">
        <is>
          <t>Semana 1 - fevereiro</t>
        </is>
      </c>
      <c r="B186" s="27">
        <f>YEAR(E186)</f>
        <v/>
      </c>
      <c r="C186" s="18">
        <f>INDEX({"Janeiro";"Fevereiro";"Março";"Abril";"Maio";"Junho";"Julho";"Agosto";"Setembro";"Outubro";"Novembro";"Dezembro"},Q186)</f>
        <v/>
      </c>
      <c r="D186" s="19" t="n">
        <v>1</v>
      </c>
      <c r="E186" s="20" t="n">
        <v>46054</v>
      </c>
      <c r="F186" s="18" t="inlineStr">
        <is>
          <t>Doce de Leite 400g</t>
        </is>
      </c>
      <c r="G186" s="18" t="inlineStr">
        <is>
          <t>DOCE</t>
        </is>
      </c>
      <c r="H186" s="21" t="n">
        <v>0.4</v>
      </c>
      <c r="I186" s="36" t="n">
        <v>0</v>
      </c>
      <c r="J186" s="21">
        <f>I186*H186</f>
        <v/>
      </c>
      <c r="K186" s="21">
        <f>IFERROR(IF(J186/P186&gt;1,P186,J186),0)</f>
        <v/>
      </c>
      <c r="L186" s="36" t="n">
        <v>0</v>
      </c>
      <c r="M186" s="21">
        <f>L186*H186</f>
        <v/>
      </c>
      <c r="N186" s="21">
        <f>IFERROR(IF(M186/K186&gt;1,K186,M186),0)</f>
        <v/>
      </c>
      <c r="O186" s="36" t="n">
        <v>0</v>
      </c>
      <c r="P186" s="21">
        <f>O186*H186</f>
        <v/>
      </c>
      <c r="Q186" s="30">
        <f>IF(MONTH(E186+1)=MONTH(E186+6),MONTH(E186+1),IF(MIN(EOMONTH(E186+1,0),E186+6)-(E186+1)+1&gt;=3,MONTH(E186+1),MONTH(E186+6)))</f>
        <v/>
      </c>
      <c r="R186" s="22">
        <f>IFERROR(K186/P186, 0)</f>
        <v/>
      </c>
      <c r="S186" s="38">
        <f>IFERROR(N186/P186,0)</f>
        <v/>
      </c>
      <c r="T186" s="31">
        <f>IFERROR(IF(N186&gt;0,(N186/K186),MIN(1,M186/J186)),0)</f>
        <v/>
      </c>
      <c r="U186" s="33" t="n"/>
    </row>
    <row r="187" hidden="1" s="40">
      <c r="A187" s="23" t="inlineStr">
        <is>
          <t>Semana 1 - fevereiro</t>
        </is>
      </c>
      <c r="B187" s="27">
        <f>YEAR(E187)</f>
        <v/>
      </c>
      <c r="C187" s="18">
        <f>INDEX({"Janeiro";"Fevereiro";"Março";"Abril";"Maio";"Junho";"Julho";"Agosto";"Setembro";"Outubro";"Novembro";"Dezembro"},Q187)</f>
        <v/>
      </c>
      <c r="D187" s="24" t="n">
        <v>1</v>
      </c>
      <c r="E187" s="25" t="n">
        <v>46054</v>
      </c>
      <c r="F187" s="23" t="inlineStr">
        <is>
          <t>Doce de Leite 5kg</t>
        </is>
      </c>
      <c r="G187" s="23" t="inlineStr">
        <is>
          <t>DOCE</t>
        </is>
      </c>
      <c r="H187" s="26" t="n">
        <v>5</v>
      </c>
      <c r="I187" s="36" t="n">
        <v>0</v>
      </c>
      <c r="J187" s="21">
        <f>I187*H187</f>
        <v/>
      </c>
      <c r="K187" s="21">
        <f>IFERROR(IF(J187/P187&gt;1,P187,J187),0)</f>
        <v/>
      </c>
      <c r="L187" s="36" t="n">
        <v>0</v>
      </c>
      <c r="M187" s="21">
        <f>L187*H187</f>
        <v/>
      </c>
      <c r="N187" s="21">
        <f>IFERROR(IF(M187/K187&gt;1,K187,M187),0)</f>
        <v/>
      </c>
      <c r="O187" s="36" t="n">
        <v>0</v>
      </c>
      <c r="P187" s="21">
        <f>O187*H187</f>
        <v/>
      </c>
      <c r="Q187" s="30">
        <f>IF(MONTH(E187+1)=MONTH(E187+6),MONTH(E187+1),IF(MIN(EOMONTH(E187+1,0),E187+6)-(E187+1)+1&gt;=3,MONTH(E187+1),MONTH(E187+6)))</f>
        <v/>
      </c>
      <c r="R187" s="22">
        <f>IFERROR(K187/P187, 0)</f>
        <v/>
      </c>
      <c r="S187" s="38">
        <f>IFERROR(N187/P187,0)</f>
        <v/>
      </c>
      <c r="T187" s="31">
        <f>IFERROR(IF(N187&gt;0,(N187/K187),MIN(1,M187/J187)),0)</f>
        <v/>
      </c>
      <c r="U187" s="33" t="n"/>
    </row>
    <row r="188" hidden="1" s="40">
      <c r="A188" s="18" t="inlineStr">
        <is>
          <t>Semana 1 - fevereiro</t>
        </is>
      </c>
      <c r="B188" s="27">
        <f>YEAR(E188)</f>
        <v/>
      </c>
      <c r="C188" s="18">
        <f>INDEX({"Janeiro";"Fevereiro";"Março";"Abril";"Maio";"Junho";"Julho";"Agosto";"Setembro";"Outubro";"Novembro";"Dezembro"},Q188)</f>
        <v/>
      </c>
      <c r="D188" s="19" t="n">
        <v>1</v>
      </c>
      <c r="E188" s="20" t="n">
        <v>46054</v>
      </c>
      <c r="F188" s="18" t="inlineStr">
        <is>
          <t>Doce de Leite 5kg - Bombeável</t>
        </is>
      </c>
      <c r="G188" s="18" t="inlineStr">
        <is>
          <t>DOCE</t>
        </is>
      </c>
      <c r="H188" s="21" t="n">
        <v>5</v>
      </c>
      <c r="I188" s="36" t="n">
        <v>0</v>
      </c>
      <c r="J188" s="21">
        <f>I188*H188</f>
        <v/>
      </c>
      <c r="K188" s="21">
        <f>IFERROR(IF(J188/P188&gt;1,P188,J188),0)</f>
        <v/>
      </c>
      <c r="L188" s="36" t="n">
        <v>0</v>
      </c>
      <c r="M188" s="21">
        <f>L188*H188</f>
        <v/>
      </c>
      <c r="N188" s="21">
        <f>IFERROR(IF(M188/K188&gt;1,K188,M188),0)</f>
        <v/>
      </c>
      <c r="O188" s="36" t="n">
        <v>0</v>
      </c>
      <c r="P188" s="21">
        <f>O188*H188</f>
        <v/>
      </c>
      <c r="Q188" s="30">
        <f>IF(MONTH(E188+1)=MONTH(E188+6),MONTH(E188+1),IF(MIN(EOMONTH(E188+1,0),E188+6)-(E188+1)+1&gt;=3,MONTH(E188+1),MONTH(E188+6)))</f>
        <v/>
      </c>
      <c r="R188" s="22">
        <f>IFERROR(K188/P188, 0)</f>
        <v/>
      </c>
      <c r="S188" s="38">
        <f>IFERROR(N188/P188,0)</f>
        <v/>
      </c>
      <c r="T188" s="31">
        <f>IFERROR(IF(N188&gt;0,(N188/K188),MIN(1,M188/J188)),0)</f>
        <v/>
      </c>
      <c r="U188" s="33" t="n"/>
    </row>
    <row r="189" hidden="1" s="40">
      <c r="A189" s="23" t="inlineStr">
        <is>
          <t>Semana 1 - fevereiro</t>
        </is>
      </c>
      <c r="B189" s="27">
        <f>YEAR(E189)</f>
        <v/>
      </c>
      <c r="C189" s="18">
        <f>INDEX({"Janeiro";"Fevereiro";"Março";"Abril";"Maio";"Junho";"Julho";"Agosto";"Setembro";"Outubro";"Novembro";"Dezembro"},Q189)</f>
        <v/>
      </c>
      <c r="D189" s="24" t="n">
        <v>1</v>
      </c>
      <c r="E189" s="25" t="n">
        <v>46054</v>
      </c>
      <c r="F189" s="23" t="inlineStr">
        <is>
          <t>Doce de Leite 5kg - Forneável</t>
        </is>
      </c>
      <c r="G189" s="23" t="inlineStr">
        <is>
          <t>DOCE</t>
        </is>
      </c>
      <c r="H189" s="26" t="n">
        <v>5</v>
      </c>
      <c r="I189" s="36" t="n">
        <v>0</v>
      </c>
      <c r="J189" s="21">
        <f>I189*H189</f>
        <v/>
      </c>
      <c r="K189" s="21">
        <f>IFERROR(IF(J189/P189&gt;1,P189,J189),0)</f>
        <v/>
      </c>
      <c r="L189" s="36" t="n">
        <v>0</v>
      </c>
      <c r="M189" s="21">
        <f>L189*H189</f>
        <v/>
      </c>
      <c r="N189" s="21">
        <f>IFERROR(IF(M189/K189&gt;1,K189,M189),0)</f>
        <v/>
      </c>
      <c r="O189" s="36" t="n">
        <v>0</v>
      </c>
      <c r="P189" s="21">
        <f>O189*H189</f>
        <v/>
      </c>
      <c r="Q189" s="30">
        <f>IF(MONTH(E189+1)=MONTH(E189+6),MONTH(E189+1),IF(MIN(EOMONTH(E189+1,0),E189+6)-(E189+1)+1&gt;=3,MONTH(E189+1),MONTH(E189+6)))</f>
        <v/>
      </c>
      <c r="R189" s="22">
        <f>IFERROR(K189/P189, 0)</f>
        <v/>
      </c>
      <c r="S189" s="38">
        <f>IFERROR(N189/P189,0)</f>
        <v/>
      </c>
      <c r="T189" s="31">
        <f>IFERROR(IF(N189&gt;0,(N189/K189),MIN(1,M189/J189)),0)</f>
        <v/>
      </c>
      <c r="U189" s="33" t="n"/>
    </row>
    <row r="190" hidden="1" s="40">
      <c r="A190" s="18" t="inlineStr">
        <is>
          <t>Semana 1 - fevereiro</t>
        </is>
      </c>
      <c r="B190" s="27">
        <f>YEAR(E190)</f>
        <v/>
      </c>
      <c r="C190" s="18">
        <f>INDEX({"Janeiro";"Fevereiro";"Março";"Abril";"Maio";"Junho";"Julho";"Agosto";"Setembro";"Outubro";"Novembro";"Dezembro"},Q190)</f>
        <v/>
      </c>
      <c r="D190" s="19" t="n">
        <v>1</v>
      </c>
      <c r="E190" s="20" t="n">
        <v>46054</v>
      </c>
      <c r="F190" s="18" t="inlineStr">
        <is>
          <t>Doce de Leite 800g</t>
        </is>
      </c>
      <c r="G190" s="18" t="inlineStr">
        <is>
          <t>DOCE</t>
        </is>
      </c>
      <c r="H190" s="21" t="n">
        <v>0.8</v>
      </c>
      <c r="I190" s="36" t="n">
        <v>0</v>
      </c>
      <c r="J190" s="21">
        <f>I190*H190</f>
        <v/>
      </c>
      <c r="K190" s="21">
        <f>IFERROR(IF(J190/P190&gt;1,P190,J190),0)</f>
        <v/>
      </c>
      <c r="L190" s="36" t="n">
        <v>0</v>
      </c>
      <c r="M190" s="21">
        <f>L190*H190</f>
        <v/>
      </c>
      <c r="N190" s="21">
        <f>IFERROR(IF(M190/K190&gt;1,K190,M190),0)</f>
        <v/>
      </c>
      <c r="O190" s="36" t="n">
        <v>0</v>
      </c>
      <c r="P190" s="21">
        <f>O190*H190</f>
        <v/>
      </c>
      <c r="Q190" s="30">
        <f>IF(MONTH(E190+1)=MONTH(E190+6),MONTH(E190+1),IF(MIN(EOMONTH(E190+1,0),E190+6)-(E190+1)+1&gt;=3,MONTH(E190+1),MONTH(E190+6)))</f>
        <v/>
      </c>
      <c r="R190" s="22">
        <f>IFERROR(K190/P190, 0)</f>
        <v/>
      </c>
      <c r="S190" s="38">
        <f>IFERROR(N190/P190,0)</f>
        <v/>
      </c>
      <c r="T190" s="31">
        <f>IFERROR(IF(N190&gt;0,(N190/K190),MIN(1,M190/J190)),0)</f>
        <v/>
      </c>
      <c r="U190" s="33" t="n"/>
    </row>
    <row r="191" hidden="1" s="40">
      <c r="A191" s="23" t="inlineStr">
        <is>
          <t>Semana 1 - fevereiro</t>
        </is>
      </c>
      <c r="B191" s="27">
        <f>YEAR(E191)</f>
        <v/>
      </c>
      <c r="C191" s="18">
        <f>INDEX({"Janeiro";"Fevereiro";"Março";"Abril";"Maio";"Junho";"Julho";"Agosto";"Setembro";"Outubro";"Novembro";"Dezembro"},Q191)</f>
        <v/>
      </c>
      <c r="D191" s="24" t="n">
        <v>1</v>
      </c>
      <c r="E191" s="25" t="n">
        <v>46054</v>
      </c>
      <c r="F191" s="23" t="inlineStr">
        <is>
          <t>Doce de Leite Cacau 400g</t>
        </is>
      </c>
      <c r="G191" s="23" t="inlineStr">
        <is>
          <t>DOCE</t>
        </is>
      </c>
      <c r="H191" s="26" t="n">
        <v>0.4</v>
      </c>
      <c r="I191" s="36" t="n">
        <v>0</v>
      </c>
      <c r="J191" s="21">
        <f>I191*H191</f>
        <v/>
      </c>
      <c r="K191" s="21">
        <f>IFERROR(IF(J191/P191&gt;1,P191,J191),0)</f>
        <v/>
      </c>
      <c r="L191" s="36" t="n">
        <v>0</v>
      </c>
      <c r="M191" s="21">
        <f>L191*H191</f>
        <v/>
      </c>
      <c r="N191" s="21">
        <f>IFERROR(IF(M191/K191&gt;1,K191,M191),0)</f>
        <v/>
      </c>
      <c r="O191" s="36" t="n">
        <v>0</v>
      </c>
      <c r="P191" s="21">
        <f>O191*H191</f>
        <v/>
      </c>
      <c r="Q191" s="30">
        <f>IF(MONTH(E191+1)=MONTH(E191+6),MONTH(E191+1),IF(MIN(EOMONTH(E191+1,0),E191+6)-(E191+1)+1&gt;=3,MONTH(E191+1),MONTH(E191+6)))</f>
        <v/>
      </c>
      <c r="R191" s="22">
        <f>IFERROR(K191/P191, 0)</f>
        <v/>
      </c>
      <c r="S191" s="38">
        <f>IFERROR(N191/P191,0)</f>
        <v/>
      </c>
      <c r="T191" s="31">
        <f>IFERROR(IF(N191&gt;0,(N191/K191),MIN(1,M191/J191)),0)</f>
        <v/>
      </c>
      <c r="U191" s="33" t="n"/>
    </row>
    <row r="192" hidden="1" s="40">
      <c r="A192" s="18" t="inlineStr">
        <is>
          <t>Semana 1 - fevereiro</t>
        </is>
      </c>
      <c r="B192" s="27">
        <f>YEAR(E192)</f>
        <v/>
      </c>
      <c r="C192" s="18">
        <f>INDEX({"Janeiro";"Fevereiro";"Março";"Abril";"Maio";"Junho";"Julho";"Agosto";"Setembro";"Outubro";"Novembro";"Dezembro"},Q192)</f>
        <v/>
      </c>
      <c r="D192" s="19" t="n">
        <v>1</v>
      </c>
      <c r="E192" s="20" t="n">
        <v>46054</v>
      </c>
      <c r="F192" s="18" t="inlineStr">
        <is>
          <t>Doce de Leite Cacau 5kg - Bombeável</t>
        </is>
      </c>
      <c r="G192" s="18" t="inlineStr">
        <is>
          <t>DOCE</t>
        </is>
      </c>
      <c r="H192" s="21" t="n">
        <v>5</v>
      </c>
      <c r="I192" s="36" t="n">
        <v>0</v>
      </c>
      <c r="J192" s="21">
        <f>I192*H192</f>
        <v/>
      </c>
      <c r="K192" s="21">
        <f>IFERROR(IF(J192/P192&gt;1,P192,J192),0)</f>
        <v/>
      </c>
      <c r="L192" s="36" t="n">
        <v>0</v>
      </c>
      <c r="M192" s="21">
        <f>L192*H192</f>
        <v/>
      </c>
      <c r="N192" s="21">
        <f>IFERROR(IF(M192/K192&gt;1,K192,M192),0)</f>
        <v/>
      </c>
      <c r="O192" s="36" t="n">
        <v>0</v>
      </c>
      <c r="P192" s="21">
        <f>O192*H192</f>
        <v/>
      </c>
      <c r="Q192" s="30">
        <f>IF(MONTH(E192+1)=MONTH(E192+6),MONTH(E192+1),IF(MIN(EOMONTH(E192+1,0),E192+6)-(E192+1)+1&gt;=3,MONTH(E192+1),MONTH(E192+6)))</f>
        <v/>
      </c>
      <c r="R192" s="22">
        <f>IFERROR(K192/P192, 0)</f>
        <v/>
      </c>
      <c r="S192" s="38">
        <f>IFERROR(N192/P192,0)</f>
        <v/>
      </c>
      <c r="T192" s="31">
        <f>IFERROR(IF(N192&gt;0,(N192/K192),MIN(1,M192/J192)),0)</f>
        <v/>
      </c>
      <c r="U192" s="33" t="n"/>
    </row>
    <row r="193" hidden="1" s="40">
      <c r="A193" s="23" t="inlineStr">
        <is>
          <t>Semana 1 - fevereiro</t>
        </is>
      </c>
      <c r="B193" s="27">
        <f>YEAR(E193)</f>
        <v/>
      </c>
      <c r="C193" s="18">
        <f>INDEX({"Janeiro";"Fevereiro";"Março";"Abril";"Maio";"Junho";"Julho";"Agosto";"Setembro";"Outubro";"Novembro";"Dezembro"},Q193)</f>
        <v/>
      </c>
      <c r="D193" s="24" t="n">
        <v>1</v>
      </c>
      <c r="E193" s="25" t="n">
        <v>46054</v>
      </c>
      <c r="F193" s="23" t="inlineStr">
        <is>
          <t>Doce de Leite Cacau 5kg - FOOD</t>
        </is>
      </c>
      <c r="G193" s="23" t="inlineStr">
        <is>
          <t>DOCE</t>
        </is>
      </c>
      <c r="H193" s="26" t="n">
        <v>5</v>
      </c>
      <c r="I193" s="36" t="n">
        <v>0</v>
      </c>
      <c r="J193" s="21">
        <f>I193*H193</f>
        <v/>
      </c>
      <c r="K193" s="21">
        <f>IFERROR(IF(J193/P193&gt;1,P193,J193),0)</f>
        <v/>
      </c>
      <c r="L193" s="36" t="n">
        <v>0</v>
      </c>
      <c r="M193" s="21">
        <f>L193*H193</f>
        <v/>
      </c>
      <c r="N193" s="21">
        <f>IFERROR(IF(M193/K193&gt;1,K193,M193),0)</f>
        <v/>
      </c>
      <c r="O193" s="36" t="n">
        <v>0</v>
      </c>
      <c r="P193" s="21">
        <f>O193*H193</f>
        <v/>
      </c>
      <c r="Q193" s="30">
        <f>IF(MONTH(E193+1)=MONTH(E193+6),MONTH(E193+1),IF(MIN(EOMONTH(E193+1,0),E193+6)-(E193+1)+1&gt;=3,MONTH(E193+1),MONTH(E193+6)))</f>
        <v/>
      </c>
      <c r="R193" s="22">
        <f>IFERROR(K193/P193, 0)</f>
        <v/>
      </c>
      <c r="S193" s="38">
        <f>IFERROR(N193/P193,0)</f>
        <v/>
      </c>
      <c r="T193" s="31">
        <f>IFERROR(IF(N193&gt;0,(N193/K193),MIN(1,M193/J193)),0)</f>
        <v/>
      </c>
      <c r="U193" s="33" t="n"/>
    </row>
    <row r="194" hidden="1" s="40">
      <c r="A194" s="18" t="inlineStr">
        <is>
          <t>Semana 1 - fevereiro</t>
        </is>
      </c>
      <c r="B194" s="27">
        <f>YEAR(E194)</f>
        <v/>
      </c>
      <c r="C194" s="18">
        <f>INDEX({"Janeiro";"Fevereiro";"Março";"Abril";"Maio";"Junho";"Julho";"Agosto";"Setembro";"Outubro";"Novembro";"Dezembro"},Q194)</f>
        <v/>
      </c>
      <c r="D194" s="19" t="n">
        <v>1</v>
      </c>
      <c r="E194" s="20" t="n">
        <v>46054</v>
      </c>
      <c r="F194" s="18" t="inlineStr">
        <is>
          <t>Doce de Leite c/ Café 400</t>
        </is>
      </c>
      <c r="G194" s="18" t="inlineStr">
        <is>
          <t>DOCE</t>
        </is>
      </c>
      <c r="H194" s="21" t="n">
        <v>0.4</v>
      </c>
      <c r="I194" s="36" t="n">
        <v>0</v>
      </c>
      <c r="J194" s="21">
        <f>I194*H194</f>
        <v/>
      </c>
      <c r="K194" s="21">
        <f>IFERROR(IF(J194/P194&gt;1,P194,J194),0)</f>
        <v/>
      </c>
      <c r="L194" s="36" t="n">
        <v>0</v>
      </c>
      <c r="M194" s="21">
        <f>L194*H194</f>
        <v/>
      </c>
      <c r="N194" s="21">
        <f>IFERROR(IF(M194/K194&gt;1,K194,M194),0)</f>
        <v/>
      </c>
      <c r="O194" s="36" t="n">
        <v>0</v>
      </c>
      <c r="P194" s="21">
        <f>O194*H194</f>
        <v/>
      </c>
      <c r="Q194" s="30">
        <f>IF(MONTH(E194+1)=MONTH(E194+6),MONTH(E194+1),IF(MIN(EOMONTH(E194+1,0),E194+6)-(E194+1)+1&gt;=3,MONTH(E194+1),MONTH(E194+6)))</f>
        <v/>
      </c>
      <c r="R194" s="22">
        <f>IFERROR(K194/P194, 0)</f>
        <v/>
      </c>
      <c r="S194" s="38">
        <f>IFERROR(N194/P194,0)</f>
        <v/>
      </c>
      <c r="T194" s="31">
        <f>IFERROR(IF(N194&gt;0,(N194/K194),MIN(1,M194/J194)),0)</f>
        <v/>
      </c>
      <c r="U194" s="33" t="n"/>
    </row>
    <row r="195" hidden="1" s="40">
      <c r="A195" s="23" t="inlineStr">
        <is>
          <t>Semana 1 - fevereiro</t>
        </is>
      </c>
      <c r="B195" s="27">
        <f>YEAR(E195)</f>
        <v/>
      </c>
      <c r="C195" s="18">
        <f>INDEX({"Janeiro";"Fevereiro";"Março";"Abril";"Maio";"Junho";"Julho";"Agosto";"Setembro";"Outubro";"Novembro";"Dezembro"},Q195)</f>
        <v/>
      </c>
      <c r="D195" s="24" t="n">
        <v>1</v>
      </c>
      <c r="E195" s="25" t="n">
        <v>46054</v>
      </c>
      <c r="F195" s="23" t="inlineStr">
        <is>
          <t>Doce de Leite c/ Café 5kg</t>
        </is>
      </c>
      <c r="G195" s="23" t="inlineStr">
        <is>
          <t>DOCE</t>
        </is>
      </c>
      <c r="H195" s="26" t="n">
        <v>5</v>
      </c>
      <c r="I195" s="36" t="n">
        <v>0</v>
      </c>
      <c r="J195" s="21">
        <f>I195*H195</f>
        <v/>
      </c>
      <c r="K195" s="21">
        <f>IFERROR(IF(J195/P195&gt;1,P195,J195),0)</f>
        <v/>
      </c>
      <c r="L195" s="36" t="n">
        <v>0</v>
      </c>
      <c r="M195" s="21">
        <f>L195*H195</f>
        <v/>
      </c>
      <c r="N195" s="21">
        <f>IFERROR(IF(M195/K195&gt;1,K195,M195),0)</f>
        <v/>
      </c>
      <c r="O195" s="36" t="n">
        <v>0</v>
      </c>
      <c r="P195" s="21">
        <f>O195*H195</f>
        <v/>
      </c>
      <c r="Q195" s="30">
        <f>IF(MONTH(E195+1)=MONTH(E195+6),MONTH(E195+1),IF(MIN(EOMONTH(E195+1,0),E195+6)-(E195+1)+1&gt;=3,MONTH(E195+1),MONTH(E195+6)))</f>
        <v/>
      </c>
      <c r="R195" s="22">
        <f>IFERROR(K195/P195, 0)</f>
        <v/>
      </c>
      <c r="S195" s="38">
        <f>IFERROR(N195/P195,0)</f>
        <v/>
      </c>
      <c r="T195" s="31">
        <f>IFERROR(IF(N195&gt;0,(N195/K195),MIN(1,M195/J195)),0)</f>
        <v/>
      </c>
      <c r="U195" s="33" t="n"/>
    </row>
    <row r="196" hidden="1" s="40">
      <c r="A196" s="18" t="inlineStr">
        <is>
          <t>Semana 1 - fevereiro</t>
        </is>
      </c>
      <c r="B196" s="27">
        <f>YEAR(E196)</f>
        <v/>
      </c>
      <c r="C196" s="18">
        <f>INDEX({"Janeiro";"Fevereiro";"Março";"Abril";"Maio";"Junho";"Julho";"Agosto";"Setembro";"Outubro";"Novembro";"Dezembro"},Q196)</f>
        <v/>
      </c>
      <c r="D196" s="19" t="n">
        <v>1</v>
      </c>
      <c r="E196" s="20" t="n">
        <v>46054</v>
      </c>
      <c r="F196" s="18" t="inlineStr">
        <is>
          <t>Doce de Leite c/ coco 400</t>
        </is>
      </c>
      <c r="G196" s="18" t="inlineStr">
        <is>
          <t>DOCE</t>
        </is>
      </c>
      <c r="H196" s="21" t="n">
        <v>0.4</v>
      </c>
      <c r="I196" s="36" t="n">
        <v>0</v>
      </c>
      <c r="J196" s="21">
        <f>I196*H196</f>
        <v/>
      </c>
      <c r="K196" s="21">
        <f>IFERROR(IF(J196/P196&gt;1,P196,J196),0)</f>
        <v/>
      </c>
      <c r="L196" s="36" t="n">
        <v>0</v>
      </c>
      <c r="M196" s="21">
        <f>L196*H196</f>
        <v/>
      </c>
      <c r="N196" s="21">
        <f>IFERROR(IF(M196/K196&gt;1,K196,M196),0)</f>
        <v/>
      </c>
      <c r="O196" s="36" t="n">
        <v>0</v>
      </c>
      <c r="P196" s="21">
        <f>O196*H196</f>
        <v/>
      </c>
      <c r="Q196" s="30">
        <f>IF(MONTH(E196+1)=MONTH(E196+6),MONTH(E196+1),IF(MIN(EOMONTH(E196+1,0),E196+6)-(E196+1)+1&gt;=3,MONTH(E196+1),MONTH(E196+6)))</f>
        <v/>
      </c>
      <c r="R196" s="22">
        <f>IFERROR(K196/P196, 0)</f>
        <v/>
      </c>
      <c r="S196" s="38">
        <f>IFERROR(N196/P196,0)</f>
        <v/>
      </c>
      <c r="T196" s="31">
        <f>IFERROR(IF(N196&gt;0,(N196/K196),MIN(1,M196/J196)),0)</f>
        <v/>
      </c>
      <c r="U196" s="33" t="n"/>
    </row>
    <row r="197" hidden="1" s="40">
      <c r="A197" s="23" t="inlineStr">
        <is>
          <t>Semana 1 - fevereiro</t>
        </is>
      </c>
      <c r="B197" s="27">
        <f>YEAR(E197)</f>
        <v/>
      </c>
      <c r="C197" s="18">
        <f>INDEX({"Janeiro";"Fevereiro";"Março";"Abril";"Maio";"Junho";"Julho";"Agosto";"Setembro";"Outubro";"Novembro";"Dezembro"},Q197)</f>
        <v/>
      </c>
      <c r="D197" s="24" t="n">
        <v>1</v>
      </c>
      <c r="E197" s="25" t="n">
        <v>46054</v>
      </c>
      <c r="F197" s="23" t="inlineStr">
        <is>
          <t>IOGURTE VIÇOSA MORANGO LIGHT 180g</t>
        </is>
      </c>
      <c r="G197" s="23" t="inlineStr">
        <is>
          <t>IOGURTE</t>
        </is>
      </c>
      <c r="H197" s="26" t="n">
        <v>0.18</v>
      </c>
      <c r="I197" s="36" t="n">
        <v>0</v>
      </c>
      <c r="J197" s="21">
        <f>I197*H197</f>
        <v/>
      </c>
      <c r="K197" s="21">
        <f>IFERROR(IF(J197/P197&gt;1,P197,J197),0)</f>
        <v/>
      </c>
      <c r="L197" s="36" t="n">
        <v>0</v>
      </c>
      <c r="M197" s="21">
        <f>L197*H197</f>
        <v/>
      </c>
      <c r="N197" s="21">
        <f>IFERROR(IF(M197/K197&gt;1,K197,M197),0)</f>
        <v/>
      </c>
      <c r="O197" s="36" t="n">
        <v>0</v>
      </c>
      <c r="P197" s="21">
        <f>O197*H197</f>
        <v/>
      </c>
      <c r="Q197" s="30">
        <f>IF(MONTH(E197+1)=MONTH(E197+6),MONTH(E197+1),IF(MIN(EOMONTH(E197+1,0),E197+6)-(E197+1)+1&gt;=3,MONTH(E197+1),MONTH(E197+6)))</f>
        <v/>
      </c>
      <c r="R197" s="22">
        <f>IFERROR(K197/P197, 0)</f>
        <v/>
      </c>
      <c r="S197" s="38">
        <f>IFERROR(N197/P197,0)</f>
        <v/>
      </c>
      <c r="T197" s="31">
        <f>IFERROR(IF(N197&gt;0,(N197/K197),MIN(1,M197/J197)),0)</f>
        <v/>
      </c>
      <c r="U197" s="33" t="n"/>
    </row>
    <row r="198" hidden="1" s="40">
      <c r="A198" s="18" t="inlineStr">
        <is>
          <t>Semana 1 - fevereiro</t>
        </is>
      </c>
      <c r="B198" s="27">
        <f>YEAR(E198)</f>
        <v/>
      </c>
      <c r="C198" s="18">
        <f>INDEX({"Janeiro";"Fevereiro";"Março";"Abril";"Maio";"Junho";"Julho";"Agosto";"Setembro";"Outubro";"Novembro";"Dezembro"},Q198)</f>
        <v/>
      </c>
      <c r="D198" s="19" t="n">
        <v>1</v>
      </c>
      <c r="E198" s="20" t="n">
        <v>46054</v>
      </c>
      <c r="F198" s="18" t="inlineStr">
        <is>
          <t>IOGURTE VIÇOSA MORANGO LIGHT 800g</t>
        </is>
      </c>
      <c r="G198" s="18" t="inlineStr">
        <is>
          <t>IOGURTE</t>
        </is>
      </c>
      <c r="H198" s="21" t="n">
        <v>0.8</v>
      </c>
      <c r="I198" s="36" t="n">
        <v>0</v>
      </c>
      <c r="J198" s="21">
        <f>I198*H198</f>
        <v/>
      </c>
      <c r="K198" s="21">
        <f>IFERROR(IF(J198/P198&gt;1,P198,J198),0)</f>
        <v/>
      </c>
      <c r="L198" s="36" t="n">
        <v>0</v>
      </c>
      <c r="M198" s="21">
        <f>L198*H198</f>
        <v/>
      </c>
      <c r="N198" s="21">
        <f>IFERROR(IF(M198/K198&gt;1,K198,M198),0)</f>
        <v/>
      </c>
      <c r="O198" s="36" t="n">
        <v>0</v>
      </c>
      <c r="P198" s="21">
        <f>O198*H198</f>
        <v/>
      </c>
      <c r="Q198" s="30">
        <f>IF(MONTH(E198+1)=MONTH(E198+6),MONTH(E198+1),IF(MIN(EOMONTH(E198+1,0),E198+6)-(E198+1)+1&gt;=3,MONTH(E198+1),MONTH(E198+6)))</f>
        <v/>
      </c>
      <c r="R198" s="22">
        <f>IFERROR(K198/P198, 0)</f>
        <v/>
      </c>
      <c r="S198" s="38">
        <f>IFERROR(N198/P198,0)</f>
        <v/>
      </c>
      <c r="T198" s="31">
        <f>IFERROR(IF(N198&gt;0,(N198/K198),MIN(1,M198/J198)),0)</f>
        <v/>
      </c>
      <c r="U198" s="33" t="n"/>
    </row>
    <row r="199" hidden="1" s="40">
      <c r="A199" s="18" t="inlineStr">
        <is>
          <t>Semana 1 - fevereiro</t>
        </is>
      </c>
      <c r="B199" s="27">
        <f>YEAR(E199)</f>
        <v/>
      </c>
      <c r="C199" s="18">
        <f>INDEX({"Janeiro";"Fevereiro";"Março";"Abril";"Maio";"Junho";"Julho";"Agosto";"Setembro";"Outubro";"Novembro";"Dezembro"},Q199)</f>
        <v/>
      </c>
      <c r="D199" s="19" t="n">
        <v>1</v>
      </c>
      <c r="E199" s="20" t="n">
        <v>46054</v>
      </c>
      <c r="F199" s="18" t="inlineStr">
        <is>
          <t>Iogurte Abacaxi c/ Coco 120g</t>
        </is>
      </c>
      <c r="G199" s="18" t="inlineStr">
        <is>
          <t>IOGURTE</t>
        </is>
      </c>
      <c r="H199" s="21" t="n">
        <v>0.12</v>
      </c>
      <c r="I199" s="36" t="n">
        <v>2000</v>
      </c>
      <c r="J199" s="21">
        <f>I199*H199</f>
        <v/>
      </c>
      <c r="K199" s="21">
        <f>IFERROR(IF(J199/P199&gt;1,P199,J199),0)</f>
        <v/>
      </c>
      <c r="L199" s="36" t="n">
        <v>2124</v>
      </c>
      <c r="M199" s="21">
        <f>L199*H199</f>
        <v/>
      </c>
      <c r="N199" s="21">
        <f>IFERROR(IF(M199/K199&gt;1,K199,M199),0)</f>
        <v/>
      </c>
      <c r="O199" s="36" t="n">
        <v>2000</v>
      </c>
      <c r="P199" s="21">
        <f>O199*H199</f>
        <v/>
      </c>
      <c r="Q199" s="30">
        <f>IF(MONTH(E199+1)=MONTH(E199+6),MONTH(E199+1),IF(MIN(EOMONTH(E199+1,0),E199+6)-(E199+1)+1&gt;=3,MONTH(E199+1),MONTH(E199+6)))</f>
        <v/>
      </c>
      <c r="R199" s="22">
        <f>IFERROR(K199/P199, 0)</f>
        <v/>
      </c>
      <c r="S199" s="38">
        <f>IFERROR(N199/P199,0)</f>
        <v/>
      </c>
      <c r="T199" s="31">
        <f>IFERROR(IF(N199&gt;0,(N199/K199),MIN(1,M199/J199)),0)</f>
        <v/>
      </c>
      <c r="U199" s="33" t="n"/>
    </row>
    <row r="200" hidden="1" s="40">
      <c r="A200" s="23" t="inlineStr">
        <is>
          <t>Semana 1 - fevereiro</t>
        </is>
      </c>
      <c r="B200" s="27">
        <f>YEAR(E200)</f>
        <v/>
      </c>
      <c r="C200" s="18">
        <f>INDEX({"Janeiro";"Fevereiro";"Março";"Abril";"Maio";"Junho";"Julho";"Agosto";"Setembro";"Outubro";"Novembro";"Dezembro"},Q200)</f>
        <v/>
      </c>
      <c r="D200" s="24" t="n">
        <v>1</v>
      </c>
      <c r="E200" s="25" t="n">
        <v>46054</v>
      </c>
      <c r="F200" s="23" t="inlineStr">
        <is>
          <t>Iogurte Abacaxi c/ Coco 185g</t>
        </is>
      </c>
      <c r="G200" s="23" t="inlineStr">
        <is>
          <t>IOGURTE</t>
        </is>
      </c>
      <c r="H200" s="26" t="n">
        <v>0.185</v>
      </c>
      <c r="I200" s="36" t="n">
        <v>260</v>
      </c>
      <c r="J200" s="21">
        <f>I200*H200</f>
        <v/>
      </c>
      <c r="K200" s="21">
        <f>IFERROR(IF(J200/P200&gt;1,P200,J200),0)</f>
        <v/>
      </c>
      <c r="L200" s="36" t="n">
        <v>249</v>
      </c>
      <c r="M200" s="21">
        <f>L200*H200</f>
        <v/>
      </c>
      <c r="N200" s="21">
        <f>IFERROR(IF(M200/K200&gt;1,K200,M200),0)</f>
        <v/>
      </c>
      <c r="O200" s="36" t="n">
        <v>260</v>
      </c>
      <c r="P200" s="21">
        <f>O200*H200</f>
        <v/>
      </c>
      <c r="Q200" s="30">
        <f>IF(MONTH(E200+1)=MONTH(E200+6),MONTH(E200+1),IF(MIN(EOMONTH(E200+1,0),E200+6)-(E200+1)+1&gt;=3,MONTH(E200+1),MONTH(E200+6)))</f>
        <v/>
      </c>
      <c r="R200" s="22">
        <f>IFERROR(K200/P200, 0)</f>
        <v/>
      </c>
      <c r="S200" s="38">
        <f>IFERROR(N200/P200,0)</f>
        <v/>
      </c>
      <c r="T200" s="31">
        <f>IFERROR(IF(N200&gt;0,(N200/K200),MIN(1,M200/J200)),0)</f>
        <v/>
      </c>
      <c r="U200" s="33" t="n"/>
    </row>
    <row r="201" hidden="1" s="40">
      <c r="A201" s="18" t="inlineStr">
        <is>
          <t>Semana 1 - fevereiro</t>
        </is>
      </c>
      <c r="B201" s="27">
        <f>YEAR(E201)</f>
        <v/>
      </c>
      <c r="C201" s="18">
        <f>INDEX({"Janeiro";"Fevereiro";"Março";"Abril";"Maio";"Junho";"Julho";"Agosto";"Setembro";"Outubro";"Novembro";"Dezembro"},Q201)</f>
        <v/>
      </c>
      <c r="D201" s="19" t="n">
        <v>1</v>
      </c>
      <c r="E201" s="20" t="n">
        <v>46054</v>
      </c>
      <c r="F201" s="18" t="inlineStr">
        <is>
          <t>Iogurte Abacaxi c/ Coco 900g</t>
        </is>
      </c>
      <c r="G201" s="18" t="inlineStr">
        <is>
          <t>IOGURTE</t>
        </is>
      </c>
      <c r="H201" s="21" t="n">
        <v>0.9</v>
      </c>
      <c r="I201" s="36" t="n">
        <v>1350</v>
      </c>
      <c r="J201" s="21">
        <f>I201*H201</f>
        <v/>
      </c>
      <c r="K201" s="21">
        <f>IFERROR(IF(J201/P201&gt;1,P201,J201),0)</f>
        <v/>
      </c>
      <c r="L201" s="36" t="n">
        <v>1341</v>
      </c>
      <c r="M201" s="21">
        <f>L201*H201</f>
        <v/>
      </c>
      <c r="N201" s="21">
        <f>IFERROR(IF(M201/K201&gt;1,K201,M201),0)</f>
        <v/>
      </c>
      <c r="O201" s="36" t="n">
        <v>1300</v>
      </c>
      <c r="P201" s="21">
        <f>O201*H201</f>
        <v/>
      </c>
      <c r="Q201" s="30">
        <f>IF(MONTH(E201+1)=MONTH(E201+6),MONTH(E201+1),IF(MIN(EOMONTH(E201+1,0),E201+6)-(E201+1)+1&gt;=3,MONTH(E201+1),MONTH(E201+6)))</f>
        <v/>
      </c>
      <c r="R201" s="22">
        <f>IFERROR(K201/P201, 0)</f>
        <v/>
      </c>
      <c r="S201" s="38">
        <f>IFERROR(N201/P201,0)</f>
        <v/>
      </c>
      <c r="T201" s="31">
        <f>IFERROR(IF(N201&gt;0,(N201/K201),MIN(1,M201/J201)),0)</f>
        <v/>
      </c>
      <c r="U201" s="33" t="n"/>
    </row>
    <row r="202" hidden="1" s="40">
      <c r="A202" s="18" t="inlineStr">
        <is>
          <t>Semana 1 - fevereiro</t>
        </is>
      </c>
      <c r="B202" s="27">
        <f>YEAR(E202)</f>
        <v/>
      </c>
      <c r="C202" s="18">
        <f>INDEX({"Janeiro";"Fevereiro";"Março";"Abril";"Maio";"Junho";"Julho";"Agosto";"Setembro";"Outubro";"Novembro";"Dezembro"},Q202)</f>
        <v/>
      </c>
      <c r="D202" s="19" t="n">
        <v>1</v>
      </c>
      <c r="E202" s="20" t="n">
        <v>46054</v>
      </c>
      <c r="F202" s="18" t="inlineStr">
        <is>
          <t>Iogurte Coco 120g</t>
        </is>
      </c>
      <c r="G202" s="18" t="inlineStr">
        <is>
          <t>IOGURTE</t>
        </is>
      </c>
      <c r="H202" s="21" t="n">
        <v>0.12</v>
      </c>
      <c r="I202" s="36" t="n">
        <v>5000</v>
      </c>
      <c r="J202" s="21">
        <f>I202*H202</f>
        <v/>
      </c>
      <c r="K202" s="21">
        <f>IFERROR(IF(J202/P202&gt;1,P202,J202),0)</f>
        <v/>
      </c>
      <c r="L202" s="36" t="n">
        <v>5213</v>
      </c>
      <c r="M202" s="21">
        <f>L202*H202</f>
        <v/>
      </c>
      <c r="N202" s="21">
        <f>IFERROR(IF(M202/K202&gt;1,K202,M202),0)</f>
        <v/>
      </c>
      <c r="O202" s="36" t="n">
        <v>5000</v>
      </c>
      <c r="P202" s="21">
        <f>O202*H202</f>
        <v/>
      </c>
      <c r="Q202" s="30">
        <f>IF(MONTH(E202+1)=MONTH(E202+6),MONTH(E202+1),IF(MIN(EOMONTH(E202+1,0),E202+6)-(E202+1)+1&gt;=3,MONTH(E202+1),MONTH(E202+6)))</f>
        <v/>
      </c>
      <c r="R202" s="22">
        <f>IFERROR(K202/P202, 0)</f>
        <v/>
      </c>
      <c r="S202" s="38">
        <f>IFERROR(N202/P202,0)</f>
        <v/>
      </c>
      <c r="T202" s="31">
        <f>IFERROR(IF(N202&gt;0,(N202/K202),MIN(1,M202/J202)),0)</f>
        <v/>
      </c>
      <c r="U202" s="33" t="n"/>
    </row>
    <row r="203" hidden="1" s="40">
      <c r="A203" s="23" t="inlineStr">
        <is>
          <t>Semana 1 - fevereiro</t>
        </is>
      </c>
      <c r="B203" s="27">
        <f>YEAR(E203)</f>
        <v/>
      </c>
      <c r="C203" s="18">
        <f>INDEX({"Janeiro";"Fevereiro";"Março";"Abril";"Maio";"Junho";"Julho";"Agosto";"Setembro";"Outubro";"Novembro";"Dezembro"},Q203)</f>
        <v/>
      </c>
      <c r="D203" s="24" t="n">
        <v>1</v>
      </c>
      <c r="E203" s="25" t="n">
        <v>46054</v>
      </c>
      <c r="F203" s="23" t="inlineStr">
        <is>
          <t>Iogurte Coco 185g</t>
        </is>
      </c>
      <c r="G203" s="23" t="inlineStr">
        <is>
          <t>IOGURTE</t>
        </is>
      </c>
      <c r="H203" s="26" t="n">
        <v>0.185</v>
      </c>
      <c r="I203" s="36" t="n">
        <v>780</v>
      </c>
      <c r="J203" s="21">
        <f>I203*H203</f>
        <v/>
      </c>
      <c r="K203" s="21">
        <f>IFERROR(IF(J203/P203&gt;1,P203,J203),0)</f>
        <v/>
      </c>
      <c r="L203" s="36" t="n">
        <v>763</v>
      </c>
      <c r="M203" s="21">
        <f>L203*H203</f>
        <v/>
      </c>
      <c r="N203" s="21">
        <f>IFERROR(IF(M203/K203&gt;1,K203,M203),0)</f>
        <v/>
      </c>
      <c r="O203" s="36" t="n">
        <v>780</v>
      </c>
      <c r="P203" s="21">
        <f>O203*H203</f>
        <v/>
      </c>
      <c r="Q203" s="30">
        <f>IF(MONTH(E203+1)=MONTH(E203+6),MONTH(E203+1),IF(MIN(EOMONTH(E203+1,0),E203+6)-(E203+1)+1&gt;=3,MONTH(E203+1),MONTH(E203+6)))</f>
        <v/>
      </c>
      <c r="R203" s="22">
        <f>IFERROR(K203/P203, 0)</f>
        <v/>
      </c>
      <c r="S203" s="38">
        <f>IFERROR(N203/P203,0)</f>
        <v/>
      </c>
      <c r="T203" s="31">
        <f>IFERROR(IF(N203&gt;0,(N203/K203),MIN(1,M203/J203)),0)</f>
        <v/>
      </c>
      <c r="U203" s="33" t="n"/>
    </row>
    <row r="204" hidden="1" s="40">
      <c r="A204" s="18" t="inlineStr">
        <is>
          <t>Semana 1 - fevereiro</t>
        </is>
      </c>
      <c r="B204" s="27">
        <f>YEAR(E204)</f>
        <v/>
      </c>
      <c r="C204" s="18">
        <f>INDEX({"Janeiro";"Fevereiro";"Março";"Abril";"Maio";"Junho";"Julho";"Agosto";"Setembro";"Outubro";"Novembro";"Dezembro"},Q204)</f>
        <v/>
      </c>
      <c r="D204" s="19" t="n">
        <v>1</v>
      </c>
      <c r="E204" s="20" t="n">
        <v>46054</v>
      </c>
      <c r="F204" s="18" t="inlineStr">
        <is>
          <t>Iogurte Coco 900g</t>
        </is>
      </c>
      <c r="G204" s="18" t="inlineStr">
        <is>
          <t>IOGURTE</t>
        </is>
      </c>
      <c r="H204" s="21" t="n">
        <v>0.9</v>
      </c>
      <c r="I204" s="36" t="n">
        <v>1800</v>
      </c>
      <c r="J204" s="21">
        <f>I204*H204</f>
        <v/>
      </c>
      <c r="K204" s="21">
        <f>IFERROR(IF(J204/P204&gt;1,P204,J204),0)</f>
        <v/>
      </c>
      <c r="L204" s="36" t="n">
        <v>1682</v>
      </c>
      <c r="M204" s="21">
        <f>L204*H204</f>
        <v/>
      </c>
      <c r="N204" s="21">
        <f>IFERROR(IF(M204/K204&gt;1,K204,M204),0)</f>
        <v/>
      </c>
      <c r="O204" s="36" t="n">
        <v>2100</v>
      </c>
      <c r="P204" s="21">
        <f>O204*H204</f>
        <v/>
      </c>
      <c r="Q204" s="30">
        <f>IF(MONTH(E204+1)=MONTH(E204+6),MONTH(E204+1),IF(MIN(EOMONTH(E204+1,0),E204+6)-(E204+1)+1&gt;=3,MONTH(E204+1),MONTH(E204+6)))</f>
        <v/>
      </c>
      <c r="R204" s="22">
        <f>IFERROR(K204/P204, 0)</f>
        <v/>
      </c>
      <c r="S204" s="38">
        <f>IFERROR(N204/P204,0)</f>
        <v/>
      </c>
      <c r="T204" s="31">
        <f>IFERROR(IF(N204&gt;0,(N204/K204),MIN(1,M204/J204)),0)</f>
        <v/>
      </c>
      <c r="U204" s="33" t="n"/>
    </row>
    <row r="205" hidden="1" s="40">
      <c r="A205" s="23" t="inlineStr">
        <is>
          <t>Semana 1 - fevereiro</t>
        </is>
      </c>
      <c r="B205" s="27">
        <f>YEAR(E205)</f>
        <v/>
      </c>
      <c r="C205" s="18">
        <f>INDEX({"Janeiro";"Fevereiro";"Março";"Abril";"Maio";"Junho";"Julho";"Agosto";"Setembro";"Outubro";"Novembro";"Dezembro"},Q205)</f>
        <v/>
      </c>
      <c r="D205" s="24" t="n">
        <v>1</v>
      </c>
      <c r="E205" s="25" t="n">
        <v>46054</v>
      </c>
      <c r="F205" s="23" t="inlineStr">
        <is>
          <t>Iogurte Grego Frutas vermelhas 120g</t>
        </is>
      </c>
      <c r="G205" s="23" t="inlineStr">
        <is>
          <t>IOGURTE</t>
        </is>
      </c>
      <c r="H205" s="26" t="n">
        <v>0.17</v>
      </c>
      <c r="I205" s="36" t="n">
        <v>1400</v>
      </c>
      <c r="J205" s="21">
        <f>I205*H205</f>
        <v/>
      </c>
      <c r="K205" s="21">
        <f>IFERROR(IF(J205/P205&gt;1,P205,J205),0)</f>
        <v/>
      </c>
      <c r="L205" s="36" t="n">
        <v>1206</v>
      </c>
      <c r="M205" s="21">
        <f>L205*H205</f>
        <v/>
      </c>
      <c r="N205" s="21">
        <f>IFERROR(IF(M205/K205&gt;1,K205,M205),0)</f>
        <v/>
      </c>
      <c r="O205" s="36" t="n">
        <v>1400</v>
      </c>
      <c r="P205" s="21">
        <f>O205*H205</f>
        <v/>
      </c>
      <c r="Q205" s="30">
        <f>IF(MONTH(E205+1)=MONTH(E205+6),MONTH(E205+1),IF(MIN(EOMONTH(E205+1,0),E205+6)-(E205+1)+1&gt;=3,MONTH(E205+1),MONTH(E205+6)))</f>
        <v/>
      </c>
      <c r="R205" s="22">
        <f>IFERROR(K205/P205, 0)</f>
        <v/>
      </c>
      <c r="S205" s="38">
        <f>IFERROR(N205/P205,0)</f>
        <v/>
      </c>
      <c r="T205" s="31">
        <f>IFERROR(IF(N205&gt;0,(N205/K205),MIN(1,M205/J205)),0)</f>
        <v/>
      </c>
      <c r="U205" s="33" t="n"/>
    </row>
    <row r="206" hidden="1" s="40">
      <c r="A206" s="23" t="inlineStr">
        <is>
          <t>Semana 1 - fevereiro</t>
        </is>
      </c>
      <c r="B206" s="27">
        <f>YEAR(E206)</f>
        <v/>
      </c>
      <c r="C206" s="18">
        <f>INDEX({"Janeiro";"Fevereiro";"Março";"Abril";"Maio";"Junho";"Julho";"Agosto";"Setembro";"Outubro";"Novembro";"Dezembro"},Q206)</f>
        <v/>
      </c>
      <c r="D206" s="24" t="n">
        <v>1</v>
      </c>
      <c r="E206" s="25" t="n">
        <v>46054</v>
      </c>
      <c r="F206" s="23" t="inlineStr">
        <is>
          <t>Iogurte Morango 120g</t>
        </is>
      </c>
      <c r="G206" s="23" t="inlineStr">
        <is>
          <t>IOGURTE</t>
        </is>
      </c>
      <c r="H206" s="26" t="n">
        <v>0.12</v>
      </c>
      <c r="I206" s="36" t="n">
        <v>19000</v>
      </c>
      <c r="J206" s="21">
        <f>I206*H206</f>
        <v/>
      </c>
      <c r="K206" s="21">
        <f>IFERROR(IF(J206/P206&gt;1,P206,J206),0)</f>
        <v/>
      </c>
      <c r="L206" s="36" t="n">
        <v>19396</v>
      </c>
      <c r="M206" s="21">
        <f>L206*H206</f>
        <v/>
      </c>
      <c r="N206" s="21">
        <f>IFERROR(IF(M206/K206&gt;1,K206,M206),0)</f>
        <v/>
      </c>
      <c r="O206" s="36" t="n">
        <v>32000</v>
      </c>
      <c r="P206" s="21">
        <f>O206*H206</f>
        <v/>
      </c>
      <c r="Q206" s="30">
        <f>IF(MONTH(E206+1)=MONTH(E206+6),MONTH(E206+1),IF(MIN(EOMONTH(E206+1,0),E206+6)-(E206+1)+1&gt;=3,MONTH(E206+1),MONTH(E206+6)))</f>
        <v/>
      </c>
      <c r="R206" s="22">
        <f>IFERROR(K206/P206, 0)</f>
        <v/>
      </c>
      <c r="S206" s="38">
        <f>IFERROR(N206/P206,0)</f>
        <v/>
      </c>
      <c r="T206" s="31">
        <f>IFERROR(IF(N206&gt;0,(N206/K206),MIN(1,M206/J206)),0)</f>
        <v/>
      </c>
      <c r="U206" s="33" t="n"/>
    </row>
    <row r="207" hidden="1" s="40">
      <c r="A207" s="18" t="inlineStr">
        <is>
          <t>Semana 1 - fevereiro</t>
        </is>
      </c>
      <c r="B207" s="27">
        <f>YEAR(E207)</f>
        <v/>
      </c>
      <c r="C207" s="18">
        <f>INDEX({"Janeiro";"Fevereiro";"Março";"Abril";"Maio";"Junho";"Julho";"Agosto";"Setembro";"Outubro";"Novembro";"Dezembro"},Q207)</f>
        <v/>
      </c>
      <c r="D207" s="19" t="n">
        <v>1</v>
      </c>
      <c r="E207" s="20" t="n">
        <v>46054</v>
      </c>
      <c r="F207" s="18" t="inlineStr">
        <is>
          <t>Iogurte Morango 185g</t>
        </is>
      </c>
      <c r="G207" s="18" t="inlineStr">
        <is>
          <t>IOGURTE</t>
        </is>
      </c>
      <c r="H207" s="21" t="n">
        <v>0.185</v>
      </c>
      <c r="I207" s="36" t="n">
        <v>1560</v>
      </c>
      <c r="J207" s="21">
        <f>I207*H207</f>
        <v/>
      </c>
      <c r="K207" s="21">
        <f>IFERROR(IF(J207/P207&gt;1,P207,J207),0)</f>
        <v/>
      </c>
      <c r="L207" s="36" t="n">
        <v>1296</v>
      </c>
      <c r="M207" s="21">
        <f>L207*H207</f>
        <v/>
      </c>
      <c r="N207" s="21">
        <f>IFERROR(IF(M207/K207&gt;1,K207,M207),0)</f>
        <v/>
      </c>
      <c r="O207" s="36" t="n">
        <v>1560</v>
      </c>
      <c r="P207" s="21">
        <f>O207*H207</f>
        <v/>
      </c>
      <c r="Q207" s="30">
        <f>IF(MONTH(E207+1)=MONTH(E207+6),MONTH(E207+1),IF(MIN(EOMONTH(E207+1,0),E207+6)-(E207+1)+1&gt;=3,MONTH(E207+1),MONTH(E207+6)))</f>
        <v/>
      </c>
      <c r="R207" s="22">
        <f>IFERROR(K207/P207, 0)</f>
        <v/>
      </c>
      <c r="S207" s="38">
        <f>IFERROR(N207/P207,0)</f>
        <v/>
      </c>
      <c r="T207" s="31">
        <f>IFERROR(IF(N207&gt;0,(N207/K207),MIN(1,M207/J207)),0)</f>
        <v/>
      </c>
      <c r="U207" s="33" t="n"/>
    </row>
    <row r="208" hidden="1" s="40">
      <c r="A208" s="23" t="inlineStr">
        <is>
          <t>Semana 1 - fevereiro</t>
        </is>
      </c>
      <c r="B208" s="27">
        <f>YEAR(E208)</f>
        <v/>
      </c>
      <c r="C208" s="18">
        <f>INDEX({"Janeiro";"Fevereiro";"Março";"Abril";"Maio";"Junho";"Julho";"Agosto";"Setembro";"Outubro";"Novembro";"Dezembro"},Q208)</f>
        <v/>
      </c>
      <c r="D208" s="24" t="n">
        <v>1</v>
      </c>
      <c r="E208" s="25" t="n">
        <v>46054</v>
      </c>
      <c r="F208" s="23" t="inlineStr">
        <is>
          <t>Iogurte Morango 900G</t>
        </is>
      </c>
      <c r="G208" s="23" t="inlineStr">
        <is>
          <t>IOGURTE</t>
        </is>
      </c>
      <c r="H208" s="26" t="n">
        <v>0.9</v>
      </c>
      <c r="I208" s="36" t="n">
        <v>3060</v>
      </c>
      <c r="J208" s="21">
        <f>I208*H208</f>
        <v/>
      </c>
      <c r="K208" s="21">
        <f>IFERROR(IF(J208/P208&gt;1,P208,J208),0)</f>
        <v/>
      </c>
      <c r="L208" s="36" t="n">
        <v>3053</v>
      </c>
      <c r="M208" s="21">
        <f>L208*H208</f>
        <v/>
      </c>
      <c r="N208" s="21">
        <f>IFERROR(IF(M208/K208&gt;1,K208,M208),0)</f>
        <v/>
      </c>
      <c r="O208" s="36" t="n">
        <v>4200</v>
      </c>
      <c r="P208" s="21">
        <f>O208*H208</f>
        <v/>
      </c>
      <c r="Q208" s="30">
        <f>IF(MONTH(E208+1)=MONTH(E208+6),MONTH(E208+1),IF(MIN(EOMONTH(E208+1,0),E208+6)-(E208+1)+1&gt;=3,MONTH(E208+1),MONTH(E208+6)))</f>
        <v/>
      </c>
      <c r="R208" s="22">
        <f>IFERROR(K208/P208, 0)</f>
        <v/>
      </c>
      <c r="S208" s="38">
        <f>IFERROR(N208/P208,0)</f>
        <v/>
      </c>
      <c r="T208" s="31">
        <f>IFERROR(IF(N208&gt;0,(N208/K208),MIN(1,M208/J208)),0)</f>
        <v/>
      </c>
      <c r="U208" s="33" t="n"/>
    </row>
    <row r="209" hidden="1" s="40">
      <c r="A209" s="18" t="inlineStr">
        <is>
          <t>Semana 1 - fevereiro</t>
        </is>
      </c>
      <c r="B209" s="27">
        <f>YEAR(E209)</f>
        <v/>
      </c>
      <c r="C209" s="18">
        <f>INDEX({"Janeiro";"Fevereiro";"Março";"Abril";"Maio";"Junho";"Julho";"Agosto";"Setembro";"Outubro";"Novembro";"Dezembro"},Q209)</f>
        <v/>
      </c>
      <c r="D209" s="19" t="n">
        <v>1</v>
      </c>
      <c r="E209" s="20" t="n">
        <v>46054</v>
      </c>
      <c r="F209" s="18" t="inlineStr">
        <is>
          <t>Iogurte Natural Integral 170g</t>
        </is>
      </c>
      <c r="G209" s="18" t="inlineStr">
        <is>
          <t>IOGURTE</t>
        </is>
      </c>
      <c r="H209" s="21" t="n">
        <v>0.17</v>
      </c>
      <c r="I209" s="36" t="n">
        <v>3820</v>
      </c>
      <c r="J209" s="21">
        <f>I209*H209</f>
        <v/>
      </c>
      <c r="K209" s="21">
        <f>IFERROR(IF(J209/P209&gt;1,P209,J209),0)</f>
        <v/>
      </c>
      <c r="L209" s="36" t="n">
        <v>3471</v>
      </c>
      <c r="M209" s="21">
        <f>L209*H209</f>
        <v/>
      </c>
      <c r="N209" s="21">
        <f>IFERROR(IF(M209/K209&gt;1,K209,M209),0)</f>
        <v/>
      </c>
      <c r="O209" s="36" t="n">
        <v>3800</v>
      </c>
      <c r="P209" s="21">
        <f>O209*H209</f>
        <v/>
      </c>
      <c r="Q209" s="30">
        <f>IF(MONTH(E209+1)=MONTH(E209+6),MONTH(E209+1),IF(MIN(EOMONTH(E209+1,0),E209+6)-(E209+1)+1&gt;=3,MONTH(E209+1),MONTH(E209+6)))</f>
        <v/>
      </c>
      <c r="R209" s="22">
        <f>IFERROR(K209/P209, 0)</f>
        <v/>
      </c>
      <c r="S209" s="38">
        <f>IFERROR(N209/P209,0)</f>
        <v/>
      </c>
      <c r="T209" s="31">
        <f>IFERROR(IF(N209&gt;0,(N209/K209),MIN(1,M209/J209)),0)</f>
        <v/>
      </c>
      <c r="U209" s="33" t="n"/>
    </row>
    <row r="210" hidden="1" s="40">
      <c r="A210" s="23" t="inlineStr">
        <is>
          <t>Semana 1 - fevereiro</t>
        </is>
      </c>
      <c r="B210" s="27">
        <f>YEAR(E210)</f>
        <v/>
      </c>
      <c r="C210" s="18">
        <f>INDEX({"Janeiro";"Fevereiro";"Março";"Abril";"Maio";"Junho";"Julho";"Agosto";"Setembro";"Outubro";"Novembro";"Dezembro"},Q210)</f>
        <v/>
      </c>
      <c r="D210" s="24" t="n">
        <v>1</v>
      </c>
      <c r="E210" s="25" t="n">
        <v>46054</v>
      </c>
      <c r="F210" s="23" t="inlineStr">
        <is>
          <t>Iogurte Natural Triplo Zero 170g</t>
        </is>
      </c>
      <c r="G210" s="23" t="inlineStr">
        <is>
          <t>IOGURTE</t>
        </is>
      </c>
      <c r="H210" s="26" t="n">
        <v>0.17</v>
      </c>
      <c r="I210" s="36" t="n">
        <v>3820</v>
      </c>
      <c r="J210" s="21">
        <f>I210*H210</f>
        <v/>
      </c>
      <c r="K210" s="21">
        <f>IFERROR(IF(J210/P210&gt;1,P210,J210),0)</f>
        <v/>
      </c>
      <c r="L210" s="36" t="n">
        <v>3386</v>
      </c>
      <c r="M210" s="21">
        <f>L210*H210</f>
        <v/>
      </c>
      <c r="N210" s="21">
        <f>IFERROR(IF(M210/K210&gt;1,K210,M210),0)</f>
        <v/>
      </c>
      <c r="O210" s="36" t="n">
        <v>3800</v>
      </c>
      <c r="P210" s="21">
        <f>O210*H210</f>
        <v/>
      </c>
      <c r="Q210" s="30">
        <f>IF(MONTH(E210+1)=MONTH(E210+6),MONTH(E210+1),IF(MIN(EOMONTH(E210+1,0),E210+6)-(E210+1)+1&gt;=3,MONTH(E210+1),MONTH(E210+6)))</f>
        <v/>
      </c>
      <c r="R210" s="22">
        <f>IFERROR(K210/P210, 0)</f>
        <v/>
      </c>
      <c r="S210" s="38">
        <f>IFERROR(N210/P210,0)</f>
        <v/>
      </c>
      <c r="T210" s="31">
        <f>IFERROR(IF(N210&gt;0,(N210/K210),MIN(1,M210/J210)),0)</f>
        <v/>
      </c>
      <c r="U210" s="33" t="n"/>
    </row>
    <row r="211" hidden="1" s="40">
      <c r="A211" s="23" t="inlineStr">
        <is>
          <t>Semana 1 - fevereiro</t>
        </is>
      </c>
      <c r="B211" s="27">
        <f>YEAR(E211)</f>
        <v/>
      </c>
      <c r="C211" s="18">
        <f>INDEX({"Janeiro";"Fevereiro";"Março";"Abril";"Maio";"Junho";"Julho";"Agosto";"Setembro";"Outubro";"Novembro";"Dezembro"},Q211)</f>
        <v/>
      </c>
      <c r="D211" s="24" t="n">
        <v>1</v>
      </c>
      <c r="E211" s="25" t="n">
        <v>46054</v>
      </c>
      <c r="F211" s="23" t="inlineStr">
        <is>
          <t>Iogurte Salada 120g</t>
        </is>
      </c>
      <c r="G211" s="23" t="inlineStr">
        <is>
          <t>IOGURTE</t>
        </is>
      </c>
      <c r="H211" s="26" t="n">
        <v>0.12</v>
      </c>
      <c r="I211" s="36" t="n">
        <v>1000</v>
      </c>
      <c r="J211" s="21">
        <f>I211*H211</f>
        <v/>
      </c>
      <c r="K211" s="21">
        <f>IFERROR(IF(J211/P211&gt;1,P211,J211),0)</f>
        <v/>
      </c>
      <c r="L211" s="36" t="n">
        <v>1153</v>
      </c>
      <c r="M211" s="21">
        <f>L211*H211</f>
        <v/>
      </c>
      <c r="N211" s="21">
        <f>IFERROR(IF(M211/K211&gt;1,K211,M211),0)</f>
        <v/>
      </c>
      <c r="O211" s="36" t="n">
        <v>1000</v>
      </c>
      <c r="P211" s="21">
        <f>O211*H211</f>
        <v/>
      </c>
      <c r="Q211" s="30">
        <f>IF(MONTH(E211+1)=MONTH(E211+6),MONTH(E211+1),IF(MIN(EOMONTH(E211+1,0),E211+6)-(E211+1)+1&gt;=3,MONTH(E211+1),MONTH(E211+6)))</f>
        <v/>
      </c>
      <c r="R211" s="22">
        <f>IFERROR(K211/P211, 0)</f>
        <v/>
      </c>
      <c r="S211" s="38">
        <f>IFERROR(N211/P211,0)</f>
        <v/>
      </c>
      <c r="T211" s="31">
        <f>IFERROR(IF(N211&gt;0,(N211/K211),MIN(1,M211/J211)),0)</f>
        <v/>
      </c>
      <c r="U211" s="33" t="n"/>
    </row>
    <row r="212" hidden="1" s="40">
      <c r="A212" s="18" t="inlineStr">
        <is>
          <t>Semana 1 - fevereiro</t>
        </is>
      </c>
      <c r="B212" s="27">
        <f>YEAR(E212)</f>
        <v/>
      </c>
      <c r="C212" s="18">
        <f>INDEX({"Janeiro";"Fevereiro";"Março";"Abril";"Maio";"Junho";"Julho";"Agosto";"Setembro";"Outubro";"Novembro";"Dezembro"},Q212)</f>
        <v/>
      </c>
      <c r="D212" s="19" t="n">
        <v>1</v>
      </c>
      <c r="E212" s="20" t="n">
        <v>46054</v>
      </c>
      <c r="F212" s="18" t="inlineStr">
        <is>
          <t>Iogurte Salada 185g</t>
        </is>
      </c>
      <c r="G212" s="18" t="inlineStr">
        <is>
          <t>IOGURTE</t>
        </is>
      </c>
      <c r="H212" s="21" t="n">
        <v>0.185</v>
      </c>
      <c r="I212" s="36" t="n">
        <v>520</v>
      </c>
      <c r="J212" s="21">
        <f>I212*H212</f>
        <v/>
      </c>
      <c r="K212" s="21">
        <f>IFERROR(IF(J212/P212&gt;1,P212,J212),0)</f>
        <v/>
      </c>
      <c r="L212" s="36" t="n">
        <v>520</v>
      </c>
      <c r="M212" s="21">
        <f>L212*H212</f>
        <v/>
      </c>
      <c r="N212" s="21">
        <f>IFERROR(IF(M212/K212&gt;1,K212,M212),0)</f>
        <v/>
      </c>
      <c r="O212" s="36" t="n">
        <v>520</v>
      </c>
      <c r="P212" s="21">
        <f>O212*H212</f>
        <v/>
      </c>
      <c r="Q212" s="30">
        <f>IF(MONTH(E212+1)=MONTH(E212+6),MONTH(E212+1),IF(MIN(EOMONTH(E212+1,0),E212+6)-(E212+1)+1&gt;=3,MONTH(E212+1),MONTH(E212+6)))</f>
        <v/>
      </c>
      <c r="R212" s="22">
        <f>IFERROR(K212/P212, 0)</f>
        <v/>
      </c>
      <c r="S212" s="38">
        <f>IFERROR(N212/P212,0)</f>
        <v/>
      </c>
      <c r="T212" s="31">
        <f>IFERROR(IF(N212&gt;0,(N212/K212),MIN(1,M212/J212)),0)</f>
        <v/>
      </c>
      <c r="U212" s="33" t="n"/>
    </row>
    <row r="213" hidden="1" s="40">
      <c r="A213" s="23" t="inlineStr">
        <is>
          <t>Semana 1 - fevereiro</t>
        </is>
      </c>
      <c r="B213" s="27">
        <f>YEAR(E213)</f>
        <v/>
      </c>
      <c r="C213" s="18">
        <f>INDEX({"Janeiro";"Fevereiro";"Março";"Abril";"Maio";"Junho";"Julho";"Agosto";"Setembro";"Outubro";"Novembro";"Dezembro"},Q213)</f>
        <v/>
      </c>
      <c r="D213" s="24" t="n">
        <v>1</v>
      </c>
      <c r="E213" s="25" t="n">
        <v>46054</v>
      </c>
      <c r="F213" s="23" t="inlineStr">
        <is>
          <t>Iogurte Salada 900g</t>
        </is>
      </c>
      <c r="G213" s="23" t="inlineStr">
        <is>
          <t>IOGURTE</t>
        </is>
      </c>
      <c r="H213" s="26" t="n">
        <v>0.9</v>
      </c>
      <c r="I213" s="36" t="n">
        <v>2340</v>
      </c>
      <c r="J213" s="21">
        <f>I213*H213</f>
        <v/>
      </c>
      <c r="K213" s="21">
        <f>IFERROR(IF(J213/P213&gt;1,P213,J213),0)</f>
        <v/>
      </c>
      <c r="L213" s="36" t="n">
        <v>2375</v>
      </c>
      <c r="M213" s="21">
        <f>L213*H213</f>
        <v/>
      </c>
      <c r="N213" s="21">
        <f>IFERROR(IF(M213/K213&gt;1,K213,M213),0)</f>
        <v/>
      </c>
      <c r="O213" s="36" t="n">
        <v>2100</v>
      </c>
      <c r="P213" s="21">
        <f>O213*H213</f>
        <v/>
      </c>
      <c r="Q213" s="30">
        <f>IF(MONTH(E213+1)=MONTH(E213+6),MONTH(E213+1),IF(MIN(EOMONTH(E213+1,0),E213+6)-(E213+1)+1&gt;=3,MONTH(E213+1),MONTH(E213+6)))</f>
        <v/>
      </c>
      <c r="R213" s="22">
        <f>IFERROR(K213/P213, 0)</f>
        <v/>
      </c>
      <c r="S213" s="38">
        <f>IFERROR(N213/P213,0)</f>
        <v/>
      </c>
      <c r="T213" s="31">
        <f>IFERROR(IF(N213&gt;0,(N213/K213),MIN(1,M213/J213)),0)</f>
        <v/>
      </c>
      <c r="U213" s="33" t="n"/>
    </row>
    <row r="214" hidden="1" s="40">
      <c r="A214" s="18" t="inlineStr">
        <is>
          <t>Semana 1 - fevereiro</t>
        </is>
      </c>
      <c r="B214" s="27">
        <f>YEAR(E214)</f>
        <v/>
      </c>
      <c r="C214" s="18">
        <f>INDEX({"Janeiro";"Fevereiro";"Março";"Abril";"Maio";"Junho";"Julho";"Agosto";"Setembro";"Outubro";"Novembro";"Dezembro"},Q214)</f>
        <v/>
      </c>
      <c r="D214" s="19" t="n">
        <v>1</v>
      </c>
      <c r="E214" s="20" t="n">
        <v>46054</v>
      </c>
      <c r="F214" s="18" t="inlineStr">
        <is>
          <t>Iogurte Vida Leve Ameixa c/ Grãos 180g</t>
        </is>
      </c>
      <c r="G214" s="18" t="inlineStr">
        <is>
          <t>IOGURTE</t>
        </is>
      </c>
      <c r="H214" s="21" t="n">
        <v>0.18</v>
      </c>
      <c r="I214" s="36" t="n">
        <v>1100</v>
      </c>
      <c r="J214" s="21">
        <f>I214*H214</f>
        <v/>
      </c>
      <c r="K214" s="21">
        <f>IFERROR(IF(J214/P214&gt;1,P214,J214),0)</f>
        <v/>
      </c>
      <c r="L214" s="36" t="n">
        <v>1287</v>
      </c>
      <c r="M214" s="21">
        <f>L214*H214</f>
        <v/>
      </c>
      <c r="N214" s="21">
        <f>IFERROR(IF(M214/K214&gt;1,K214,M214),0)</f>
        <v/>
      </c>
      <c r="O214" s="36" t="n">
        <v>1100</v>
      </c>
      <c r="P214" s="21">
        <f>O214*H214</f>
        <v/>
      </c>
      <c r="Q214" s="30">
        <f>IF(MONTH(E214+1)=MONTH(E214+6),MONTH(E214+1),IF(MIN(EOMONTH(E214+1,0),E214+6)-(E214+1)+1&gt;=3,MONTH(E214+1),MONTH(E214+6)))</f>
        <v/>
      </c>
      <c r="R214" s="22">
        <f>IFERROR(K214/P214, 0)</f>
        <v/>
      </c>
      <c r="S214" s="38">
        <f>IFERROR(N214/P214,0)</f>
        <v/>
      </c>
      <c r="T214" s="31">
        <f>IFERROR(IF(N214&gt;0,(N214/K214),MIN(1,M214/J214)),0)</f>
        <v/>
      </c>
      <c r="U214" s="33" t="n"/>
    </row>
    <row r="215" hidden="1" s="40">
      <c r="A215" s="23" t="inlineStr">
        <is>
          <t>Semana 1 - fevereiro</t>
        </is>
      </c>
      <c r="B215" s="27">
        <f>YEAR(E215)</f>
        <v/>
      </c>
      <c r="C215" s="18">
        <f>INDEX({"Janeiro";"Fevereiro";"Março";"Abril";"Maio";"Junho";"Julho";"Agosto";"Setembro";"Outubro";"Novembro";"Dezembro"},Q215)</f>
        <v/>
      </c>
      <c r="D215" s="24" t="n">
        <v>1</v>
      </c>
      <c r="E215" s="25" t="n">
        <v>46054</v>
      </c>
      <c r="F215" s="23" t="inlineStr">
        <is>
          <t>Iogurte Vida Leve Ameixa c/ Grãos 500g</t>
        </is>
      </c>
      <c r="G215" s="23" t="inlineStr">
        <is>
          <t>IOGURTE</t>
        </is>
      </c>
      <c r="H215" s="26" t="n">
        <v>0.5</v>
      </c>
      <c r="I215" s="36" t="n">
        <v>1200</v>
      </c>
      <c r="J215" s="21">
        <f>I215*H215</f>
        <v/>
      </c>
      <c r="K215" s="21">
        <f>IFERROR(IF(J215/P215&gt;1,P215,J215),0)</f>
        <v/>
      </c>
      <c r="L215" s="36" t="n">
        <v>1306</v>
      </c>
      <c r="M215" s="21">
        <f>L215*H215</f>
        <v/>
      </c>
      <c r="N215" s="21">
        <f>IFERROR(IF(M215/K215&gt;1,K215,M215),0)</f>
        <v/>
      </c>
      <c r="O215" s="36" t="n">
        <v>1200</v>
      </c>
      <c r="P215" s="21">
        <f>O215*H215</f>
        <v/>
      </c>
      <c r="Q215" s="30">
        <f>IF(MONTH(E215+1)=MONTH(E215+6),MONTH(E215+1),IF(MIN(EOMONTH(E215+1,0),E215+6)-(E215+1)+1&gt;=3,MONTH(E215+1),MONTH(E215+6)))</f>
        <v/>
      </c>
      <c r="R215" s="22">
        <f>IFERROR(K215/P215, 0)</f>
        <v/>
      </c>
      <c r="S215" s="38">
        <f>IFERROR(N215/P215,0)</f>
        <v/>
      </c>
      <c r="T215" s="31">
        <f>IFERROR(IF(N215&gt;0,(N215/K215),MIN(1,M215/J215)),0)</f>
        <v/>
      </c>
      <c r="U215" s="33" t="n"/>
    </row>
    <row r="216" hidden="1" s="40">
      <c r="A216" s="18" t="inlineStr">
        <is>
          <t>Semana 1 - fevereiro</t>
        </is>
      </c>
      <c r="B216" s="27">
        <f>YEAR(E216)</f>
        <v/>
      </c>
      <c r="C216" s="18">
        <f>INDEX({"Janeiro";"Fevereiro";"Março";"Abril";"Maio";"Junho";"Julho";"Agosto";"Setembro";"Outubro";"Novembro";"Dezembro"},Q216)</f>
        <v/>
      </c>
      <c r="D216" s="19" t="n">
        <v>1</v>
      </c>
      <c r="E216" s="20" t="n">
        <v>46054</v>
      </c>
      <c r="F216" s="18" t="inlineStr">
        <is>
          <t>Iogurte Vida Leve Morango 180g</t>
        </is>
      </c>
      <c r="G216" s="18" t="inlineStr">
        <is>
          <t>IOGURTE</t>
        </is>
      </c>
      <c r="H216" s="21" t="n">
        <v>0.185</v>
      </c>
      <c r="I216" s="36" t="n">
        <v>1500</v>
      </c>
      <c r="J216" s="21">
        <f>I216*H216</f>
        <v/>
      </c>
      <c r="K216" s="21">
        <f>IFERROR(IF(J216/P216&gt;1,P216,J216),0)</f>
        <v/>
      </c>
      <c r="L216" s="36" t="n">
        <v>1539</v>
      </c>
      <c r="M216" s="21">
        <f>L216*H216</f>
        <v/>
      </c>
      <c r="N216" s="21">
        <f>IFERROR(IF(M216/K216&gt;1,K216,M216),0)</f>
        <v/>
      </c>
      <c r="O216" s="36" t="n">
        <v>1500</v>
      </c>
      <c r="P216" s="21">
        <f>O216*H216</f>
        <v/>
      </c>
      <c r="Q216" s="30">
        <f>IF(MONTH(E216+1)=MONTH(E216+6),MONTH(E216+1),IF(MIN(EOMONTH(E216+1,0),E216+6)-(E216+1)+1&gt;=3,MONTH(E216+1),MONTH(E216+6)))</f>
        <v/>
      </c>
      <c r="R216" s="22">
        <f>IFERROR(K216/P216, 0)</f>
        <v/>
      </c>
      <c r="S216" s="38">
        <f>IFERROR(N216/P216,0)</f>
        <v/>
      </c>
      <c r="T216" s="31">
        <f>IFERROR(IF(N216&gt;0,(N216/K216),MIN(1,M216/J216)),0)</f>
        <v/>
      </c>
      <c r="U216" s="33" t="n"/>
    </row>
    <row r="217" hidden="1" s="40">
      <c r="A217" s="23" t="inlineStr">
        <is>
          <t>Semana 1 - fevereiro</t>
        </is>
      </c>
      <c r="B217" s="27">
        <f>YEAR(E217)</f>
        <v/>
      </c>
      <c r="C217" s="18">
        <f>INDEX({"Janeiro";"Fevereiro";"Março";"Abril";"Maio";"Junho";"Julho";"Agosto";"Setembro";"Outubro";"Novembro";"Dezembro"},Q217)</f>
        <v/>
      </c>
      <c r="D217" s="24" t="n">
        <v>1</v>
      </c>
      <c r="E217" s="25" t="n">
        <v>46054</v>
      </c>
      <c r="F217" s="23" t="inlineStr">
        <is>
          <t>Iogurte Vida Leve Morango 500g</t>
        </is>
      </c>
      <c r="G217" s="23" t="inlineStr">
        <is>
          <t>IOGURTE</t>
        </is>
      </c>
      <c r="H217" s="26" t="n">
        <v>0.5</v>
      </c>
      <c r="I217" s="36" t="n">
        <v>2000</v>
      </c>
      <c r="J217" s="21">
        <f>I217*H217</f>
        <v/>
      </c>
      <c r="K217" s="21">
        <f>IFERROR(IF(J217/P217&gt;1,P217,J217),0)</f>
        <v/>
      </c>
      <c r="L217" s="36" t="n">
        <v>2302</v>
      </c>
      <c r="M217" s="21">
        <f>L217*H217</f>
        <v/>
      </c>
      <c r="N217" s="21">
        <f>IFERROR(IF(M217/K217&gt;1,K217,M217),0)</f>
        <v/>
      </c>
      <c r="O217" s="36" t="n">
        <v>2000</v>
      </c>
      <c r="P217" s="21">
        <f>O217*H217</f>
        <v/>
      </c>
      <c r="Q217" s="30">
        <f>IF(MONTH(E217+1)=MONTH(E217+6),MONTH(E217+1),IF(MIN(EOMONTH(E217+1,0),E217+6)-(E217+1)+1&gt;=3,MONTH(E217+1),MONTH(E217+6)))</f>
        <v/>
      </c>
      <c r="R217" s="22">
        <f>IFERROR(K217/P217, 0)</f>
        <v/>
      </c>
      <c r="S217" s="38">
        <f>IFERROR(N217/P217,0)</f>
        <v/>
      </c>
      <c r="T217" s="31">
        <f>IFERROR(IF(N217&gt;0,(N217/K217),MIN(1,M217/J217)),0)</f>
        <v/>
      </c>
      <c r="U217" s="33" t="n"/>
    </row>
    <row r="218" hidden="1" s="40">
      <c r="A218" s="18" t="inlineStr">
        <is>
          <t>Semana 1 - fevereiro</t>
        </is>
      </c>
      <c r="B218" s="27">
        <f>YEAR(E218)</f>
        <v/>
      </c>
      <c r="C218" s="18">
        <f>INDEX({"Janeiro";"Fevereiro";"Março";"Abril";"Maio";"Junho";"Julho";"Agosto";"Setembro";"Outubro";"Novembro";"Dezembro"},Q218)</f>
        <v/>
      </c>
      <c r="D218" s="19" t="n">
        <v>1</v>
      </c>
      <c r="E218" s="20" t="n">
        <v>46054</v>
      </c>
      <c r="F218" s="18" t="inlineStr">
        <is>
          <t>LEITE PASTEURIZADO VIÇOSA DESNATADO</t>
        </is>
      </c>
      <c r="G218" s="18" t="inlineStr">
        <is>
          <t>LEITE PAST.</t>
        </is>
      </c>
      <c r="H218" s="21" t="n">
        <v>1</v>
      </c>
      <c r="I218" s="36" t="n">
        <v>550</v>
      </c>
      <c r="J218" s="21">
        <f>I218*H218</f>
        <v/>
      </c>
      <c r="K218" s="21">
        <f>IFERROR(IF(J218/P218&gt;1,P218,J218),0)</f>
        <v/>
      </c>
      <c r="L218" s="36" t="n">
        <v>550</v>
      </c>
      <c r="M218" s="21">
        <f>L218*H218</f>
        <v/>
      </c>
      <c r="N218" s="21">
        <f>IFERROR(IF(M218/K218&gt;1,K218,M218),0)</f>
        <v/>
      </c>
      <c r="O218" s="36" t="n">
        <v>550</v>
      </c>
      <c r="P218" s="21">
        <f>O218*H218</f>
        <v/>
      </c>
      <c r="Q218" s="30">
        <f>IF(MONTH(E218+1)=MONTH(E218+6),MONTH(E218+1),IF(MIN(EOMONTH(E218+1,0),E218+6)-(E218+1)+1&gt;=3,MONTH(E218+1),MONTH(E218+6)))</f>
        <v/>
      </c>
      <c r="R218" s="22">
        <f>IFERROR(K218/P218, 0)</f>
        <v/>
      </c>
      <c r="S218" s="38">
        <f>IFERROR(N218/P218,0)</f>
        <v/>
      </c>
      <c r="T218" s="31">
        <f>IFERROR(IF(N218&gt;0,(N218/K218),MIN(1,M218/J218)),0)</f>
        <v/>
      </c>
      <c r="U218" s="33" t="n"/>
    </row>
    <row r="219" hidden="1" s="40">
      <c r="A219" s="23" t="inlineStr">
        <is>
          <t>Semana 1 - fevereiro</t>
        </is>
      </c>
      <c r="B219" s="27">
        <f>YEAR(E219)</f>
        <v/>
      </c>
      <c r="C219" s="18">
        <f>INDEX({"Janeiro";"Fevereiro";"Março";"Abril";"Maio";"Junho";"Julho";"Agosto";"Setembro";"Outubro";"Novembro";"Dezembro"},Q219)</f>
        <v/>
      </c>
      <c r="D219" s="24" t="n">
        <v>1</v>
      </c>
      <c r="E219" s="25" t="n">
        <v>46054</v>
      </c>
      <c r="F219" s="23" t="inlineStr">
        <is>
          <t>LEITE PASTEURIZADO VIÇOSA INTEGRAL</t>
        </is>
      </c>
      <c r="G219" s="23" t="inlineStr">
        <is>
          <t>LEITE PAST.</t>
        </is>
      </c>
      <c r="H219" s="26" t="n">
        <v>1</v>
      </c>
      <c r="I219" s="36" t="n">
        <v>17740</v>
      </c>
      <c r="J219" s="21">
        <f>I219*H219</f>
        <v/>
      </c>
      <c r="K219" s="21">
        <f>IFERROR(IF(J219/P219&gt;1,P219,J219),0)</f>
        <v/>
      </c>
      <c r="L219" s="36" t="n">
        <v>17740</v>
      </c>
      <c r="M219" s="21">
        <f>L219*H219</f>
        <v/>
      </c>
      <c r="N219" s="21">
        <f>IFERROR(IF(M219/K219&gt;1,K219,M219),0)</f>
        <v/>
      </c>
      <c r="O219" s="36" t="n">
        <v>17740</v>
      </c>
      <c r="P219" s="21">
        <f>O219*H219</f>
        <v/>
      </c>
      <c r="Q219" s="30">
        <f>IF(MONTH(E219+1)=MONTH(E219+6),MONTH(E219+1),IF(MIN(EOMONTH(E219+1,0),E219+6)-(E219+1)+1&gt;=3,MONTH(E219+1),MONTH(E219+6)))</f>
        <v/>
      </c>
      <c r="R219" s="22">
        <f>IFERROR(K219/P219, 0)</f>
        <v/>
      </c>
      <c r="S219" s="38">
        <f>IFERROR(N219/P219,0)</f>
        <v/>
      </c>
      <c r="T219" s="31">
        <f>IFERROR(IF(N219&gt;0,(N219/K219),MIN(1,M219/J219)),0)</f>
        <v/>
      </c>
      <c r="U219" s="33" t="n"/>
    </row>
    <row r="220" hidden="1" s="40">
      <c r="A220" s="18" t="inlineStr">
        <is>
          <t>Semana 1 - fevereiro</t>
        </is>
      </c>
      <c r="B220" s="27">
        <f>YEAR(E220)</f>
        <v/>
      </c>
      <c r="C220" s="18">
        <f>INDEX({"Janeiro";"Fevereiro";"Março";"Abril";"Maio";"Junho";"Julho";"Agosto";"Setembro";"Outubro";"Novembro";"Dezembro"},Q220)</f>
        <v/>
      </c>
      <c r="D220" s="19" t="n">
        <v>1</v>
      </c>
      <c r="E220" s="20" t="n">
        <v>46054</v>
      </c>
      <c r="F220" s="18" t="inlineStr">
        <is>
          <t>LEITE PASTEURIZADO VIÇOSA ZERO LACTOSE INTEGRAL 1 L</t>
        </is>
      </c>
      <c r="G220" s="18" t="inlineStr">
        <is>
          <t>LEITE PAST.</t>
        </is>
      </c>
      <c r="H220" s="21" t="n">
        <v>1</v>
      </c>
      <c r="I220" s="36" t="n">
        <v>592</v>
      </c>
      <c r="J220" s="21">
        <f>I220*H220</f>
        <v/>
      </c>
      <c r="K220" s="21">
        <f>IFERROR(IF(J220/P220&gt;1,P220,J220),0)</f>
        <v/>
      </c>
      <c r="L220" s="36" t="n">
        <v>592</v>
      </c>
      <c r="M220" s="21">
        <f>L220*H220</f>
        <v/>
      </c>
      <c r="N220" s="21">
        <f>IFERROR(IF(M220/K220&gt;1,K220,M220),0)</f>
        <v/>
      </c>
      <c r="O220" s="36" t="n">
        <v>592</v>
      </c>
      <c r="P220" s="21">
        <f>O220*H220</f>
        <v/>
      </c>
      <c r="Q220" s="30">
        <f>IF(MONTH(E220+1)=MONTH(E220+6),MONTH(E220+1),IF(MIN(EOMONTH(E220+1,0),E220+6)-(E220+1)+1&gt;=3,MONTH(E220+1),MONTH(E220+6)))</f>
        <v/>
      </c>
      <c r="R220" s="22">
        <f>IFERROR(K220/P220, 0)</f>
        <v/>
      </c>
      <c r="S220" s="38">
        <f>IFERROR(N220/P220,0)</f>
        <v/>
      </c>
      <c r="T220" s="31">
        <f>IFERROR(IF(N220&gt;0,(N220/K220),MIN(1,M220/J220)),0)</f>
        <v/>
      </c>
      <c r="U220" s="33" t="n"/>
    </row>
    <row r="221" hidden="1" s="40">
      <c r="A221" s="23" t="inlineStr">
        <is>
          <t>Semana 1 - fevereiro</t>
        </is>
      </c>
      <c r="B221" s="27">
        <f>YEAR(E221)</f>
        <v/>
      </c>
      <c r="C221" s="18">
        <f>INDEX({"Janeiro";"Fevereiro";"Março";"Abril";"Maio";"Junho";"Julho";"Agosto";"Setembro";"Outubro";"Novembro";"Dezembro"},Q221)</f>
        <v/>
      </c>
      <c r="D221" s="24" t="n">
        <v>1</v>
      </c>
      <c r="E221" s="25" t="n">
        <v>46054</v>
      </c>
      <c r="F221" s="23" t="inlineStr">
        <is>
          <t>Manteiga 200g</t>
        </is>
      </c>
      <c r="G221" s="23" t="inlineStr">
        <is>
          <t>MANTEIGA</t>
        </is>
      </c>
      <c r="H221" s="26" t="n">
        <v>0.2</v>
      </c>
      <c r="I221" s="36" t="n">
        <v>2500</v>
      </c>
      <c r="J221" s="21">
        <f>I221*H221</f>
        <v/>
      </c>
      <c r="K221" s="21">
        <f>IFERROR(IF(J221/P221&gt;1,P221,J221),0)</f>
        <v/>
      </c>
      <c r="L221" s="36" t="n">
        <v>2320</v>
      </c>
      <c r="M221" s="21">
        <f>L221*H221</f>
        <v/>
      </c>
      <c r="N221" s="21">
        <f>IFERROR(IF(M221/K221&gt;1,K221,M221),0)</f>
        <v/>
      </c>
      <c r="O221" s="36" t="n">
        <v>2500</v>
      </c>
      <c r="P221" s="21">
        <f>O221*H221</f>
        <v/>
      </c>
      <c r="Q221" s="30">
        <f>IF(MONTH(E221+1)=MONTH(E221+6),MONTH(E221+1),IF(MIN(EOMONTH(E221+1,0),E221+6)-(E221+1)+1&gt;=3,MONTH(E221+1),MONTH(E221+6)))</f>
        <v/>
      </c>
      <c r="R221" s="22">
        <f>IFERROR(K221/P221, 0)</f>
        <v/>
      </c>
      <c r="S221" s="38">
        <f>IFERROR(N221/P221,0)</f>
        <v/>
      </c>
      <c r="T221" s="31">
        <f>IFERROR(IF(N221&gt;0,(N221/K221),MIN(1,M221/J221)),0)</f>
        <v/>
      </c>
      <c r="U221" s="33" t="n"/>
    </row>
    <row r="222" hidden="1" s="40">
      <c r="A222" s="18" t="inlineStr">
        <is>
          <t>Semana 1 - fevereiro</t>
        </is>
      </c>
      <c r="B222" s="27">
        <f>YEAR(E222)</f>
        <v/>
      </c>
      <c r="C222" s="18">
        <f>INDEX({"Janeiro";"Fevereiro";"Março";"Abril";"Maio";"Junho";"Julho";"Agosto";"Setembro";"Outubro";"Novembro";"Dezembro"},Q222)</f>
        <v/>
      </c>
      <c r="D222" s="19" t="n">
        <v>1</v>
      </c>
      <c r="E222" s="20" t="n">
        <v>46054</v>
      </c>
      <c r="F222" s="18" t="inlineStr">
        <is>
          <t>Manteiga 500g</t>
        </is>
      </c>
      <c r="G222" s="18" t="inlineStr">
        <is>
          <t>MANTEIGA</t>
        </is>
      </c>
      <c r="H222" s="21" t="n">
        <v>0.5</v>
      </c>
      <c r="I222" s="36" t="n">
        <v>1100</v>
      </c>
      <c r="J222" s="21">
        <f>I222*H222</f>
        <v/>
      </c>
      <c r="K222" s="21">
        <f>IFERROR(IF(J222/P222&gt;1,P222,J222),0)</f>
        <v/>
      </c>
      <c r="L222" s="36" t="n">
        <v>1111</v>
      </c>
      <c r="M222" s="21">
        <f>L222*H222</f>
        <v/>
      </c>
      <c r="N222" s="21">
        <f>IFERROR(IF(M222/K222&gt;1,K222,M222),0)</f>
        <v/>
      </c>
      <c r="O222" s="36" t="n">
        <v>1100</v>
      </c>
      <c r="P222" s="21">
        <f>O222*H222</f>
        <v/>
      </c>
      <c r="Q222" s="30">
        <f>IF(MONTH(E222+1)=MONTH(E222+6),MONTH(E222+1),IF(MIN(EOMONTH(E222+1,0),E222+6)-(E222+1)+1&gt;=3,MONTH(E222+1),MONTH(E222+6)))</f>
        <v/>
      </c>
      <c r="R222" s="22">
        <f>IFERROR(K222/P222, 0)</f>
        <v/>
      </c>
      <c r="S222" s="38">
        <f>IFERROR(N222/P222,0)</f>
        <v/>
      </c>
      <c r="T222" s="31">
        <f>IFERROR(IF(N222&gt;0,(N222/K222),MIN(1,M222/J222)),0)</f>
        <v/>
      </c>
      <c r="U222" s="33" t="n"/>
    </row>
    <row r="223" hidden="1" s="40">
      <c r="A223" s="23" t="inlineStr">
        <is>
          <t>Semana 1 - fevereiro</t>
        </is>
      </c>
      <c r="B223" s="27">
        <f>YEAR(E223)</f>
        <v/>
      </c>
      <c r="C223" s="18">
        <f>INDEX({"Janeiro";"Fevereiro";"Março";"Abril";"Maio";"Junho";"Julho";"Agosto";"Setembro";"Outubro";"Novembro";"Dezembro"},Q223)</f>
        <v/>
      </c>
      <c r="D223" s="24" t="n">
        <v>1</v>
      </c>
      <c r="E223" s="25" t="n">
        <v>46054</v>
      </c>
      <c r="F223" s="23" t="inlineStr">
        <is>
          <t>QUEIJO MINAS MEIA CURA (FRACIONADO)</t>
        </is>
      </c>
      <c r="G223" s="23" t="inlineStr">
        <is>
          <t>QUEIJO</t>
        </is>
      </c>
      <c r="H223" s="26" t="n">
        <v>1</v>
      </c>
      <c r="I223" s="36" t="n">
        <v>0</v>
      </c>
      <c r="J223" s="21">
        <f>I223*H223</f>
        <v/>
      </c>
      <c r="K223" s="21">
        <f>IFERROR(IF(J223/P223&gt;1,P223,J223),0)</f>
        <v/>
      </c>
      <c r="L223" s="36" t="n">
        <v>0</v>
      </c>
      <c r="M223" s="21">
        <f>L223*H223</f>
        <v/>
      </c>
      <c r="N223" s="21">
        <f>IFERROR(IF(M223/K223&gt;1,K223,M223),0)</f>
        <v/>
      </c>
      <c r="O223" s="36" t="n">
        <v>0</v>
      </c>
      <c r="P223" s="21">
        <f>O223*H223</f>
        <v/>
      </c>
      <c r="Q223" s="30">
        <f>IF(MONTH(E223+1)=MONTH(E223+6),MONTH(E223+1),IF(MIN(EOMONTH(E223+1,0),E223+6)-(E223+1)+1&gt;=3,MONTH(E223+1),MONTH(E223+6)))</f>
        <v/>
      </c>
      <c r="R223" s="22">
        <f>IFERROR(K223/P223, 0)</f>
        <v/>
      </c>
      <c r="S223" s="38">
        <f>IFERROR(N223/P223,0)</f>
        <v/>
      </c>
      <c r="T223" s="31">
        <f>IFERROR(IF(N223&gt;0,(N223/K223),MIN(1,M223/J223)),0)</f>
        <v/>
      </c>
      <c r="U223" s="33" t="n"/>
    </row>
    <row r="224" hidden="1" s="40">
      <c r="A224" s="18" t="inlineStr">
        <is>
          <t>Semana 1 - fevereiro</t>
        </is>
      </c>
      <c r="B224" s="27">
        <f>YEAR(E224)</f>
        <v/>
      </c>
      <c r="C224" s="18">
        <f>INDEX({"Janeiro";"Fevereiro";"Março";"Abril";"Maio";"Junho";"Julho";"Agosto";"Setembro";"Outubro";"Novembro";"Dezembro"},Q224)</f>
        <v/>
      </c>
      <c r="D224" s="19" t="n">
        <v>1</v>
      </c>
      <c r="E224" s="20" t="n">
        <v>46054</v>
      </c>
      <c r="F224" s="18" t="inlineStr">
        <is>
          <t>QUEIJO MINAS MEIA CURA (INTEIRO)</t>
        </is>
      </c>
      <c r="G224" s="18" t="inlineStr">
        <is>
          <t>QUEIJO</t>
        </is>
      </c>
      <c r="H224" s="21" t="n">
        <v>1</v>
      </c>
      <c r="I224" s="36" t="n">
        <v>0</v>
      </c>
      <c r="J224" s="21">
        <f>I224*H224</f>
        <v/>
      </c>
      <c r="K224" s="21">
        <f>IFERROR(IF(J224/P224&gt;1,P224,J224),0)</f>
        <v/>
      </c>
      <c r="L224" s="36" t="n">
        <v>0</v>
      </c>
      <c r="M224" s="21">
        <f>L224*H224</f>
        <v/>
      </c>
      <c r="N224" s="21">
        <f>IFERROR(IF(M224/K224&gt;1,K224,M224),0)</f>
        <v/>
      </c>
      <c r="O224" s="36" t="n">
        <v>0</v>
      </c>
      <c r="P224" s="21">
        <f>O224*H224</f>
        <v/>
      </c>
      <c r="Q224" s="30">
        <f>IF(MONTH(E224+1)=MONTH(E224+6),MONTH(E224+1),IF(MIN(EOMONTH(E224+1,0),E224+6)-(E224+1)+1&gt;=3,MONTH(E224+1),MONTH(E224+6)))</f>
        <v/>
      </c>
      <c r="R224" s="22">
        <f>IFERROR(K224/P224, 0)</f>
        <v/>
      </c>
      <c r="S224" s="38">
        <f>IFERROR(N224/P224,0)</f>
        <v/>
      </c>
      <c r="T224" s="31">
        <f>IFERROR(IF(N224&gt;0,(N224/K224),MIN(1,M224/J224)),0)</f>
        <v/>
      </c>
      <c r="U224" s="33" t="n"/>
    </row>
    <row r="225" hidden="1" s="40">
      <c r="A225" s="23" t="inlineStr">
        <is>
          <t>Semana 1 - fevereiro</t>
        </is>
      </c>
      <c r="B225" s="27">
        <f>YEAR(E225)</f>
        <v/>
      </c>
      <c r="C225" s="18">
        <f>INDEX({"Janeiro";"Fevereiro";"Março";"Abril";"Maio";"Junho";"Julho";"Agosto";"Setembro";"Outubro";"Novembro";"Dezembro"},Q225)</f>
        <v/>
      </c>
      <c r="D225" s="24" t="n">
        <v>1</v>
      </c>
      <c r="E225" s="25" t="n">
        <v>46054</v>
      </c>
      <c r="F225" s="23" t="inlineStr">
        <is>
          <t xml:space="preserve">QUEIJO MINAS PADRÃO VIÇOSA FRACIONADO </t>
        </is>
      </c>
      <c r="G225" s="23" t="inlineStr">
        <is>
          <t>QUEIJO</t>
        </is>
      </c>
      <c r="H225" s="26" t="n">
        <v>1</v>
      </c>
      <c r="I225" s="36" t="n">
        <v>400</v>
      </c>
      <c r="J225" s="21">
        <f>I225*H225</f>
        <v/>
      </c>
      <c r="K225" s="21">
        <f>IFERROR(IF(J225/P225&gt;1,P225,J225),0)</f>
        <v/>
      </c>
      <c r="L225" s="36" t="n">
        <v>595.08</v>
      </c>
      <c r="M225" s="21">
        <f>L225*H225</f>
        <v/>
      </c>
      <c r="N225" s="21">
        <f>IFERROR(IF(M225/K225&gt;1,K225,M225),0)</f>
        <v/>
      </c>
      <c r="O225" s="36" t="n">
        <v>400</v>
      </c>
      <c r="P225" s="21">
        <f>O225*H225</f>
        <v/>
      </c>
      <c r="Q225" s="30">
        <f>IF(MONTH(E225+1)=MONTH(E225+6),MONTH(E225+1),IF(MIN(EOMONTH(E225+1,0),E225+6)-(E225+1)+1&gt;=3,MONTH(E225+1),MONTH(E225+6)))</f>
        <v/>
      </c>
      <c r="R225" s="22">
        <f>IFERROR(K225/P225, 0)</f>
        <v/>
      </c>
      <c r="S225" s="38">
        <f>IFERROR(N225/P225,0)</f>
        <v/>
      </c>
      <c r="T225" s="31">
        <f>IFERROR(IF(N225&gt;0,(N225/K225),MIN(1,M225/J225)),0)</f>
        <v/>
      </c>
      <c r="U225" s="33" t="n"/>
    </row>
    <row r="226" hidden="1" s="40">
      <c r="A226" s="18" t="inlineStr">
        <is>
          <t>Semana 1 - fevereiro</t>
        </is>
      </c>
      <c r="B226" s="27">
        <f>YEAR(E226)</f>
        <v/>
      </c>
      <c r="C226" s="18">
        <f>INDEX({"Janeiro";"Fevereiro";"Março";"Abril";"Maio";"Junho";"Julho";"Agosto";"Setembro";"Outubro";"Novembro";"Dezembro"},Q226)</f>
        <v/>
      </c>
      <c r="D226" s="19" t="n">
        <v>1</v>
      </c>
      <c r="E226" s="20" t="n">
        <v>46054</v>
      </c>
      <c r="F226" s="18" t="inlineStr">
        <is>
          <t>QUEIJO MUSSARELA 3KG</t>
        </is>
      </c>
      <c r="G226" s="18" t="inlineStr">
        <is>
          <t>QUEIJO</t>
        </is>
      </c>
      <c r="H226" s="21" t="n">
        <v>1</v>
      </c>
      <c r="I226" s="36" t="n">
        <v>2500</v>
      </c>
      <c r="J226" s="21">
        <f>I226*H226</f>
        <v/>
      </c>
      <c r="K226" s="21">
        <f>IFERROR(IF(J226/P226&gt;1,P226,J226),0)</f>
        <v/>
      </c>
      <c r="L226" s="36" t="n">
        <v>1352.05</v>
      </c>
      <c r="M226" s="21">
        <f>L226*H226</f>
        <v/>
      </c>
      <c r="N226" s="21">
        <f>IFERROR(IF(M226/K226&gt;1,K226,M226),0)</f>
        <v/>
      </c>
      <c r="O226" s="36" t="n">
        <v>500</v>
      </c>
      <c r="P226" s="21">
        <f>O226*H226</f>
        <v/>
      </c>
      <c r="Q226" s="30">
        <f>IF(MONTH(E226+1)=MONTH(E226+6),MONTH(E226+1),IF(MIN(EOMONTH(E226+1,0),E226+6)-(E226+1)+1&gt;=3,MONTH(E226+1),MONTH(E226+6)))</f>
        <v/>
      </c>
      <c r="R226" s="22">
        <f>IFERROR(K226/P226, 0)</f>
        <v/>
      </c>
      <c r="S226" s="38">
        <f>IFERROR(N226/P226,0)</f>
        <v/>
      </c>
      <c r="T226" s="31">
        <f>IFERROR(IF(N226&gt;0,(N226/K226),MIN(1,M226/J226)),0)</f>
        <v/>
      </c>
      <c r="U226" s="33" t="n"/>
    </row>
    <row r="227" hidden="1" s="40">
      <c r="A227" s="23" t="inlineStr">
        <is>
          <t>Semana 1 - fevereiro</t>
        </is>
      </c>
      <c r="B227" s="27">
        <f>YEAR(E227)</f>
        <v/>
      </c>
      <c r="C227" s="18">
        <f>INDEX({"Janeiro";"Fevereiro";"Março";"Abril";"Maio";"Junho";"Julho";"Agosto";"Setembro";"Outubro";"Novembro";"Dezembro"},Q227)</f>
        <v/>
      </c>
      <c r="D227" s="24" t="n">
        <v>1</v>
      </c>
      <c r="E227" s="25" t="n">
        <v>46054</v>
      </c>
      <c r="F227" s="23" t="inlineStr">
        <is>
          <t>QUEIJO MUSSARELA LANCHE</t>
        </is>
      </c>
      <c r="G227" s="23" t="inlineStr">
        <is>
          <t>QUEIJO</t>
        </is>
      </c>
      <c r="H227" s="26" t="n">
        <v>1</v>
      </c>
      <c r="I227" s="36" t="n">
        <v>0</v>
      </c>
      <c r="J227" s="21">
        <f>I227*H227</f>
        <v/>
      </c>
      <c r="K227" s="21">
        <f>IFERROR(IF(J227/P227&gt;1,P227,J227),0)</f>
        <v/>
      </c>
      <c r="L227" s="36" t="n">
        <v>0</v>
      </c>
      <c r="M227" s="21">
        <f>L227*H227</f>
        <v/>
      </c>
      <c r="N227" s="21">
        <f>IFERROR(IF(M227/K227&gt;1,K227,M227),0)</f>
        <v/>
      </c>
      <c r="O227" s="36" t="n">
        <v>0</v>
      </c>
      <c r="P227" s="21">
        <f>O227*H227</f>
        <v/>
      </c>
      <c r="Q227" s="30">
        <f>IF(MONTH(E227+1)=MONTH(E227+6),MONTH(E227+1),IF(MIN(EOMONTH(E227+1,0),E227+6)-(E227+1)+1&gt;=3,MONTH(E227+1),MONTH(E227+6)))</f>
        <v/>
      </c>
      <c r="R227" s="22">
        <f>IFERROR(K227/P227, 0)</f>
        <v/>
      </c>
      <c r="S227" s="38">
        <f>IFERROR(N227/P227,0)</f>
        <v/>
      </c>
      <c r="T227" s="31">
        <f>IFERROR(IF(N227&gt;0,(N227/K227),MIN(1,M227/J227)),0)</f>
        <v/>
      </c>
      <c r="U227" s="33" t="n"/>
    </row>
    <row r="228" hidden="1" s="40">
      <c r="A228" s="18" t="inlineStr">
        <is>
          <t>Semana 1 - fevereiro</t>
        </is>
      </c>
      <c r="B228" s="27">
        <f>YEAR(E228)</f>
        <v/>
      </c>
      <c r="C228" s="18">
        <f>INDEX({"Janeiro";"Fevereiro";"Março";"Abril";"Maio";"Junho";"Julho";"Agosto";"Setembro";"Outubro";"Novembro";"Dezembro"},Q228)</f>
        <v/>
      </c>
      <c r="D228" s="19" t="n">
        <v>1</v>
      </c>
      <c r="E228" s="20" t="n">
        <v>46054</v>
      </c>
      <c r="F228" s="18" t="inlineStr">
        <is>
          <t>REQUEIJÃO VIÇOSA 200g</t>
        </is>
      </c>
      <c r="G228" s="18" t="inlineStr">
        <is>
          <t>REQUEIJÃO</t>
        </is>
      </c>
      <c r="H228" s="21" t="n">
        <v>0.2</v>
      </c>
      <c r="I228" s="36" t="n">
        <v>2000</v>
      </c>
      <c r="J228" s="21">
        <f>I228*H228</f>
        <v/>
      </c>
      <c r="K228" s="21">
        <f>IFERROR(IF(J228/P228&gt;1,P228,J228),0)</f>
        <v/>
      </c>
      <c r="L228" s="36" t="n">
        <v>3022</v>
      </c>
      <c r="M228" s="21">
        <f>L228*H228</f>
        <v/>
      </c>
      <c r="N228" s="21">
        <f>IFERROR(IF(M228/K228&gt;1,K228,M228),0)</f>
        <v/>
      </c>
      <c r="O228" s="36" t="n">
        <v>4200</v>
      </c>
      <c r="P228" s="21">
        <f>O228*H228</f>
        <v/>
      </c>
      <c r="Q228" s="30">
        <f>IF(MONTH(E228+1)=MONTH(E228+6),MONTH(E228+1),IF(MIN(EOMONTH(E228+1,0),E228+6)-(E228+1)+1&gt;=3,MONTH(E228+1),MONTH(E228+6)))</f>
        <v/>
      </c>
      <c r="R228" s="22">
        <f>IFERROR(K228/P228, 0)</f>
        <v/>
      </c>
      <c r="S228" s="38">
        <f>IFERROR(N228/P228,0)</f>
        <v/>
      </c>
      <c r="T228" s="31">
        <f>IFERROR(IF(N228&gt;0,(N228/K228),MIN(1,M228/J228)),0)</f>
        <v/>
      </c>
      <c r="U228" s="33" t="n"/>
    </row>
    <row r="229" hidden="1" s="40">
      <c r="A229" s="23" t="inlineStr">
        <is>
          <t>Semana 1 - fevereiro</t>
        </is>
      </c>
      <c r="B229" s="27">
        <f>YEAR(E229)</f>
        <v/>
      </c>
      <c r="C229" s="18">
        <f>INDEX({"Janeiro";"Fevereiro";"Março";"Abril";"Maio";"Junho";"Julho";"Agosto";"Setembro";"Outubro";"Novembro";"Dezembro"},Q229)</f>
        <v/>
      </c>
      <c r="D229" s="24" t="n">
        <v>1</v>
      </c>
      <c r="E229" s="25" t="n">
        <v>46054</v>
      </c>
      <c r="F229" s="23" t="inlineStr">
        <is>
          <t>REQUEIJÃO VIÇOSA 400g</t>
        </is>
      </c>
      <c r="G229" s="23" t="inlineStr">
        <is>
          <t>REQUEIJÃO</t>
        </is>
      </c>
      <c r="H229" s="26" t="n">
        <v>0.4</v>
      </c>
      <c r="I229" s="36" t="n">
        <v>2310</v>
      </c>
      <c r="J229" s="21">
        <f>I229*H229</f>
        <v/>
      </c>
      <c r="K229" s="21">
        <f>IFERROR(IF(J229/P229&gt;1,P229,J229),0)</f>
        <v/>
      </c>
      <c r="L229" s="36" t="n">
        <v>1730</v>
      </c>
      <c r="M229" s="21">
        <f>L229*H229</f>
        <v/>
      </c>
      <c r="N229" s="21">
        <f>IFERROR(IF(M229/K229&gt;1,K229,M229),0)</f>
        <v/>
      </c>
      <c r="O229" s="36" t="n">
        <v>3200</v>
      </c>
      <c r="P229" s="21">
        <f>O229*H229</f>
        <v/>
      </c>
      <c r="Q229" s="30">
        <f>IF(MONTH(E229+1)=MONTH(E229+6),MONTH(E229+1),IF(MIN(EOMONTH(E229+1,0),E229+6)-(E229+1)+1&gt;=3,MONTH(E229+1),MONTH(E229+6)))</f>
        <v/>
      </c>
      <c r="R229" s="22">
        <f>IFERROR(K229/P229, 0)</f>
        <v/>
      </c>
      <c r="S229" s="38">
        <f>IFERROR(N229/P229,0)</f>
        <v/>
      </c>
      <c r="T229" s="31">
        <f>IFERROR(IF(N229&gt;0,(N229/K229),MIN(1,M229/J229)),0)</f>
        <v/>
      </c>
      <c r="U229" s="33" t="n"/>
    </row>
    <row r="230" hidden="1" s="40">
      <c r="A230" s="18" t="inlineStr">
        <is>
          <t>Semana 1 - fevereiro</t>
        </is>
      </c>
      <c r="B230" s="27">
        <f>YEAR(E230)</f>
        <v/>
      </c>
      <c r="C230" s="18">
        <f>INDEX({"Janeiro";"Fevereiro";"Março";"Abril";"Maio";"Junho";"Julho";"Agosto";"Setembro";"Outubro";"Novembro";"Dezembro"},Q230)</f>
        <v/>
      </c>
      <c r="D230" s="19" t="n">
        <v>1</v>
      </c>
      <c r="E230" s="20" t="n">
        <v>46054</v>
      </c>
      <c r="F230" s="18" t="inlineStr">
        <is>
          <t>Requeijão Light 200g</t>
        </is>
      </c>
      <c r="G230" s="18" t="inlineStr">
        <is>
          <t>REQUEIJÃO</t>
        </is>
      </c>
      <c r="H230" s="21" t="n">
        <v>0.2</v>
      </c>
      <c r="I230" s="36" t="n">
        <v>0</v>
      </c>
      <c r="J230" s="21">
        <f>I230*H230</f>
        <v/>
      </c>
      <c r="K230" s="21">
        <f>IFERROR(IF(J230/P230&gt;1,P230,J230),0)</f>
        <v/>
      </c>
      <c r="L230" s="36" t="n">
        <v>0</v>
      </c>
      <c r="M230" s="21">
        <f>L230*H230</f>
        <v/>
      </c>
      <c r="N230" s="21">
        <f>IFERROR(IF(M230/K230&gt;1,K230,M230),0)</f>
        <v/>
      </c>
      <c r="O230" s="36" t="n">
        <v>1200</v>
      </c>
      <c r="P230" s="21">
        <f>O230*H230</f>
        <v/>
      </c>
      <c r="Q230" s="30">
        <f>IF(MONTH(E230+1)=MONTH(E230+6),MONTH(E230+1),IF(MIN(EOMONTH(E230+1,0),E230+6)-(E230+1)+1&gt;=3,MONTH(E230+1),MONTH(E230+6)))</f>
        <v/>
      </c>
      <c r="R230" s="22">
        <f>IFERROR(K230/P230, 0)</f>
        <v/>
      </c>
      <c r="S230" s="38">
        <f>IFERROR(N230/P230,0)</f>
        <v/>
      </c>
      <c r="T230" s="31">
        <f>IFERROR(IF(N230&gt;0,(N230/K230),MIN(1,M230/J230)),0)</f>
        <v/>
      </c>
      <c r="U230" s="33" t="n"/>
    </row>
    <row r="231" hidden="1" s="40">
      <c r="A231" s="23" t="inlineStr">
        <is>
          <t>Semana 1 - fevereiro</t>
        </is>
      </c>
      <c r="B231" s="27">
        <f>YEAR(E231)</f>
        <v/>
      </c>
      <c r="C231" s="18">
        <f>INDEX({"Janeiro";"Fevereiro";"Março";"Abril";"Maio";"Junho";"Julho";"Agosto";"Setembro";"Outubro";"Novembro";"Dezembro"},Q231)</f>
        <v/>
      </c>
      <c r="D231" s="24" t="n">
        <v>1</v>
      </c>
      <c r="E231" s="25" t="n">
        <v>46054</v>
      </c>
      <c r="F231" s="23" t="inlineStr">
        <is>
          <t>Creme de Ricota 200g</t>
        </is>
      </c>
      <c r="G231" s="23" t="inlineStr">
        <is>
          <t>RICOTA</t>
        </is>
      </c>
      <c r="H231" s="26" t="n">
        <v>0.2</v>
      </c>
      <c r="I231" s="36" t="n">
        <v>1200</v>
      </c>
      <c r="J231" s="21">
        <f>I231*H231</f>
        <v/>
      </c>
      <c r="K231" s="21">
        <f>IFERROR(IF(J231/P231&gt;1,P231,J231),0)</f>
        <v/>
      </c>
      <c r="L231" s="36" t="n">
        <v>955</v>
      </c>
      <c r="M231" s="21">
        <f>L231*H231</f>
        <v/>
      </c>
      <c r="N231" s="21">
        <f>IFERROR(IF(M231/K231&gt;1,K231,M231),0)</f>
        <v/>
      </c>
      <c r="O231" s="36" t="n">
        <v>1200</v>
      </c>
      <c r="P231" s="21">
        <f>O231*H231</f>
        <v/>
      </c>
      <c r="Q231" s="30">
        <f>IF(MONTH(E231+1)=MONTH(E231+6),MONTH(E231+1),IF(MIN(EOMONTH(E231+1,0),E231+6)-(E231+1)+1&gt;=3,MONTH(E231+1),MONTH(E231+6)))</f>
        <v/>
      </c>
      <c r="R231" s="22">
        <f>IFERROR(K231/P231, 0)</f>
        <v/>
      </c>
      <c r="S231" s="38">
        <f>IFERROR(N231/P231,0)</f>
        <v/>
      </c>
      <c r="T231" s="31">
        <f>IFERROR(IF(N231&gt;0,(N231/K231),MIN(1,M231/J231)),0)</f>
        <v/>
      </c>
      <c r="U231" s="33" t="n"/>
    </row>
    <row r="232" hidden="1" s="40">
      <c r="A232" s="18" t="inlineStr">
        <is>
          <t>Semana 2 - fevereiro</t>
        </is>
      </c>
      <c r="B232" s="27">
        <f>YEAR(E232)</f>
        <v/>
      </c>
      <c r="C232" s="18">
        <f>INDEX({"Janeiro";"Fevereiro";"Março";"Abril";"Maio";"Junho";"Julho";"Agosto";"Setembro";"Outubro";"Novembro";"Dezembro"},Q232)</f>
        <v/>
      </c>
      <c r="D232" s="19" t="n">
        <v>2</v>
      </c>
      <c r="E232" s="20" t="n">
        <v>46061</v>
      </c>
      <c r="F232" s="18" t="inlineStr">
        <is>
          <t>Doce de Leite 400g</t>
        </is>
      </c>
      <c r="G232" s="18" t="inlineStr">
        <is>
          <t>DOCE</t>
        </is>
      </c>
      <c r="H232" s="21" t="n">
        <v>0.4</v>
      </c>
      <c r="I232" s="36" t="n">
        <v>6000</v>
      </c>
      <c r="J232" s="21">
        <f>I232*H232</f>
        <v/>
      </c>
      <c r="K232" s="21">
        <f>IFERROR(IF(J232/P232&gt;1,P232,J232),0)</f>
        <v/>
      </c>
      <c r="L232" s="36" t="n">
        <v>10607</v>
      </c>
      <c r="M232" s="21">
        <f>L232*H232</f>
        <v/>
      </c>
      <c r="N232" s="21">
        <f>IFERROR(IF(M232/K232&gt;1,K232,M232),0)</f>
        <v/>
      </c>
      <c r="O232" s="36" t="n">
        <v>12000</v>
      </c>
      <c r="P232" s="21">
        <f>O232*H232</f>
        <v/>
      </c>
      <c r="Q232" s="30">
        <f>IF(MONTH(E232+1)=MONTH(E232+6),MONTH(E232+1),IF(MIN(EOMONTH(E232+1,0),E232+6)-(E232+1)+1&gt;=3,MONTH(E232+1),MONTH(E232+6)))</f>
        <v/>
      </c>
      <c r="R232" s="22">
        <f>IFERROR(K232/P232, 0)</f>
        <v/>
      </c>
      <c r="S232" s="38">
        <f>IFERROR(N232/P232,0)</f>
        <v/>
      </c>
      <c r="T232" s="31">
        <f>IFERROR(IF(N232&gt;0,(N232/K232),MIN(1,M232/J232)),0)</f>
        <v/>
      </c>
      <c r="U232" s="33" t="n"/>
    </row>
    <row r="233" hidden="1" s="40">
      <c r="A233" s="23" t="inlineStr">
        <is>
          <t>Semana 2 - fevereiro</t>
        </is>
      </c>
      <c r="B233" s="27">
        <f>YEAR(E233)</f>
        <v/>
      </c>
      <c r="C233" s="18">
        <f>INDEX({"Janeiro";"Fevereiro";"Março";"Abril";"Maio";"Junho";"Julho";"Agosto";"Setembro";"Outubro";"Novembro";"Dezembro"},Q233)</f>
        <v/>
      </c>
      <c r="D233" s="24" t="n">
        <v>2</v>
      </c>
      <c r="E233" s="25" t="n">
        <v>46061</v>
      </c>
      <c r="F233" s="23" t="inlineStr">
        <is>
          <t>Doce de Leite 5kg</t>
        </is>
      </c>
      <c r="G233" s="23" t="inlineStr">
        <is>
          <t>DOCE</t>
        </is>
      </c>
      <c r="H233" s="26" t="n">
        <v>5</v>
      </c>
      <c r="I233" s="36" t="n">
        <v>775</v>
      </c>
      <c r="J233" s="21">
        <f>I233*H233</f>
        <v/>
      </c>
      <c r="K233" s="21">
        <f>IFERROR(IF(J233/P233&gt;1,P233,J233),0)</f>
        <v/>
      </c>
      <c r="L233" s="36" t="n">
        <v>1139</v>
      </c>
      <c r="M233" s="21">
        <f>L233*H233</f>
        <v/>
      </c>
      <c r="N233" s="21">
        <f>IFERROR(IF(M233/K233&gt;1,K233,M233),0)</f>
        <v/>
      </c>
      <c r="O233" s="36" t="n">
        <v>100</v>
      </c>
      <c r="P233" s="21">
        <f>O233*H233</f>
        <v/>
      </c>
      <c r="Q233" s="30">
        <f>IF(MONTH(E233+1)=MONTH(E233+6),MONTH(E233+1),IF(MIN(EOMONTH(E233+1,0),E233+6)-(E233+1)+1&gt;=3,MONTH(E233+1),MONTH(E233+6)))</f>
        <v/>
      </c>
      <c r="R233" s="22">
        <f>IFERROR(K233/P233, 0)</f>
        <v/>
      </c>
      <c r="S233" s="38">
        <f>IFERROR(N233/P233,0)</f>
        <v/>
      </c>
      <c r="T233" s="31">
        <f>IFERROR(IF(N233&gt;0,(N233/K233),MIN(1,M233/J233)),0)</f>
        <v/>
      </c>
      <c r="U233" s="33" t="n"/>
    </row>
    <row r="234" hidden="1" s="40">
      <c r="A234" s="18" t="inlineStr">
        <is>
          <t>Semana 2 - fevereiro</t>
        </is>
      </c>
      <c r="B234" s="27">
        <f>YEAR(E234)</f>
        <v/>
      </c>
      <c r="C234" s="18">
        <f>INDEX({"Janeiro";"Fevereiro";"Março";"Abril";"Maio";"Junho";"Julho";"Agosto";"Setembro";"Outubro";"Novembro";"Dezembro"},Q234)</f>
        <v/>
      </c>
      <c r="D234" s="19" t="n">
        <v>2</v>
      </c>
      <c r="E234" s="20" t="n">
        <v>46061</v>
      </c>
      <c r="F234" s="18" t="inlineStr">
        <is>
          <t>Doce de Leite 5kg - Bombeável</t>
        </is>
      </c>
      <c r="G234" s="18" t="inlineStr">
        <is>
          <t>DOCE</t>
        </is>
      </c>
      <c r="H234" s="21" t="n">
        <v>5</v>
      </c>
      <c r="I234" s="36" t="n">
        <v>0</v>
      </c>
      <c r="J234" s="21">
        <f>I234*H234</f>
        <v/>
      </c>
      <c r="K234" s="21">
        <f>IFERROR(IF(J234/P234&gt;1,P234,J234),0)</f>
        <v/>
      </c>
      <c r="L234" s="36" t="n">
        <v>0</v>
      </c>
      <c r="M234" s="21">
        <f>L234*H234</f>
        <v/>
      </c>
      <c r="N234" s="21">
        <f>IFERROR(IF(M234/K234&gt;1,K234,M234),0)</f>
        <v/>
      </c>
      <c r="O234" s="36" t="n">
        <v>0</v>
      </c>
      <c r="P234" s="21">
        <f>O234*H234</f>
        <v/>
      </c>
      <c r="Q234" s="30">
        <f>IF(MONTH(E234+1)=MONTH(E234+6),MONTH(E234+1),IF(MIN(EOMONTH(E234+1,0),E234+6)-(E234+1)+1&gt;=3,MONTH(E234+1),MONTH(E234+6)))</f>
        <v/>
      </c>
      <c r="R234" s="22">
        <f>IFERROR(K234/P234, 0)</f>
        <v/>
      </c>
      <c r="S234" s="38">
        <f>IFERROR(N234/P234,0)</f>
        <v/>
      </c>
      <c r="T234" s="31">
        <f>IFERROR(IF(N234&gt;0,(N234/K234),MIN(1,M234/J234)),0)</f>
        <v/>
      </c>
      <c r="U234" s="33" t="n"/>
    </row>
    <row r="235" hidden="1" s="40">
      <c r="A235" s="23" t="inlineStr">
        <is>
          <t>Semana 2 - fevereiro</t>
        </is>
      </c>
      <c r="B235" s="27">
        <f>YEAR(E235)</f>
        <v/>
      </c>
      <c r="C235" s="18">
        <f>INDEX({"Janeiro";"Fevereiro";"Março";"Abril";"Maio";"Junho";"Julho";"Agosto";"Setembro";"Outubro";"Novembro";"Dezembro"},Q235)</f>
        <v/>
      </c>
      <c r="D235" s="24" t="n">
        <v>2</v>
      </c>
      <c r="E235" s="25" t="n">
        <v>46061</v>
      </c>
      <c r="F235" s="23" t="inlineStr">
        <is>
          <t>Doce de Leite 5kg - Forneável</t>
        </is>
      </c>
      <c r="G235" s="23" t="inlineStr">
        <is>
          <t>DOCE</t>
        </is>
      </c>
      <c r="H235" s="26" t="n">
        <v>5</v>
      </c>
      <c r="I235" s="36" t="n">
        <v>160</v>
      </c>
      <c r="J235" s="21">
        <f>I235*H235</f>
        <v/>
      </c>
      <c r="K235" s="21">
        <f>IFERROR(IF(J235/P235&gt;1,P235,J235),0)</f>
        <v/>
      </c>
      <c r="L235" s="36" t="n">
        <v>0</v>
      </c>
      <c r="M235" s="21">
        <f>L235*H235</f>
        <v/>
      </c>
      <c r="N235" s="21">
        <f>IFERROR(IF(M235/K235&gt;1,K235,M235),0)</f>
        <v/>
      </c>
      <c r="O235" s="36" t="n">
        <v>160</v>
      </c>
      <c r="P235" s="21">
        <f>O235*H235</f>
        <v/>
      </c>
      <c r="Q235" s="30">
        <f>IF(MONTH(E235+1)=MONTH(E235+6),MONTH(E235+1),IF(MIN(EOMONTH(E235+1,0),E235+6)-(E235+1)+1&gt;=3,MONTH(E235+1),MONTH(E235+6)))</f>
        <v/>
      </c>
      <c r="R235" s="22">
        <f>IFERROR(K235/P235, 0)</f>
        <v/>
      </c>
      <c r="S235" s="38">
        <f>IFERROR(N235/P235,0)</f>
        <v/>
      </c>
      <c r="T235" s="31">
        <f>IFERROR(IF(N235&gt;0,(N235/K235),MIN(1,M235/J235)),0)</f>
        <v/>
      </c>
      <c r="U235" s="33" t="n"/>
    </row>
    <row r="236" hidden="1" s="40">
      <c r="A236" s="18" t="inlineStr">
        <is>
          <t>Semana 2 - fevereiro</t>
        </is>
      </c>
      <c r="B236" s="27">
        <f>YEAR(E236)</f>
        <v/>
      </c>
      <c r="C236" s="18">
        <f>INDEX({"Janeiro";"Fevereiro";"Março";"Abril";"Maio";"Junho";"Julho";"Agosto";"Setembro";"Outubro";"Novembro";"Dezembro"},Q236)</f>
        <v/>
      </c>
      <c r="D236" s="19" t="n">
        <v>2</v>
      </c>
      <c r="E236" s="20" t="n">
        <v>46061</v>
      </c>
      <c r="F236" s="18" t="inlineStr">
        <is>
          <t>Doce de Leite 800g</t>
        </is>
      </c>
      <c r="G236" s="18" t="inlineStr">
        <is>
          <t>DOCE</t>
        </is>
      </c>
      <c r="H236" s="21" t="n">
        <v>0.8</v>
      </c>
      <c r="I236" s="36" t="n">
        <v>12000</v>
      </c>
      <c r="J236" s="21">
        <f>I236*H236</f>
        <v/>
      </c>
      <c r="K236" s="21">
        <f>IFERROR(IF(J236/P236&gt;1,P236,J236),0)</f>
        <v/>
      </c>
      <c r="L236" s="36" t="n">
        <v>6563</v>
      </c>
      <c r="M236" s="21">
        <f>L236*H236</f>
        <v/>
      </c>
      <c r="N236" s="21">
        <f>IFERROR(IF(M236/K236&gt;1,K236,M236),0)</f>
        <v/>
      </c>
      <c r="O236" s="36" t="n">
        <v>9000</v>
      </c>
      <c r="P236" s="21">
        <f>O236*H236</f>
        <v/>
      </c>
      <c r="Q236" s="30">
        <f>IF(MONTH(E236+1)=MONTH(E236+6),MONTH(E236+1),IF(MIN(EOMONTH(E236+1,0),E236+6)-(E236+1)+1&gt;=3,MONTH(E236+1),MONTH(E236+6)))</f>
        <v/>
      </c>
      <c r="R236" s="22">
        <f>IFERROR(K236/P236, 0)</f>
        <v/>
      </c>
      <c r="S236" s="38">
        <f>IFERROR(N236/P236,0)</f>
        <v/>
      </c>
      <c r="T236" s="31">
        <f>IFERROR(IF(N236&gt;0,(N236/K236),MIN(1,M236/J236)),0)</f>
        <v/>
      </c>
      <c r="U236" s="33" t="n"/>
    </row>
    <row r="237" hidden="1" s="40">
      <c r="A237" s="23" t="inlineStr">
        <is>
          <t>Semana 2 - fevereiro</t>
        </is>
      </c>
      <c r="B237" s="27">
        <f>YEAR(E237)</f>
        <v/>
      </c>
      <c r="C237" s="18">
        <f>INDEX({"Janeiro";"Fevereiro";"Março";"Abril";"Maio";"Junho";"Julho";"Agosto";"Setembro";"Outubro";"Novembro";"Dezembro"},Q237)</f>
        <v/>
      </c>
      <c r="D237" s="24" t="n">
        <v>2</v>
      </c>
      <c r="E237" s="25" t="n">
        <v>46061</v>
      </c>
      <c r="F237" s="23" t="inlineStr">
        <is>
          <t>Doce de Leite Cacau 400g</t>
        </is>
      </c>
      <c r="G237" s="23" t="inlineStr">
        <is>
          <t>DOCE</t>
        </is>
      </c>
      <c r="H237" s="26" t="n">
        <v>0.4</v>
      </c>
      <c r="I237" s="36" t="n">
        <v>0</v>
      </c>
      <c r="J237" s="21">
        <f>I237*H237</f>
        <v/>
      </c>
      <c r="K237" s="21">
        <f>IFERROR(IF(J237/P237&gt;1,P237,J237),0)</f>
        <v/>
      </c>
      <c r="L237" s="36" t="n">
        <v>0</v>
      </c>
      <c r="M237" s="21">
        <f>L237*H237</f>
        <v/>
      </c>
      <c r="N237" s="21">
        <f>IFERROR(IF(M237/K237&gt;1,K237,M237),0)</f>
        <v/>
      </c>
      <c r="O237" s="36" t="n">
        <v>0</v>
      </c>
      <c r="P237" s="21">
        <f>O237*H237</f>
        <v/>
      </c>
      <c r="Q237" s="30">
        <f>IF(MONTH(E237+1)=MONTH(E237+6),MONTH(E237+1),IF(MIN(EOMONTH(E237+1,0),E237+6)-(E237+1)+1&gt;=3,MONTH(E237+1),MONTH(E237+6)))</f>
        <v/>
      </c>
      <c r="R237" s="22">
        <f>IFERROR(K237/P237, 0)</f>
        <v/>
      </c>
      <c r="S237" s="38">
        <f>IFERROR(N237/P237,0)</f>
        <v/>
      </c>
      <c r="T237" s="31">
        <f>IFERROR(IF(N237&gt;0,(N237/K237),MIN(1,M237/J237)),0)</f>
        <v/>
      </c>
      <c r="U237" s="33" t="n"/>
    </row>
    <row r="238" hidden="1" s="40">
      <c r="A238" s="18" t="inlineStr">
        <is>
          <t>Semana 2 - fevereiro</t>
        </is>
      </c>
      <c r="B238" s="27">
        <f>YEAR(E238)</f>
        <v/>
      </c>
      <c r="C238" s="18">
        <f>INDEX({"Janeiro";"Fevereiro";"Março";"Abril";"Maio";"Junho";"Julho";"Agosto";"Setembro";"Outubro";"Novembro";"Dezembro"},Q238)</f>
        <v/>
      </c>
      <c r="D238" s="19" t="n">
        <v>2</v>
      </c>
      <c r="E238" s="20" t="n">
        <v>46061</v>
      </c>
      <c r="F238" s="18" t="inlineStr">
        <is>
          <t>Doce de Leite Cacau 5kg - Bombeável</t>
        </is>
      </c>
      <c r="G238" s="18" t="inlineStr">
        <is>
          <t>DOCE</t>
        </is>
      </c>
      <c r="H238" s="21" t="n">
        <v>5</v>
      </c>
      <c r="I238" s="36" t="n">
        <v>0</v>
      </c>
      <c r="J238" s="21">
        <f>I238*H238</f>
        <v/>
      </c>
      <c r="K238" s="21">
        <f>IFERROR(IF(J238/P238&gt;1,P238,J238),0)</f>
        <v/>
      </c>
      <c r="L238" s="36" t="n">
        <v>0</v>
      </c>
      <c r="M238" s="21">
        <f>L238*H238</f>
        <v/>
      </c>
      <c r="N238" s="21">
        <f>IFERROR(IF(M238/K238&gt;1,K238,M238),0)</f>
        <v/>
      </c>
      <c r="O238" s="36" t="n">
        <v>0</v>
      </c>
      <c r="P238" s="21">
        <f>O238*H238</f>
        <v/>
      </c>
      <c r="Q238" s="30">
        <f>IF(MONTH(E238+1)=MONTH(E238+6),MONTH(E238+1),IF(MIN(EOMONTH(E238+1,0),E238+6)-(E238+1)+1&gt;=3,MONTH(E238+1),MONTH(E238+6)))</f>
        <v/>
      </c>
      <c r="R238" s="22">
        <f>IFERROR(K238/P238, 0)</f>
        <v/>
      </c>
      <c r="S238" s="38">
        <f>IFERROR(N238/P238,0)</f>
        <v/>
      </c>
      <c r="T238" s="31">
        <f>IFERROR(IF(N238&gt;0,(N238/K238),MIN(1,M238/J238)),0)</f>
        <v/>
      </c>
      <c r="U238" s="33" t="n"/>
    </row>
    <row r="239" hidden="1" s="40">
      <c r="A239" s="23" t="inlineStr">
        <is>
          <t>Semana 2 - fevereiro</t>
        </is>
      </c>
      <c r="B239" s="27">
        <f>YEAR(E239)</f>
        <v/>
      </c>
      <c r="C239" s="18">
        <f>INDEX({"Janeiro";"Fevereiro";"Março";"Abril";"Maio";"Junho";"Julho";"Agosto";"Setembro";"Outubro";"Novembro";"Dezembro"},Q239)</f>
        <v/>
      </c>
      <c r="D239" s="24" t="n">
        <v>2</v>
      </c>
      <c r="E239" s="25" t="n">
        <v>46061</v>
      </c>
      <c r="F239" s="23" t="inlineStr">
        <is>
          <t>Doce de Leite Cacau 5kg - FOOD</t>
        </is>
      </c>
      <c r="G239" s="23" t="inlineStr">
        <is>
          <t>DOCE</t>
        </is>
      </c>
      <c r="H239" s="26" t="n">
        <v>5</v>
      </c>
      <c r="I239" s="36" t="n">
        <v>60</v>
      </c>
      <c r="J239" s="21">
        <f>I239*H239</f>
        <v/>
      </c>
      <c r="K239" s="21">
        <f>IFERROR(IF(J239/P239&gt;1,P239,J239),0)</f>
        <v/>
      </c>
      <c r="L239" s="36" t="n">
        <v>74</v>
      </c>
      <c r="M239" s="21">
        <f>L239*H239</f>
        <v/>
      </c>
      <c r="N239" s="21">
        <f>IFERROR(IF(M239/K239&gt;1,K239,M239),0)</f>
        <v/>
      </c>
      <c r="O239" s="36" t="n">
        <v>60</v>
      </c>
      <c r="P239" s="21">
        <f>O239*H239</f>
        <v/>
      </c>
      <c r="Q239" s="30">
        <f>IF(MONTH(E239+1)=MONTH(E239+6),MONTH(E239+1),IF(MIN(EOMONTH(E239+1,0),E239+6)-(E239+1)+1&gt;=3,MONTH(E239+1),MONTH(E239+6)))</f>
        <v/>
      </c>
      <c r="R239" s="22">
        <f>IFERROR(K239/P239, 0)</f>
        <v/>
      </c>
      <c r="S239" s="38">
        <f>IFERROR(N239/P239,0)</f>
        <v/>
      </c>
      <c r="T239" s="31">
        <f>IFERROR(IF(N239&gt;0,(N239/K239),MIN(1,M239/J239)),0)</f>
        <v/>
      </c>
      <c r="U239" s="33" t="n"/>
    </row>
    <row r="240" hidden="1" s="40">
      <c r="A240" s="18" t="inlineStr">
        <is>
          <t>Semana 2 - fevereiro</t>
        </is>
      </c>
      <c r="B240" s="27">
        <f>YEAR(E240)</f>
        <v/>
      </c>
      <c r="C240" s="18">
        <f>INDEX({"Janeiro";"Fevereiro";"Março";"Abril";"Maio";"Junho";"Julho";"Agosto";"Setembro";"Outubro";"Novembro";"Dezembro"},Q240)</f>
        <v/>
      </c>
      <c r="D240" s="19" t="n">
        <v>2</v>
      </c>
      <c r="E240" s="20" t="n">
        <v>46061</v>
      </c>
      <c r="F240" s="18" t="inlineStr">
        <is>
          <t>Doce de Leite c/ Café 400</t>
        </is>
      </c>
      <c r="G240" s="18" t="inlineStr">
        <is>
          <t>DOCE</t>
        </is>
      </c>
      <c r="H240" s="21" t="n">
        <v>0.4</v>
      </c>
      <c r="I240" s="36" t="n">
        <v>0</v>
      </c>
      <c r="J240" s="21">
        <f>I240*H240</f>
        <v/>
      </c>
      <c r="K240" s="21">
        <f>IFERROR(IF(J240/P240&gt;1,P240,J240),0)</f>
        <v/>
      </c>
      <c r="L240" s="36" t="n">
        <v>0</v>
      </c>
      <c r="M240" s="21">
        <f>L240*H240</f>
        <v/>
      </c>
      <c r="N240" s="21">
        <f>IFERROR(IF(M240/K240&gt;1,K240,M240),0)</f>
        <v/>
      </c>
      <c r="O240" s="36" t="n">
        <v>0</v>
      </c>
      <c r="P240" s="21">
        <f>O240*H240</f>
        <v/>
      </c>
      <c r="Q240" s="30">
        <f>IF(MONTH(E240+1)=MONTH(E240+6),MONTH(E240+1),IF(MIN(EOMONTH(E240+1,0),E240+6)-(E240+1)+1&gt;=3,MONTH(E240+1),MONTH(E240+6)))</f>
        <v/>
      </c>
      <c r="R240" s="22">
        <f>IFERROR(K240/P240, 0)</f>
        <v/>
      </c>
      <c r="S240" s="38">
        <f>IFERROR(N240/P240,0)</f>
        <v/>
      </c>
      <c r="T240" s="31">
        <f>IFERROR(IF(N240&gt;0,(N240/K240),MIN(1,M240/J240)),0)</f>
        <v/>
      </c>
      <c r="U240" s="33" t="n"/>
    </row>
    <row r="241" hidden="1" s="40">
      <c r="A241" s="23" t="inlineStr">
        <is>
          <t>Semana 2 - fevereiro</t>
        </is>
      </c>
      <c r="B241" s="27">
        <f>YEAR(E241)</f>
        <v/>
      </c>
      <c r="C241" s="18">
        <f>INDEX({"Janeiro";"Fevereiro";"Março";"Abril";"Maio";"Junho";"Julho";"Agosto";"Setembro";"Outubro";"Novembro";"Dezembro"},Q241)</f>
        <v/>
      </c>
      <c r="D241" s="24" t="n">
        <v>2</v>
      </c>
      <c r="E241" s="25" t="n">
        <v>46061</v>
      </c>
      <c r="F241" s="23" t="inlineStr">
        <is>
          <t>Doce de Leite c/ Café 5kg</t>
        </is>
      </c>
      <c r="G241" s="23" t="inlineStr">
        <is>
          <t>DOCE</t>
        </is>
      </c>
      <c r="H241" s="26" t="n">
        <v>5</v>
      </c>
      <c r="I241" s="36" t="n">
        <v>160</v>
      </c>
      <c r="J241" s="21">
        <f>I241*H241</f>
        <v/>
      </c>
      <c r="K241" s="21">
        <f>IFERROR(IF(J241/P241&gt;1,P241,J241),0)</f>
        <v/>
      </c>
      <c r="L241" s="36" t="n">
        <v>160</v>
      </c>
      <c r="M241" s="21">
        <f>L241*H241</f>
        <v/>
      </c>
      <c r="N241" s="21">
        <f>IFERROR(IF(M241/K241&gt;1,K241,M241),0)</f>
        <v/>
      </c>
      <c r="O241" s="36" t="n">
        <v>160</v>
      </c>
      <c r="P241" s="21">
        <f>O241*H241</f>
        <v/>
      </c>
      <c r="Q241" s="30">
        <f>IF(MONTH(E241+1)=MONTH(E241+6),MONTH(E241+1),IF(MIN(EOMONTH(E241+1,0),E241+6)-(E241+1)+1&gt;=3,MONTH(E241+1),MONTH(E241+6)))</f>
        <v/>
      </c>
      <c r="R241" s="22">
        <f>IFERROR(K241/P241, 0)</f>
        <v/>
      </c>
      <c r="S241" s="38">
        <f>IFERROR(N241/P241,0)</f>
        <v/>
      </c>
      <c r="T241" s="31">
        <f>IFERROR(IF(N241&gt;0,(N241/K241),MIN(1,M241/J241)),0)</f>
        <v/>
      </c>
      <c r="U241" s="33" t="n"/>
    </row>
    <row r="242" hidden="1" s="40">
      <c r="A242" s="18" t="inlineStr">
        <is>
          <t>Semana 2 - fevereiro</t>
        </is>
      </c>
      <c r="B242" s="27">
        <f>YEAR(E242)</f>
        <v/>
      </c>
      <c r="C242" s="18">
        <f>INDEX({"Janeiro";"Fevereiro";"Março";"Abril";"Maio";"Junho";"Julho";"Agosto";"Setembro";"Outubro";"Novembro";"Dezembro"},Q242)</f>
        <v/>
      </c>
      <c r="D242" s="19" t="n">
        <v>2</v>
      </c>
      <c r="E242" s="20" t="n">
        <v>46061</v>
      </c>
      <c r="F242" s="18" t="inlineStr">
        <is>
          <t>Doce de Leite c/ coco 400</t>
        </is>
      </c>
      <c r="G242" s="18" t="inlineStr">
        <is>
          <t>DOCE</t>
        </is>
      </c>
      <c r="H242" s="21" t="n">
        <v>0.4</v>
      </c>
      <c r="I242" s="36" t="n">
        <v>6000</v>
      </c>
      <c r="J242" s="21">
        <f>I242*H242</f>
        <v/>
      </c>
      <c r="K242" s="21">
        <f>IFERROR(IF(J242/P242&gt;1,P242,J242),0)</f>
        <v/>
      </c>
      <c r="L242" s="36" t="n">
        <v>7097</v>
      </c>
      <c r="M242" s="21">
        <f>L242*H242</f>
        <v/>
      </c>
      <c r="N242" s="21">
        <f>IFERROR(IF(M242/K242&gt;1,K242,M242),0)</f>
        <v/>
      </c>
      <c r="O242" s="36" t="n">
        <v>6000</v>
      </c>
      <c r="P242" s="21">
        <f>O242*H242</f>
        <v/>
      </c>
      <c r="Q242" s="30">
        <f>IF(MONTH(E242+1)=MONTH(E242+6),MONTH(E242+1),IF(MIN(EOMONTH(E242+1,0),E242+6)-(E242+1)+1&gt;=3,MONTH(E242+1),MONTH(E242+6)))</f>
        <v/>
      </c>
      <c r="R242" s="22">
        <f>IFERROR(K242/P242, 0)</f>
        <v/>
      </c>
      <c r="S242" s="38">
        <f>IFERROR(N242/P242,0)</f>
        <v/>
      </c>
      <c r="T242" s="31">
        <f>IFERROR(IF(N242&gt;0,(N242/K242),MIN(1,M242/J242)),0)</f>
        <v/>
      </c>
      <c r="U242" s="33" t="n"/>
    </row>
    <row r="243" hidden="1" s="40">
      <c r="A243" s="23" t="inlineStr">
        <is>
          <t>Semana 2 - fevereiro</t>
        </is>
      </c>
      <c r="B243" s="27">
        <f>YEAR(E243)</f>
        <v/>
      </c>
      <c r="C243" s="18">
        <f>INDEX({"Janeiro";"Fevereiro";"Março";"Abril";"Maio";"Junho";"Julho";"Agosto";"Setembro";"Outubro";"Novembro";"Dezembro"},Q243)</f>
        <v/>
      </c>
      <c r="D243" s="24" t="n">
        <v>2</v>
      </c>
      <c r="E243" s="25" t="n">
        <v>46061</v>
      </c>
      <c r="F243" s="23" t="inlineStr">
        <is>
          <t>IOGURTE VIÇOSA MORANGO LIGHT 180g</t>
        </is>
      </c>
      <c r="G243" s="23" t="inlineStr">
        <is>
          <t>IOGURTE</t>
        </is>
      </c>
      <c r="H243" s="26" t="n">
        <v>0.18</v>
      </c>
      <c r="I243" s="36" t="n">
        <v>0</v>
      </c>
      <c r="J243" s="21">
        <f>I243*H243</f>
        <v/>
      </c>
      <c r="K243" s="21">
        <f>IFERROR(IF(J243/P243&gt;1,P243,J243),0)</f>
        <v/>
      </c>
      <c r="L243" s="36" t="n">
        <v>0</v>
      </c>
      <c r="M243" s="21">
        <f>L243*H243</f>
        <v/>
      </c>
      <c r="N243" s="21">
        <f>IFERROR(IF(M243/K243&gt;1,K243,M243),0)</f>
        <v/>
      </c>
      <c r="O243" s="36" t="n">
        <v>0</v>
      </c>
      <c r="P243" s="21">
        <f>O243*H243</f>
        <v/>
      </c>
      <c r="Q243" s="30">
        <f>IF(MONTH(E243+1)=MONTH(E243+6),MONTH(E243+1),IF(MIN(EOMONTH(E243+1,0),E243+6)-(E243+1)+1&gt;=3,MONTH(E243+1),MONTH(E243+6)))</f>
        <v/>
      </c>
      <c r="R243" s="22">
        <f>IFERROR(K243/P243, 0)</f>
        <v/>
      </c>
      <c r="S243" s="38">
        <f>IFERROR(N243/P243,0)</f>
        <v/>
      </c>
      <c r="T243" s="31">
        <f>IFERROR(IF(N243&gt;0,(N243/K243),MIN(1,M243/J243)),0)</f>
        <v/>
      </c>
      <c r="U243" s="33" t="n"/>
    </row>
    <row r="244" hidden="1" s="40">
      <c r="A244" s="18" t="inlineStr">
        <is>
          <t>Semana 2 - fevereiro</t>
        </is>
      </c>
      <c r="B244" s="27">
        <f>YEAR(E244)</f>
        <v/>
      </c>
      <c r="C244" s="18">
        <f>INDEX({"Janeiro";"Fevereiro";"Março";"Abril";"Maio";"Junho";"Julho";"Agosto";"Setembro";"Outubro";"Novembro";"Dezembro"},Q244)</f>
        <v/>
      </c>
      <c r="D244" s="19" t="n">
        <v>2</v>
      </c>
      <c r="E244" s="20" t="n">
        <v>46061</v>
      </c>
      <c r="F244" s="18" t="inlineStr">
        <is>
          <t>IOGURTE VIÇOSA MORANGO LIGHT 800g</t>
        </is>
      </c>
      <c r="G244" s="18" t="inlineStr">
        <is>
          <t>IOGURTE</t>
        </is>
      </c>
      <c r="H244" s="21" t="n">
        <v>0.8</v>
      </c>
      <c r="I244" s="36" t="n">
        <v>0</v>
      </c>
      <c r="J244" s="21">
        <f>I244*H244</f>
        <v/>
      </c>
      <c r="K244" s="21">
        <f>IFERROR(IF(J244/P244&gt;1,P244,J244),0)</f>
        <v/>
      </c>
      <c r="L244" s="36" t="n">
        <v>0</v>
      </c>
      <c r="M244" s="21">
        <f>L244*H244</f>
        <v/>
      </c>
      <c r="N244" s="21">
        <f>IFERROR(IF(M244/K244&gt;1,K244,M244),0)</f>
        <v/>
      </c>
      <c r="O244" s="36" t="n">
        <v>0</v>
      </c>
      <c r="P244" s="21">
        <f>O244*H244</f>
        <v/>
      </c>
      <c r="Q244" s="30">
        <f>IF(MONTH(E244+1)=MONTH(E244+6),MONTH(E244+1),IF(MIN(EOMONTH(E244+1,0),E244+6)-(E244+1)+1&gt;=3,MONTH(E244+1),MONTH(E244+6)))</f>
        <v/>
      </c>
      <c r="R244" s="22">
        <f>IFERROR(K244/P244, 0)</f>
        <v/>
      </c>
      <c r="S244" s="38">
        <f>IFERROR(N244/P244,0)</f>
        <v/>
      </c>
      <c r="T244" s="31">
        <f>IFERROR(IF(N244&gt;0,(N244/K244),MIN(1,M244/J244)),0)</f>
        <v/>
      </c>
      <c r="U244" s="33" t="n"/>
    </row>
    <row r="245" hidden="1" s="40">
      <c r="A245" s="18" t="inlineStr">
        <is>
          <t>Semana 2 - fevereiro</t>
        </is>
      </c>
      <c r="B245" s="27">
        <f>YEAR(E245)</f>
        <v/>
      </c>
      <c r="C245" s="18">
        <f>INDEX({"Janeiro";"Fevereiro";"Março";"Abril";"Maio";"Junho";"Julho";"Agosto";"Setembro";"Outubro";"Novembro";"Dezembro"},Q245)</f>
        <v/>
      </c>
      <c r="D245" s="19" t="n">
        <v>2</v>
      </c>
      <c r="E245" s="20" t="n">
        <v>46061</v>
      </c>
      <c r="F245" s="18" t="inlineStr">
        <is>
          <t>Iogurte Abacaxi c/ Coco 120g</t>
        </is>
      </c>
      <c r="G245" s="18" t="inlineStr">
        <is>
          <t>IOGURTE</t>
        </is>
      </c>
      <c r="H245" s="21" t="n">
        <v>0.12</v>
      </c>
      <c r="I245" s="36" t="n">
        <v>2000</v>
      </c>
      <c r="J245" s="21">
        <f>I245*H245</f>
        <v/>
      </c>
      <c r="K245" s="21">
        <f>IFERROR(IF(J245/P245&gt;1,P245,J245),0)</f>
        <v/>
      </c>
      <c r="L245" s="36" t="n">
        <v>2140</v>
      </c>
      <c r="M245" s="21">
        <f>L245*H245</f>
        <v/>
      </c>
      <c r="N245" s="21">
        <f>IFERROR(IF(M245/K245&gt;1,K245,M245),0)</f>
        <v/>
      </c>
      <c r="O245" s="36" t="n">
        <v>2000</v>
      </c>
      <c r="P245" s="21">
        <f>O245*H245</f>
        <v/>
      </c>
      <c r="Q245" s="30">
        <f>IF(MONTH(E245+1)=MONTH(E245+6),MONTH(E245+1),IF(MIN(EOMONTH(E245+1,0),E245+6)-(E245+1)+1&gt;=3,MONTH(E245+1),MONTH(E245+6)))</f>
        <v/>
      </c>
      <c r="R245" s="22">
        <f>IFERROR(K245/P245, 0)</f>
        <v/>
      </c>
      <c r="S245" s="38">
        <f>IFERROR(N245/P245,0)</f>
        <v/>
      </c>
      <c r="T245" s="31">
        <f>IFERROR(IF(N245&gt;0,(N245/K245),MIN(1,M245/J245)),0)</f>
        <v/>
      </c>
      <c r="U245" s="33" t="n"/>
    </row>
    <row r="246" hidden="1" s="40">
      <c r="A246" s="23" t="inlineStr">
        <is>
          <t>Semana 2 - fevereiro</t>
        </is>
      </c>
      <c r="B246" s="27">
        <f>YEAR(E246)</f>
        <v/>
      </c>
      <c r="C246" s="18">
        <f>INDEX({"Janeiro";"Fevereiro";"Março";"Abril";"Maio";"Junho";"Julho";"Agosto";"Setembro";"Outubro";"Novembro";"Dezembro"},Q246)</f>
        <v/>
      </c>
      <c r="D246" s="24" t="n">
        <v>2</v>
      </c>
      <c r="E246" s="25" t="n">
        <v>46061</v>
      </c>
      <c r="F246" s="23" t="inlineStr">
        <is>
          <t>Iogurte Abacaxi c/ Coco 185g</t>
        </is>
      </c>
      <c r="G246" s="23" t="inlineStr">
        <is>
          <t>IOGURTE</t>
        </is>
      </c>
      <c r="H246" s="26" t="n">
        <v>0.185</v>
      </c>
      <c r="I246" s="36" t="n">
        <v>520</v>
      </c>
      <c r="J246" s="21">
        <f>I246*H246</f>
        <v/>
      </c>
      <c r="K246" s="21">
        <f>IFERROR(IF(J246/P246&gt;1,P246,J246),0)</f>
        <v/>
      </c>
      <c r="L246" s="36" t="n">
        <v>480</v>
      </c>
      <c r="M246" s="21">
        <f>L246*H246</f>
        <v/>
      </c>
      <c r="N246" s="21">
        <f>IFERROR(IF(M246/K246&gt;1,K246,M246),0)</f>
        <v/>
      </c>
      <c r="O246" s="36" t="n">
        <v>520</v>
      </c>
      <c r="P246" s="21">
        <f>O246*H246</f>
        <v/>
      </c>
      <c r="Q246" s="30">
        <f>IF(MONTH(E246+1)=MONTH(E246+6),MONTH(E246+1),IF(MIN(EOMONTH(E246+1,0),E246+6)-(E246+1)+1&gt;=3,MONTH(E246+1),MONTH(E246+6)))</f>
        <v/>
      </c>
      <c r="R246" s="22">
        <f>IFERROR(K246/P246, 0)</f>
        <v/>
      </c>
      <c r="S246" s="38">
        <f>IFERROR(N246/P246,0)</f>
        <v/>
      </c>
      <c r="T246" s="31">
        <f>IFERROR(IF(N246&gt;0,(N246/K246),MIN(1,M246/J246)),0)</f>
        <v/>
      </c>
      <c r="U246" s="33" t="n"/>
    </row>
    <row r="247" hidden="1" s="40">
      <c r="A247" s="18" t="inlineStr">
        <is>
          <t>Semana 2 - fevereiro</t>
        </is>
      </c>
      <c r="B247" s="27">
        <f>YEAR(E247)</f>
        <v/>
      </c>
      <c r="C247" s="18">
        <f>INDEX({"Janeiro";"Fevereiro";"Março";"Abril";"Maio";"Junho";"Julho";"Agosto";"Setembro";"Outubro";"Novembro";"Dezembro"},Q247)</f>
        <v/>
      </c>
      <c r="D247" s="19" t="n">
        <v>2</v>
      </c>
      <c r="E247" s="20" t="n">
        <v>46061</v>
      </c>
      <c r="F247" s="18" t="inlineStr">
        <is>
          <t>Iogurte Abacaxi c/ Coco 900g</t>
        </is>
      </c>
      <c r="G247" s="18" t="inlineStr">
        <is>
          <t>IOGURTE</t>
        </is>
      </c>
      <c r="H247" s="21" t="n">
        <v>0.9</v>
      </c>
      <c r="I247" s="36" t="n">
        <v>1260</v>
      </c>
      <c r="J247" s="21">
        <f>I247*H247</f>
        <v/>
      </c>
      <c r="K247" s="21">
        <f>IFERROR(IF(J247/P247&gt;1,P247,J247),0)</f>
        <v/>
      </c>
      <c r="L247" s="36" t="n">
        <v>1249</v>
      </c>
      <c r="M247" s="21">
        <f>L247*H247</f>
        <v/>
      </c>
      <c r="N247" s="21">
        <f>IFERROR(IF(M247/K247&gt;1,K247,M247),0)</f>
        <v/>
      </c>
      <c r="O247" s="36" t="n">
        <v>1300</v>
      </c>
      <c r="P247" s="21">
        <f>O247*H247</f>
        <v/>
      </c>
      <c r="Q247" s="30">
        <f>IF(MONTH(E247+1)=MONTH(E247+6),MONTH(E247+1),IF(MIN(EOMONTH(E247+1,0),E247+6)-(E247+1)+1&gt;=3,MONTH(E247+1),MONTH(E247+6)))</f>
        <v/>
      </c>
      <c r="R247" s="22">
        <f>IFERROR(K247/P247, 0)</f>
        <v/>
      </c>
      <c r="S247" s="38">
        <f>IFERROR(N247/P247,0)</f>
        <v/>
      </c>
      <c r="T247" s="31">
        <f>IFERROR(IF(N247&gt;0,(N247/K247),MIN(1,M247/J247)),0)</f>
        <v/>
      </c>
      <c r="U247" s="33" t="n"/>
    </row>
    <row r="248" hidden="1" s="40">
      <c r="A248" s="18" t="inlineStr">
        <is>
          <t>Semana 2 - fevereiro</t>
        </is>
      </c>
      <c r="B248" s="27">
        <f>YEAR(E248)</f>
        <v/>
      </c>
      <c r="C248" s="18">
        <f>INDEX({"Janeiro";"Fevereiro";"Março";"Abril";"Maio";"Junho";"Julho";"Agosto";"Setembro";"Outubro";"Novembro";"Dezembro"},Q248)</f>
        <v/>
      </c>
      <c r="D248" s="19" t="n">
        <v>2</v>
      </c>
      <c r="E248" s="20" t="n">
        <v>46061</v>
      </c>
      <c r="F248" s="18" t="inlineStr">
        <is>
          <t>Iogurte Coco 120g</t>
        </is>
      </c>
      <c r="G248" s="18" t="inlineStr">
        <is>
          <t>IOGURTE</t>
        </is>
      </c>
      <c r="H248" s="21" t="n">
        <v>0.12</v>
      </c>
      <c r="I248" s="36" t="n">
        <v>4000</v>
      </c>
      <c r="J248" s="21">
        <f>I248*H248</f>
        <v/>
      </c>
      <c r="K248" s="21">
        <f>IFERROR(IF(J248/P248&gt;1,P248,J248),0)</f>
        <v/>
      </c>
      <c r="L248" s="36" t="n">
        <v>4093</v>
      </c>
      <c r="M248" s="21">
        <f>L248*H248</f>
        <v/>
      </c>
      <c r="N248" s="21">
        <f>IFERROR(IF(M248/K248&gt;1,K248,M248),0)</f>
        <v/>
      </c>
      <c r="O248" s="36" t="n">
        <v>4000</v>
      </c>
      <c r="P248" s="21">
        <f>O248*H248</f>
        <v/>
      </c>
      <c r="Q248" s="30">
        <f>IF(MONTH(E248+1)=MONTH(E248+6),MONTH(E248+1),IF(MIN(EOMONTH(E248+1,0),E248+6)-(E248+1)+1&gt;=3,MONTH(E248+1),MONTH(E248+6)))</f>
        <v/>
      </c>
      <c r="R248" s="22">
        <f>IFERROR(K248/P248, 0)</f>
        <v/>
      </c>
      <c r="S248" s="38">
        <f>IFERROR(N248/P248,0)</f>
        <v/>
      </c>
      <c r="T248" s="31">
        <f>IFERROR(IF(N248&gt;0,(N248/K248),MIN(1,M248/J248)),0)</f>
        <v/>
      </c>
      <c r="U248" s="33" t="n"/>
    </row>
    <row r="249" hidden="1" s="40">
      <c r="A249" s="23" t="inlineStr">
        <is>
          <t>Semana 2 - fevereiro</t>
        </is>
      </c>
      <c r="B249" s="27">
        <f>YEAR(E249)</f>
        <v/>
      </c>
      <c r="C249" s="18">
        <f>INDEX({"Janeiro";"Fevereiro";"Março";"Abril";"Maio";"Junho";"Julho";"Agosto";"Setembro";"Outubro";"Novembro";"Dezembro"},Q249)</f>
        <v/>
      </c>
      <c r="D249" s="24" t="n">
        <v>2</v>
      </c>
      <c r="E249" s="25" t="n">
        <v>46061</v>
      </c>
      <c r="F249" s="23" t="inlineStr">
        <is>
          <t>Iogurte Coco 185g</t>
        </is>
      </c>
      <c r="G249" s="23" t="inlineStr">
        <is>
          <t>IOGURTE</t>
        </is>
      </c>
      <c r="H249" s="26" t="n">
        <v>0.185</v>
      </c>
      <c r="I249" s="36" t="n">
        <v>780</v>
      </c>
      <c r="J249" s="21">
        <f>I249*H249</f>
        <v/>
      </c>
      <c r="K249" s="21">
        <f>IFERROR(IF(J249/P249&gt;1,P249,J249),0)</f>
        <v/>
      </c>
      <c r="L249" s="36" t="n">
        <v>775</v>
      </c>
      <c r="M249" s="21">
        <f>L249*H249</f>
        <v/>
      </c>
      <c r="N249" s="21">
        <f>IFERROR(IF(M249/K249&gt;1,K249,M249),0)</f>
        <v/>
      </c>
      <c r="O249" s="36" t="n">
        <v>780</v>
      </c>
      <c r="P249" s="21">
        <f>O249*H249</f>
        <v/>
      </c>
      <c r="Q249" s="30">
        <f>IF(MONTH(E249+1)=MONTH(E249+6),MONTH(E249+1),IF(MIN(EOMONTH(E249+1,0),E249+6)-(E249+1)+1&gt;=3,MONTH(E249+1),MONTH(E249+6)))</f>
        <v/>
      </c>
      <c r="R249" s="22">
        <f>IFERROR(K249/P249, 0)</f>
        <v/>
      </c>
      <c r="S249" s="38">
        <f>IFERROR(N249/P249,0)</f>
        <v/>
      </c>
      <c r="T249" s="31">
        <f>IFERROR(IF(N249&gt;0,(N249/K249),MIN(1,M249/J249)),0)</f>
        <v/>
      </c>
      <c r="U249" s="33" t="n"/>
    </row>
    <row r="250" hidden="1" s="40">
      <c r="A250" s="18" t="inlineStr">
        <is>
          <t>Semana 2 - fevereiro</t>
        </is>
      </c>
      <c r="B250" s="27">
        <f>YEAR(E250)</f>
        <v/>
      </c>
      <c r="C250" s="18">
        <f>INDEX({"Janeiro";"Fevereiro";"Março";"Abril";"Maio";"Junho";"Julho";"Agosto";"Setembro";"Outubro";"Novembro";"Dezembro"},Q250)</f>
        <v/>
      </c>
      <c r="D250" s="19" t="n">
        <v>2</v>
      </c>
      <c r="E250" s="20" t="n">
        <v>46061</v>
      </c>
      <c r="F250" s="18" t="inlineStr">
        <is>
          <t>Iogurte Coco 900g</t>
        </is>
      </c>
      <c r="G250" s="18" t="inlineStr">
        <is>
          <t>IOGURTE</t>
        </is>
      </c>
      <c r="H250" s="21" t="n">
        <v>0.9</v>
      </c>
      <c r="I250" s="36" t="n">
        <v>1890</v>
      </c>
      <c r="J250" s="21">
        <f>I250*H250</f>
        <v/>
      </c>
      <c r="K250" s="21">
        <f>IFERROR(IF(J250/P250&gt;1,P250,J250),0)</f>
        <v/>
      </c>
      <c r="L250" s="36" t="n">
        <v>1845</v>
      </c>
      <c r="M250" s="21">
        <f>L250*H250</f>
        <v/>
      </c>
      <c r="N250" s="21">
        <f>IFERROR(IF(M250/K250&gt;1,K250,M250),0)</f>
        <v/>
      </c>
      <c r="O250" s="36" t="n">
        <v>2100</v>
      </c>
      <c r="P250" s="21">
        <f>O250*H250</f>
        <v/>
      </c>
      <c r="Q250" s="30">
        <f>IF(MONTH(E250+1)=MONTH(E250+6),MONTH(E250+1),IF(MIN(EOMONTH(E250+1,0),E250+6)-(E250+1)+1&gt;=3,MONTH(E250+1),MONTH(E250+6)))</f>
        <v/>
      </c>
      <c r="R250" s="22">
        <f>IFERROR(K250/P250, 0)</f>
        <v/>
      </c>
      <c r="S250" s="38">
        <f>IFERROR(N250/P250,0)</f>
        <v/>
      </c>
      <c r="T250" s="31">
        <f>IFERROR(IF(N250&gt;0,(N250/K250),MIN(1,M250/J250)),0)</f>
        <v/>
      </c>
      <c r="U250" s="33" t="n"/>
    </row>
    <row r="251" hidden="1" s="40">
      <c r="A251" s="23" t="inlineStr">
        <is>
          <t>Semana 2 - fevereiro</t>
        </is>
      </c>
      <c r="B251" s="27">
        <f>YEAR(E251)</f>
        <v/>
      </c>
      <c r="C251" s="18">
        <f>INDEX({"Janeiro";"Fevereiro";"Março";"Abril";"Maio";"Junho";"Julho";"Agosto";"Setembro";"Outubro";"Novembro";"Dezembro"},Q251)</f>
        <v/>
      </c>
      <c r="D251" s="24" t="n">
        <v>2</v>
      </c>
      <c r="E251" s="25" t="n">
        <v>46061</v>
      </c>
      <c r="F251" s="23" t="inlineStr">
        <is>
          <t>Iogurte Grego Frutas vermelhas 120g</t>
        </is>
      </c>
      <c r="G251" s="23" t="inlineStr">
        <is>
          <t>IOGURTE</t>
        </is>
      </c>
      <c r="H251" s="26" t="n">
        <v>0.17</v>
      </c>
      <c r="I251" s="36" t="n">
        <v>0</v>
      </c>
      <c r="J251" s="21">
        <f>I251*H251</f>
        <v/>
      </c>
      <c r="K251" s="21">
        <f>IFERROR(IF(J251/P251&gt;1,P251,J251),0)</f>
        <v/>
      </c>
      <c r="L251" s="36" t="n">
        <v>0</v>
      </c>
      <c r="M251" s="21">
        <f>L251*H251</f>
        <v/>
      </c>
      <c r="N251" s="21">
        <f>IFERROR(IF(M251/K251&gt;1,K251,M251),0)</f>
        <v/>
      </c>
      <c r="O251" s="36" t="n">
        <v>0</v>
      </c>
      <c r="P251" s="21">
        <f>O251*H251</f>
        <v/>
      </c>
      <c r="Q251" s="30">
        <f>IF(MONTH(E251+1)=MONTH(E251+6),MONTH(E251+1),IF(MIN(EOMONTH(E251+1,0),E251+6)-(E251+1)+1&gt;=3,MONTH(E251+1),MONTH(E251+6)))</f>
        <v/>
      </c>
      <c r="R251" s="22">
        <f>IFERROR(K251/P251, 0)</f>
        <v/>
      </c>
      <c r="S251" s="38">
        <f>IFERROR(N251/P251,0)</f>
        <v/>
      </c>
      <c r="T251" s="31">
        <f>IFERROR(IF(N251&gt;0,(N251/K251),MIN(1,M251/J251)),0)</f>
        <v/>
      </c>
      <c r="U251" s="33" t="n"/>
    </row>
    <row r="252" hidden="1" s="40">
      <c r="A252" s="23" t="inlineStr">
        <is>
          <t>Semana 2 - fevereiro</t>
        </is>
      </c>
      <c r="B252" s="27">
        <f>YEAR(E252)</f>
        <v/>
      </c>
      <c r="C252" s="18">
        <f>INDEX({"Janeiro";"Fevereiro";"Março";"Abril";"Maio";"Junho";"Julho";"Agosto";"Setembro";"Outubro";"Novembro";"Dezembro"},Q252)</f>
        <v/>
      </c>
      <c r="D252" s="24" t="n">
        <v>2</v>
      </c>
      <c r="E252" s="25" t="n">
        <v>46061</v>
      </c>
      <c r="F252" s="23" t="inlineStr">
        <is>
          <t>Iogurte Morango 120g</t>
        </is>
      </c>
      <c r="G252" s="23" t="inlineStr">
        <is>
          <t>IOGURTE</t>
        </is>
      </c>
      <c r="H252" s="26" t="n">
        <v>0.12</v>
      </c>
      <c r="I252" s="36" t="n">
        <v>30500</v>
      </c>
      <c r="J252" s="21">
        <f>I252*H252</f>
        <v/>
      </c>
      <c r="K252" s="21">
        <f>IFERROR(IF(J252/P252&gt;1,P252,J252),0)</f>
        <v/>
      </c>
      <c r="L252" s="36" t="n">
        <v>28303</v>
      </c>
      <c r="M252" s="21">
        <f>L252*H252</f>
        <v/>
      </c>
      <c r="N252" s="21">
        <f>IFERROR(IF(M252/K252&gt;1,K252,M252),0)</f>
        <v/>
      </c>
      <c r="O252" s="36" t="n">
        <v>32000</v>
      </c>
      <c r="P252" s="21">
        <f>O252*H252</f>
        <v/>
      </c>
      <c r="Q252" s="30">
        <f>IF(MONTH(E252+1)=MONTH(E252+6),MONTH(E252+1),IF(MIN(EOMONTH(E252+1,0),E252+6)-(E252+1)+1&gt;=3,MONTH(E252+1),MONTH(E252+6)))</f>
        <v/>
      </c>
      <c r="R252" s="22">
        <f>IFERROR(K252/P252, 0)</f>
        <v/>
      </c>
      <c r="S252" s="38">
        <f>IFERROR(N252/P252,0)</f>
        <v/>
      </c>
      <c r="T252" s="31">
        <f>IFERROR(IF(N252&gt;0,(N252/K252),MIN(1,M252/J252)),0)</f>
        <v/>
      </c>
      <c r="U252" s="33" t="n"/>
    </row>
    <row r="253" hidden="1" s="40">
      <c r="A253" s="18" t="inlineStr">
        <is>
          <t>Semana 2 - fevereiro</t>
        </is>
      </c>
      <c r="B253" s="27">
        <f>YEAR(E253)</f>
        <v/>
      </c>
      <c r="C253" s="18">
        <f>INDEX({"Janeiro";"Fevereiro";"Março";"Abril";"Maio";"Junho";"Julho";"Agosto";"Setembro";"Outubro";"Novembro";"Dezembro"},Q253)</f>
        <v/>
      </c>
      <c r="D253" s="19" t="n">
        <v>2</v>
      </c>
      <c r="E253" s="20" t="n">
        <v>46061</v>
      </c>
      <c r="F253" s="18" t="inlineStr">
        <is>
          <t>Iogurte Morango 185g</t>
        </is>
      </c>
      <c r="G253" s="18" t="inlineStr">
        <is>
          <t>IOGURTE</t>
        </is>
      </c>
      <c r="H253" s="21" t="n">
        <v>0.185</v>
      </c>
      <c r="I253" s="36" t="n">
        <v>1560</v>
      </c>
      <c r="J253" s="21">
        <f>I253*H253</f>
        <v/>
      </c>
      <c r="K253" s="21">
        <f>IFERROR(IF(J253/P253&gt;1,P253,J253),0)</f>
        <v/>
      </c>
      <c r="L253" s="36" t="n">
        <v>1795</v>
      </c>
      <c r="M253" s="21">
        <f>L253*H253</f>
        <v/>
      </c>
      <c r="N253" s="21">
        <f>IFERROR(IF(M253/K253&gt;1,K253,M253),0)</f>
        <v/>
      </c>
      <c r="O253" s="36" t="n">
        <v>1560</v>
      </c>
      <c r="P253" s="21">
        <f>O253*H253</f>
        <v/>
      </c>
      <c r="Q253" s="30">
        <f>IF(MONTH(E253+1)=MONTH(E253+6),MONTH(E253+1),IF(MIN(EOMONTH(E253+1,0),E253+6)-(E253+1)+1&gt;=3,MONTH(E253+1),MONTH(E253+6)))</f>
        <v/>
      </c>
      <c r="R253" s="22">
        <f>IFERROR(K253/P253, 0)</f>
        <v/>
      </c>
      <c r="S253" s="38">
        <f>IFERROR(N253/P253,0)</f>
        <v/>
      </c>
      <c r="T253" s="31">
        <f>IFERROR(IF(N253&gt;0,(N253/K253),MIN(1,M253/J253)),0)</f>
        <v/>
      </c>
      <c r="U253" s="33" t="n"/>
    </row>
    <row r="254" hidden="1" s="40">
      <c r="A254" s="23" t="inlineStr">
        <is>
          <t>Semana 2 - fevereiro</t>
        </is>
      </c>
      <c r="B254" s="27">
        <f>YEAR(E254)</f>
        <v/>
      </c>
      <c r="C254" s="18">
        <f>INDEX({"Janeiro";"Fevereiro";"Março";"Abril";"Maio";"Junho";"Julho";"Agosto";"Setembro";"Outubro";"Novembro";"Dezembro"},Q254)</f>
        <v/>
      </c>
      <c r="D254" s="24" t="n">
        <v>2</v>
      </c>
      <c r="E254" s="25" t="n">
        <v>46061</v>
      </c>
      <c r="F254" s="23" t="inlineStr">
        <is>
          <t>Iogurte Morango 900G</t>
        </is>
      </c>
      <c r="G254" s="23" t="inlineStr">
        <is>
          <t>IOGURTE</t>
        </is>
      </c>
      <c r="H254" s="26" t="n">
        <v>0.9</v>
      </c>
      <c r="I254" s="36" t="n">
        <v>4140</v>
      </c>
      <c r="J254" s="21">
        <f>I254*H254</f>
        <v/>
      </c>
      <c r="K254" s="21">
        <f>IFERROR(IF(J254/P254&gt;1,P254,J254),0)</f>
        <v/>
      </c>
      <c r="L254" s="36" t="n">
        <v>4189</v>
      </c>
      <c r="M254" s="21">
        <f>L254*H254</f>
        <v/>
      </c>
      <c r="N254" s="21">
        <f>IFERROR(IF(M254/K254&gt;1,K254,M254),0)</f>
        <v/>
      </c>
      <c r="O254" s="36" t="n">
        <v>4200</v>
      </c>
      <c r="P254" s="21">
        <f>O254*H254</f>
        <v/>
      </c>
      <c r="Q254" s="30">
        <f>IF(MONTH(E254+1)=MONTH(E254+6),MONTH(E254+1),IF(MIN(EOMONTH(E254+1,0),E254+6)-(E254+1)+1&gt;=3,MONTH(E254+1),MONTH(E254+6)))</f>
        <v/>
      </c>
      <c r="R254" s="22">
        <f>IFERROR(K254/P254, 0)</f>
        <v/>
      </c>
      <c r="S254" s="38">
        <f>IFERROR(N254/P254,0)</f>
        <v/>
      </c>
      <c r="T254" s="31">
        <f>IFERROR(IF(N254&gt;0,(N254/K254),MIN(1,M254/J254)),0)</f>
        <v/>
      </c>
      <c r="U254" s="33" t="n"/>
    </row>
    <row r="255" hidden="1" s="40">
      <c r="A255" s="18" t="inlineStr">
        <is>
          <t>Semana 2 - fevereiro</t>
        </is>
      </c>
      <c r="B255" s="27">
        <f>YEAR(E255)</f>
        <v/>
      </c>
      <c r="C255" s="18">
        <f>INDEX({"Janeiro";"Fevereiro";"Março";"Abril";"Maio";"Junho";"Julho";"Agosto";"Setembro";"Outubro";"Novembro";"Dezembro"},Q255)</f>
        <v/>
      </c>
      <c r="D255" s="19" t="n">
        <v>2</v>
      </c>
      <c r="E255" s="20" t="n">
        <v>46061</v>
      </c>
      <c r="F255" s="18" t="inlineStr">
        <is>
          <t>Iogurte Natural Integral 170g</t>
        </is>
      </c>
      <c r="G255" s="18" t="inlineStr">
        <is>
          <t>IOGURTE</t>
        </is>
      </c>
      <c r="H255" s="21" t="n">
        <v>0.17</v>
      </c>
      <c r="I255" s="36" t="n">
        <v>3820</v>
      </c>
      <c r="J255" s="21">
        <f>I255*H255</f>
        <v/>
      </c>
      <c r="K255" s="21">
        <f>IFERROR(IF(J255/P255&gt;1,P255,J255),0)</f>
        <v/>
      </c>
      <c r="L255" s="36" t="n">
        <v>3400</v>
      </c>
      <c r="M255" s="21">
        <f>L255*H255</f>
        <v/>
      </c>
      <c r="N255" s="21">
        <f>IFERROR(IF(M255/K255&gt;1,K255,M255),0)</f>
        <v/>
      </c>
      <c r="O255" s="36" t="n">
        <v>3800</v>
      </c>
      <c r="P255" s="21">
        <f>O255*H255</f>
        <v/>
      </c>
      <c r="Q255" s="30">
        <f>IF(MONTH(E255+1)=MONTH(E255+6),MONTH(E255+1),IF(MIN(EOMONTH(E255+1,0),E255+6)-(E255+1)+1&gt;=3,MONTH(E255+1),MONTH(E255+6)))</f>
        <v/>
      </c>
      <c r="R255" s="22">
        <f>IFERROR(K255/P255, 0)</f>
        <v/>
      </c>
      <c r="S255" s="38">
        <f>IFERROR(N255/P255,0)</f>
        <v/>
      </c>
      <c r="T255" s="31">
        <f>IFERROR(IF(N255&gt;0,(N255/K255),MIN(1,M255/J255)),0)</f>
        <v/>
      </c>
      <c r="U255" s="33" t="n"/>
    </row>
    <row r="256" hidden="1" s="40">
      <c r="A256" s="23" t="inlineStr">
        <is>
          <t>Semana 2 - fevereiro</t>
        </is>
      </c>
      <c r="B256" s="27">
        <f>YEAR(E256)</f>
        <v/>
      </c>
      <c r="C256" s="18">
        <f>INDEX({"Janeiro";"Fevereiro";"Março";"Abril";"Maio";"Junho";"Julho";"Agosto";"Setembro";"Outubro";"Novembro";"Dezembro"},Q256)</f>
        <v/>
      </c>
      <c r="D256" s="24" t="n">
        <v>2</v>
      </c>
      <c r="E256" s="25" t="n">
        <v>46061</v>
      </c>
      <c r="F256" s="23" t="inlineStr">
        <is>
          <t>Iogurte Natural Triplo Zero 170g</t>
        </is>
      </c>
      <c r="G256" s="23" t="inlineStr">
        <is>
          <t>IOGURTE</t>
        </is>
      </c>
      <c r="H256" s="26" t="n">
        <v>0.17</v>
      </c>
      <c r="I256" s="36" t="n">
        <v>0</v>
      </c>
      <c r="J256" s="21">
        <f>I256*H256</f>
        <v/>
      </c>
      <c r="K256" s="21">
        <f>IFERROR(IF(J256/P256&gt;1,P256,J256),0)</f>
        <v/>
      </c>
      <c r="L256" s="36" t="n">
        <v>0</v>
      </c>
      <c r="M256" s="21">
        <f>L256*H256</f>
        <v/>
      </c>
      <c r="N256" s="21">
        <f>IFERROR(IF(M256/K256&gt;1,K256,M256),0)</f>
        <v/>
      </c>
      <c r="O256" s="36" t="n">
        <v>0</v>
      </c>
      <c r="P256" s="21">
        <f>O256*H256</f>
        <v/>
      </c>
      <c r="Q256" s="30">
        <f>IF(MONTH(E256+1)=MONTH(E256+6),MONTH(E256+1),IF(MIN(EOMONTH(E256+1,0),E256+6)-(E256+1)+1&gt;=3,MONTH(E256+1),MONTH(E256+6)))</f>
        <v/>
      </c>
      <c r="R256" s="22">
        <f>IFERROR(K256/P256, 0)</f>
        <v/>
      </c>
      <c r="S256" s="38">
        <f>IFERROR(N256/P256,0)</f>
        <v/>
      </c>
      <c r="T256" s="31">
        <f>IFERROR(IF(N256&gt;0,(N256/K256),MIN(1,M256/J256)),0)</f>
        <v/>
      </c>
      <c r="U256" s="33" t="n"/>
    </row>
    <row r="257" hidden="1" s="40">
      <c r="A257" s="23" t="inlineStr">
        <is>
          <t>Semana 2 - fevereiro</t>
        </is>
      </c>
      <c r="B257" s="27">
        <f>YEAR(E257)</f>
        <v/>
      </c>
      <c r="C257" s="18">
        <f>INDEX({"Janeiro";"Fevereiro";"Março";"Abril";"Maio";"Junho";"Julho";"Agosto";"Setembro";"Outubro";"Novembro";"Dezembro"},Q257)</f>
        <v/>
      </c>
      <c r="D257" s="24" t="n">
        <v>2</v>
      </c>
      <c r="E257" s="25" t="n">
        <v>46061</v>
      </c>
      <c r="F257" s="23" t="inlineStr">
        <is>
          <t>Iogurte Salada 120g</t>
        </is>
      </c>
      <c r="G257" s="23" t="inlineStr">
        <is>
          <t>IOGURTE</t>
        </is>
      </c>
      <c r="H257" s="26" t="n">
        <v>0.12</v>
      </c>
      <c r="I257" s="36" t="n">
        <v>2000</v>
      </c>
      <c r="J257" s="21">
        <f>I257*H257</f>
        <v/>
      </c>
      <c r="K257" s="21">
        <f>IFERROR(IF(J257/P257&gt;1,P257,J257),0)</f>
        <v/>
      </c>
      <c r="L257" s="36" t="n">
        <v>2108</v>
      </c>
      <c r="M257" s="21">
        <f>L257*H257</f>
        <v/>
      </c>
      <c r="N257" s="21">
        <f>IFERROR(IF(M257/K257&gt;1,K257,M257),0)</f>
        <v/>
      </c>
      <c r="O257" s="36" t="n">
        <v>2000</v>
      </c>
      <c r="P257" s="21">
        <f>O257*H257</f>
        <v/>
      </c>
      <c r="Q257" s="30">
        <f>IF(MONTH(E257+1)=MONTH(E257+6),MONTH(E257+1),IF(MIN(EOMONTH(E257+1,0),E257+6)-(E257+1)+1&gt;=3,MONTH(E257+1),MONTH(E257+6)))</f>
        <v/>
      </c>
      <c r="R257" s="22">
        <f>IFERROR(K257/P257, 0)</f>
        <v/>
      </c>
      <c r="S257" s="38">
        <f>IFERROR(N257/P257,0)</f>
        <v/>
      </c>
      <c r="T257" s="31">
        <f>IFERROR(IF(N257&gt;0,(N257/K257),MIN(1,M257/J257)),0)</f>
        <v/>
      </c>
      <c r="U257" s="33" t="n"/>
    </row>
    <row r="258" hidden="1" s="40">
      <c r="A258" s="18" t="inlineStr">
        <is>
          <t>Semana 2 - fevereiro</t>
        </is>
      </c>
      <c r="B258" s="27">
        <f>YEAR(E258)</f>
        <v/>
      </c>
      <c r="C258" s="18">
        <f>INDEX({"Janeiro";"Fevereiro";"Março";"Abril";"Maio";"Junho";"Julho";"Agosto";"Setembro";"Outubro";"Novembro";"Dezembro"},Q258)</f>
        <v/>
      </c>
      <c r="D258" s="19" t="n">
        <v>2</v>
      </c>
      <c r="E258" s="20" t="n">
        <v>46061</v>
      </c>
      <c r="F258" s="18" t="inlineStr">
        <is>
          <t>Iogurte Salada 185g</t>
        </is>
      </c>
      <c r="G258" s="18" t="inlineStr">
        <is>
          <t>IOGURTE</t>
        </is>
      </c>
      <c r="H258" s="21" t="n">
        <v>0.185</v>
      </c>
      <c r="I258" s="36" t="n">
        <v>780</v>
      </c>
      <c r="J258" s="21">
        <f>I258*H258</f>
        <v/>
      </c>
      <c r="K258" s="21">
        <f>IFERROR(IF(J258/P258&gt;1,P258,J258),0)</f>
        <v/>
      </c>
      <c r="L258" s="36" t="n">
        <v>654</v>
      </c>
      <c r="M258" s="21">
        <f>L258*H258</f>
        <v/>
      </c>
      <c r="N258" s="21">
        <f>IFERROR(IF(M258/K258&gt;1,K258,M258),0)</f>
        <v/>
      </c>
      <c r="O258" s="36" t="n">
        <v>780</v>
      </c>
      <c r="P258" s="21">
        <f>O258*H258</f>
        <v/>
      </c>
      <c r="Q258" s="30">
        <f>IF(MONTH(E258+1)=MONTH(E258+6),MONTH(E258+1),IF(MIN(EOMONTH(E258+1,0),E258+6)-(E258+1)+1&gt;=3,MONTH(E258+1),MONTH(E258+6)))</f>
        <v/>
      </c>
      <c r="R258" s="22">
        <f>IFERROR(K258/P258, 0)</f>
        <v/>
      </c>
      <c r="S258" s="38">
        <f>IFERROR(N258/P258,0)</f>
        <v/>
      </c>
      <c r="T258" s="31">
        <f>IFERROR(IF(N258&gt;0,(N258/K258),MIN(1,M258/J258)),0)</f>
        <v/>
      </c>
      <c r="U258" s="33" t="n"/>
    </row>
    <row r="259" hidden="1" s="40">
      <c r="A259" s="23" t="inlineStr">
        <is>
          <t>Semana 2 - fevereiro</t>
        </is>
      </c>
      <c r="B259" s="27">
        <f>YEAR(E259)</f>
        <v/>
      </c>
      <c r="C259" s="18">
        <f>INDEX({"Janeiro";"Fevereiro";"Março";"Abril";"Maio";"Junho";"Julho";"Agosto";"Setembro";"Outubro";"Novembro";"Dezembro"},Q259)</f>
        <v/>
      </c>
      <c r="D259" s="24" t="n">
        <v>2</v>
      </c>
      <c r="E259" s="25" t="n">
        <v>46061</v>
      </c>
      <c r="F259" s="23" t="inlineStr">
        <is>
          <t>Iogurte Salada 900g</t>
        </is>
      </c>
      <c r="G259" s="23" t="inlineStr">
        <is>
          <t>IOGURTE</t>
        </is>
      </c>
      <c r="H259" s="26" t="n">
        <v>0.9</v>
      </c>
      <c r="I259" s="36" t="n">
        <v>2160</v>
      </c>
      <c r="J259" s="21">
        <f>I259*H259</f>
        <v/>
      </c>
      <c r="K259" s="21">
        <f>IFERROR(IF(J259/P259&gt;1,P259,J259),0)</f>
        <v/>
      </c>
      <c r="L259" s="36" t="n">
        <v>2242</v>
      </c>
      <c r="M259" s="21">
        <f>L259*H259</f>
        <v/>
      </c>
      <c r="N259" s="21">
        <f>IFERROR(IF(M259/K259&gt;1,K259,M259),0)</f>
        <v/>
      </c>
      <c r="O259" s="36" t="n">
        <v>2300</v>
      </c>
      <c r="P259" s="21">
        <f>O259*H259</f>
        <v/>
      </c>
      <c r="Q259" s="30">
        <f>IF(MONTH(E259+1)=MONTH(E259+6),MONTH(E259+1),IF(MIN(EOMONTH(E259+1,0),E259+6)-(E259+1)+1&gt;=3,MONTH(E259+1),MONTH(E259+6)))</f>
        <v/>
      </c>
      <c r="R259" s="22">
        <f>IFERROR(K259/P259, 0)</f>
        <v/>
      </c>
      <c r="S259" s="38">
        <f>IFERROR(N259/P259,0)</f>
        <v/>
      </c>
      <c r="T259" s="31">
        <f>IFERROR(IF(N259&gt;0,(N259/K259),MIN(1,M259/J259)),0)</f>
        <v/>
      </c>
      <c r="U259" s="33" t="n"/>
    </row>
    <row r="260" hidden="1" s="40">
      <c r="A260" s="18" t="inlineStr">
        <is>
          <t>Semana 2 - fevereiro</t>
        </is>
      </c>
      <c r="B260" s="27">
        <f>YEAR(E260)</f>
        <v/>
      </c>
      <c r="C260" s="18">
        <f>INDEX({"Janeiro";"Fevereiro";"Março";"Abril";"Maio";"Junho";"Julho";"Agosto";"Setembro";"Outubro";"Novembro";"Dezembro"},Q260)</f>
        <v/>
      </c>
      <c r="D260" s="19" t="n">
        <v>2</v>
      </c>
      <c r="E260" s="20" t="n">
        <v>46061</v>
      </c>
      <c r="F260" s="18" t="inlineStr">
        <is>
          <t>Iogurte Vida Leve Ameixa c/ Grãos 180g</t>
        </is>
      </c>
      <c r="G260" s="18" t="inlineStr">
        <is>
          <t>IOGURTE</t>
        </is>
      </c>
      <c r="H260" s="21" t="n">
        <v>0.18</v>
      </c>
      <c r="I260" s="36" t="n">
        <v>0</v>
      </c>
      <c r="J260" s="21">
        <f>I260*H260</f>
        <v/>
      </c>
      <c r="K260" s="21">
        <f>IFERROR(IF(J260/P260&gt;1,P260,J260),0)</f>
        <v/>
      </c>
      <c r="L260" s="36" t="n">
        <v>0</v>
      </c>
      <c r="M260" s="21">
        <f>L260*H260</f>
        <v/>
      </c>
      <c r="N260" s="21">
        <f>IFERROR(IF(M260/K260&gt;1,K260,M260),0)</f>
        <v/>
      </c>
      <c r="O260" s="36" t="n">
        <v>0</v>
      </c>
      <c r="P260" s="21">
        <f>O260*H260</f>
        <v/>
      </c>
      <c r="Q260" s="30">
        <f>IF(MONTH(E260+1)=MONTH(E260+6),MONTH(E260+1),IF(MIN(EOMONTH(E260+1,0),E260+6)-(E260+1)+1&gt;=3,MONTH(E260+1),MONTH(E260+6)))</f>
        <v/>
      </c>
      <c r="R260" s="22">
        <f>IFERROR(K260/P260, 0)</f>
        <v/>
      </c>
      <c r="S260" s="38">
        <f>IFERROR(N260/P260,0)</f>
        <v/>
      </c>
      <c r="T260" s="31">
        <f>IFERROR(IF(N260&gt;0,(N260/K260),MIN(1,M260/J260)),0)</f>
        <v/>
      </c>
      <c r="U260" s="33" t="n"/>
    </row>
    <row r="261" hidden="1" s="40">
      <c r="A261" s="23" t="inlineStr">
        <is>
          <t>Semana 2 - fevereiro</t>
        </is>
      </c>
      <c r="B261" s="27">
        <f>YEAR(E261)</f>
        <v/>
      </c>
      <c r="C261" s="18">
        <f>INDEX({"Janeiro";"Fevereiro";"Março";"Abril";"Maio";"Junho";"Julho";"Agosto";"Setembro";"Outubro";"Novembro";"Dezembro"},Q261)</f>
        <v/>
      </c>
      <c r="D261" s="24" t="n">
        <v>2</v>
      </c>
      <c r="E261" s="25" t="n">
        <v>46061</v>
      </c>
      <c r="F261" s="23" t="inlineStr">
        <is>
          <t>Iogurte Vida Leve Ameixa c/ Grãos 500g</t>
        </is>
      </c>
      <c r="G261" s="23" t="inlineStr">
        <is>
          <t>IOGURTE</t>
        </is>
      </c>
      <c r="H261" s="26" t="n">
        <v>0.5</v>
      </c>
      <c r="I261" s="36" t="n">
        <v>0</v>
      </c>
      <c r="J261" s="21">
        <f>I261*H261</f>
        <v/>
      </c>
      <c r="K261" s="21">
        <f>IFERROR(IF(J261/P261&gt;1,P261,J261),0)</f>
        <v/>
      </c>
      <c r="L261" s="36" t="n">
        <v>0</v>
      </c>
      <c r="M261" s="21">
        <f>L261*H261</f>
        <v/>
      </c>
      <c r="N261" s="21">
        <f>IFERROR(IF(M261/K261&gt;1,K261,M261),0)</f>
        <v/>
      </c>
      <c r="O261" s="36" t="n">
        <v>0</v>
      </c>
      <c r="P261" s="21">
        <f>O261*H261</f>
        <v/>
      </c>
      <c r="Q261" s="30">
        <f>IF(MONTH(E261+1)=MONTH(E261+6),MONTH(E261+1),IF(MIN(EOMONTH(E261+1,0),E261+6)-(E261+1)+1&gt;=3,MONTH(E261+1),MONTH(E261+6)))</f>
        <v/>
      </c>
      <c r="R261" s="22">
        <f>IFERROR(K261/P261, 0)</f>
        <v/>
      </c>
      <c r="S261" s="38">
        <f>IFERROR(N261/P261,0)</f>
        <v/>
      </c>
      <c r="T261" s="31">
        <f>IFERROR(IF(N261&gt;0,(N261/K261),MIN(1,M261/J261)),0)</f>
        <v/>
      </c>
      <c r="U261" s="33" t="n"/>
    </row>
    <row r="262" hidden="1" s="40">
      <c r="A262" s="18" t="inlineStr">
        <is>
          <t>Semana 2 - fevereiro</t>
        </is>
      </c>
      <c r="B262" s="27">
        <f>YEAR(E262)</f>
        <v/>
      </c>
      <c r="C262" s="18">
        <f>INDEX({"Janeiro";"Fevereiro";"Março";"Abril";"Maio";"Junho";"Julho";"Agosto";"Setembro";"Outubro";"Novembro";"Dezembro"},Q262)</f>
        <v/>
      </c>
      <c r="D262" s="19" t="n">
        <v>2</v>
      </c>
      <c r="E262" s="20" t="n">
        <v>46061</v>
      </c>
      <c r="F262" s="18" t="inlineStr">
        <is>
          <t>Iogurte Vida Leve Morango 180g</t>
        </is>
      </c>
      <c r="G262" s="18" t="inlineStr">
        <is>
          <t>IOGURTE</t>
        </is>
      </c>
      <c r="H262" s="21" t="n">
        <v>0.185</v>
      </c>
      <c r="I262" s="36" t="n">
        <v>0</v>
      </c>
      <c r="J262" s="21">
        <f>I262*H262</f>
        <v/>
      </c>
      <c r="K262" s="21">
        <f>IFERROR(IF(J262/P262&gt;1,P262,J262),0)</f>
        <v/>
      </c>
      <c r="L262" s="36" t="n">
        <v>0</v>
      </c>
      <c r="M262" s="21">
        <f>L262*H262</f>
        <v/>
      </c>
      <c r="N262" s="21">
        <f>IFERROR(IF(M262/K262&gt;1,K262,M262),0)</f>
        <v/>
      </c>
      <c r="O262" s="36" t="n">
        <v>0</v>
      </c>
      <c r="P262" s="21">
        <f>O262*H262</f>
        <v/>
      </c>
      <c r="Q262" s="30">
        <f>IF(MONTH(E262+1)=MONTH(E262+6),MONTH(E262+1),IF(MIN(EOMONTH(E262+1,0),E262+6)-(E262+1)+1&gt;=3,MONTH(E262+1),MONTH(E262+6)))</f>
        <v/>
      </c>
      <c r="R262" s="22">
        <f>IFERROR(K262/P262, 0)</f>
        <v/>
      </c>
      <c r="S262" s="38">
        <f>IFERROR(N262/P262,0)</f>
        <v/>
      </c>
      <c r="T262" s="31">
        <f>IFERROR(IF(N262&gt;0,(N262/K262),MIN(1,M262/J262)),0)</f>
        <v/>
      </c>
      <c r="U262" s="33" t="n"/>
    </row>
    <row r="263" hidden="1" s="40">
      <c r="A263" s="23" t="inlineStr">
        <is>
          <t>Semana 2 - fevereiro</t>
        </is>
      </c>
      <c r="B263" s="27">
        <f>YEAR(E263)</f>
        <v/>
      </c>
      <c r="C263" s="18">
        <f>INDEX({"Janeiro";"Fevereiro";"Março";"Abril";"Maio";"Junho";"Julho";"Agosto";"Setembro";"Outubro";"Novembro";"Dezembro"},Q263)</f>
        <v/>
      </c>
      <c r="D263" s="24" t="n">
        <v>2</v>
      </c>
      <c r="E263" s="25" t="n">
        <v>46061</v>
      </c>
      <c r="F263" s="23" t="inlineStr">
        <is>
          <t>Iogurte Vida Leve Morango 500g</t>
        </is>
      </c>
      <c r="G263" s="23" t="inlineStr">
        <is>
          <t>IOGURTE</t>
        </is>
      </c>
      <c r="H263" s="26" t="n">
        <v>0.5</v>
      </c>
      <c r="I263" s="36" t="n">
        <v>0</v>
      </c>
      <c r="J263" s="21">
        <f>I263*H263</f>
        <v/>
      </c>
      <c r="K263" s="21">
        <f>IFERROR(IF(J263/P263&gt;1,P263,J263),0)</f>
        <v/>
      </c>
      <c r="L263" s="36" t="n">
        <v>0</v>
      </c>
      <c r="M263" s="21">
        <f>L263*H263</f>
        <v/>
      </c>
      <c r="N263" s="21">
        <f>IFERROR(IF(M263/K263&gt;1,K263,M263),0)</f>
        <v/>
      </c>
      <c r="O263" s="36" t="n">
        <v>0</v>
      </c>
      <c r="P263" s="21">
        <f>O263*H263</f>
        <v/>
      </c>
      <c r="Q263" s="30">
        <f>IF(MONTH(E263+1)=MONTH(E263+6),MONTH(E263+1),IF(MIN(EOMONTH(E263+1,0),E263+6)-(E263+1)+1&gt;=3,MONTH(E263+1),MONTH(E263+6)))</f>
        <v/>
      </c>
      <c r="R263" s="22">
        <f>IFERROR(K263/P263, 0)</f>
        <v/>
      </c>
      <c r="S263" s="38">
        <f>IFERROR(N263/P263,0)</f>
        <v/>
      </c>
      <c r="T263" s="31">
        <f>IFERROR(IF(N263&gt;0,(N263/K263),MIN(1,M263/J263)),0)</f>
        <v/>
      </c>
      <c r="U263" s="33" t="n"/>
    </row>
    <row r="264" hidden="1" s="40">
      <c r="A264" s="18" t="inlineStr">
        <is>
          <t>Semana 2 - fevereiro</t>
        </is>
      </c>
      <c r="B264" s="27">
        <f>YEAR(E264)</f>
        <v/>
      </c>
      <c r="C264" s="18">
        <f>INDEX({"Janeiro";"Fevereiro";"Março";"Abril";"Maio";"Junho";"Julho";"Agosto";"Setembro";"Outubro";"Novembro";"Dezembro"},Q264)</f>
        <v/>
      </c>
      <c r="D264" s="19" t="n">
        <v>2</v>
      </c>
      <c r="E264" s="20" t="n">
        <v>46061</v>
      </c>
      <c r="F264" s="18" t="inlineStr">
        <is>
          <t>LEITE PASTEURIZADO VIÇOSA DESNATADO</t>
        </is>
      </c>
      <c r="G264" s="18" t="inlineStr">
        <is>
          <t>LEITE PAST.</t>
        </is>
      </c>
      <c r="H264" s="21" t="n">
        <v>1</v>
      </c>
      <c r="I264" s="36" t="n">
        <v>697</v>
      </c>
      <c r="J264" s="21">
        <f>I264*H264</f>
        <v/>
      </c>
      <c r="K264" s="21">
        <f>IFERROR(IF(J264/P264&gt;1,P264,J264),0)</f>
        <v/>
      </c>
      <c r="L264" s="36" t="n">
        <v>697</v>
      </c>
      <c r="M264" s="21">
        <f>L264*H264</f>
        <v/>
      </c>
      <c r="N264" s="21">
        <f>IFERROR(IF(M264/K264&gt;1,K264,M264),0)</f>
        <v/>
      </c>
      <c r="O264" s="36" t="n">
        <v>697</v>
      </c>
      <c r="P264" s="21">
        <f>O264*H264</f>
        <v/>
      </c>
      <c r="Q264" s="30">
        <f>IF(MONTH(E264+1)=MONTH(E264+6),MONTH(E264+1),IF(MIN(EOMONTH(E264+1,0),E264+6)-(E264+1)+1&gt;=3,MONTH(E264+1),MONTH(E264+6)))</f>
        <v/>
      </c>
      <c r="R264" s="22">
        <f>IFERROR(K264/P264, 0)</f>
        <v/>
      </c>
      <c r="S264" s="38">
        <f>IFERROR(N264/P264,0)</f>
        <v/>
      </c>
      <c r="T264" s="31">
        <f>IFERROR(IF(N264&gt;0,(N264/K264),MIN(1,M264/J264)),0)</f>
        <v/>
      </c>
      <c r="U264" s="33" t="n"/>
    </row>
    <row r="265" hidden="1" s="40">
      <c r="A265" s="23" t="inlineStr">
        <is>
          <t>Semana 2 - fevereiro</t>
        </is>
      </c>
      <c r="B265" s="27">
        <f>YEAR(E265)</f>
        <v/>
      </c>
      <c r="C265" s="18">
        <f>INDEX({"Janeiro";"Fevereiro";"Março";"Abril";"Maio";"Junho";"Julho";"Agosto";"Setembro";"Outubro";"Novembro";"Dezembro"},Q265)</f>
        <v/>
      </c>
      <c r="D265" s="24" t="n">
        <v>2</v>
      </c>
      <c r="E265" s="25" t="n">
        <v>46061</v>
      </c>
      <c r="F265" s="23" t="inlineStr">
        <is>
          <t>LEITE PASTEURIZADO VIÇOSA INTEGRAL</t>
        </is>
      </c>
      <c r="G265" s="23" t="inlineStr">
        <is>
          <t>LEITE PAST.</t>
        </is>
      </c>
      <c r="H265" s="26" t="n">
        <v>1</v>
      </c>
      <c r="I265" s="36" t="n">
        <v>18431</v>
      </c>
      <c r="J265" s="21">
        <f>I265*H265</f>
        <v/>
      </c>
      <c r="K265" s="21">
        <f>IFERROR(IF(J265/P265&gt;1,P265,J265),0)</f>
        <v/>
      </c>
      <c r="L265" s="36" t="n">
        <v>18431</v>
      </c>
      <c r="M265" s="21">
        <f>L265*H265</f>
        <v/>
      </c>
      <c r="N265" s="21">
        <f>IFERROR(IF(M265/K265&gt;1,K265,M265),0)</f>
        <v/>
      </c>
      <c r="O265" s="36" t="n">
        <v>18431</v>
      </c>
      <c r="P265" s="21">
        <f>O265*H265</f>
        <v/>
      </c>
      <c r="Q265" s="30">
        <f>IF(MONTH(E265+1)=MONTH(E265+6),MONTH(E265+1),IF(MIN(EOMONTH(E265+1,0),E265+6)-(E265+1)+1&gt;=3,MONTH(E265+1),MONTH(E265+6)))</f>
        <v/>
      </c>
      <c r="R265" s="22">
        <f>IFERROR(K265/P265, 0)</f>
        <v/>
      </c>
      <c r="S265" s="38">
        <f>IFERROR(N265/P265,0)</f>
        <v/>
      </c>
      <c r="T265" s="31">
        <f>IFERROR(IF(N265&gt;0,(N265/K265),MIN(1,M265/J265)),0)</f>
        <v/>
      </c>
      <c r="U265" s="33" t="n"/>
    </row>
    <row r="266" hidden="1" s="40">
      <c r="A266" s="18" t="inlineStr">
        <is>
          <t>Semana 2 - fevereiro</t>
        </is>
      </c>
      <c r="B266" s="27">
        <f>YEAR(E266)</f>
        <v/>
      </c>
      <c r="C266" s="18">
        <f>INDEX({"Janeiro";"Fevereiro";"Março";"Abril";"Maio";"Junho";"Julho";"Agosto";"Setembro";"Outubro";"Novembro";"Dezembro"},Q266)</f>
        <v/>
      </c>
      <c r="D266" s="19" t="n">
        <v>2</v>
      </c>
      <c r="E266" s="20" t="n">
        <v>46061</v>
      </c>
      <c r="F266" s="18" t="inlineStr">
        <is>
          <t>LEITE PASTEURIZADO VIÇOSA ZERO LACTOSE INTEGRAL 1 L</t>
        </is>
      </c>
      <c r="G266" s="18" t="inlineStr">
        <is>
          <t>LEITE PAST.</t>
        </is>
      </c>
      <c r="H266" s="21" t="n">
        <v>1</v>
      </c>
      <c r="I266" s="36" t="n">
        <v>718</v>
      </c>
      <c r="J266" s="21">
        <f>I266*H266</f>
        <v/>
      </c>
      <c r="K266" s="21">
        <f>IFERROR(IF(J266/P266&gt;1,P266,J266),0)</f>
        <v/>
      </c>
      <c r="L266" s="36" t="n">
        <v>718</v>
      </c>
      <c r="M266" s="21">
        <f>L266*H266</f>
        <v/>
      </c>
      <c r="N266" s="21">
        <f>IFERROR(IF(M266/K266&gt;1,K266,M266),0)</f>
        <v/>
      </c>
      <c r="O266" s="36" t="n">
        <v>718</v>
      </c>
      <c r="P266" s="21">
        <f>O266*H266</f>
        <v/>
      </c>
      <c r="Q266" s="30">
        <f>IF(MONTH(E266+1)=MONTH(E266+6),MONTH(E266+1),IF(MIN(EOMONTH(E266+1,0),E266+6)-(E266+1)+1&gt;=3,MONTH(E266+1),MONTH(E266+6)))</f>
        <v/>
      </c>
      <c r="R266" s="22">
        <f>IFERROR(K266/P266, 0)</f>
        <v/>
      </c>
      <c r="S266" s="38">
        <f>IFERROR(N266/P266,0)</f>
        <v/>
      </c>
      <c r="T266" s="31">
        <f>IFERROR(IF(N266&gt;0,(N266/K266),MIN(1,M266/J266)),0)</f>
        <v/>
      </c>
      <c r="U266" s="33" t="n"/>
    </row>
    <row r="267" hidden="1" s="40">
      <c r="A267" s="23" t="inlineStr">
        <is>
          <t>Semana 2 - fevereiro</t>
        </is>
      </c>
      <c r="B267" s="27">
        <f>YEAR(E267)</f>
        <v/>
      </c>
      <c r="C267" s="18">
        <f>INDEX({"Janeiro";"Fevereiro";"Março";"Abril";"Maio";"Junho";"Julho";"Agosto";"Setembro";"Outubro";"Novembro";"Dezembro"},Q267)</f>
        <v/>
      </c>
      <c r="D267" s="24" t="n">
        <v>2</v>
      </c>
      <c r="E267" s="25" t="n">
        <v>46061</v>
      </c>
      <c r="F267" s="23" t="inlineStr">
        <is>
          <t>Manteiga 200g</t>
        </is>
      </c>
      <c r="G267" s="23" t="inlineStr">
        <is>
          <t>MANTEIGA</t>
        </is>
      </c>
      <c r="H267" s="26" t="n">
        <v>0.2</v>
      </c>
      <c r="I267" s="36" t="n">
        <v>3750</v>
      </c>
      <c r="J267" s="21">
        <f>I267*H267</f>
        <v/>
      </c>
      <c r="K267" s="21">
        <f>IFERROR(IF(J267/P267&gt;1,P267,J267),0)</f>
        <v/>
      </c>
      <c r="L267" s="36" t="n">
        <v>3341</v>
      </c>
      <c r="M267" s="21">
        <f>L267*H267</f>
        <v/>
      </c>
      <c r="N267" s="21">
        <f>IFERROR(IF(M267/K267&gt;1,K267,M267),0)</f>
        <v/>
      </c>
      <c r="O267" s="36" t="n">
        <v>2500</v>
      </c>
      <c r="P267" s="21">
        <f>O267*H267</f>
        <v/>
      </c>
      <c r="Q267" s="30">
        <f>IF(MONTH(E267+1)=MONTH(E267+6),MONTH(E267+1),IF(MIN(EOMONTH(E267+1,0),E267+6)-(E267+1)+1&gt;=3,MONTH(E267+1),MONTH(E267+6)))</f>
        <v/>
      </c>
      <c r="R267" s="22">
        <f>IFERROR(K267/P267, 0)</f>
        <v/>
      </c>
      <c r="S267" s="38">
        <f>IFERROR(N267/P267,0)</f>
        <v/>
      </c>
      <c r="T267" s="31">
        <f>IFERROR(IF(N267&gt;0,(N267/K267),MIN(1,M267/J267)),0)</f>
        <v/>
      </c>
      <c r="U267" s="33" t="n"/>
    </row>
    <row r="268" hidden="1" s="40">
      <c r="A268" s="18" t="inlineStr">
        <is>
          <t>Semana 2 - fevereiro</t>
        </is>
      </c>
      <c r="B268" s="27">
        <f>YEAR(E268)</f>
        <v/>
      </c>
      <c r="C268" s="18">
        <f>INDEX({"Janeiro";"Fevereiro";"Março";"Abril";"Maio";"Junho";"Julho";"Agosto";"Setembro";"Outubro";"Novembro";"Dezembro"},Q268)</f>
        <v/>
      </c>
      <c r="D268" s="19" t="n">
        <v>2</v>
      </c>
      <c r="E268" s="20" t="n">
        <v>46061</v>
      </c>
      <c r="F268" s="18" t="inlineStr">
        <is>
          <t>Manteiga 500g</t>
        </is>
      </c>
      <c r="G268" s="18" t="inlineStr">
        <is>
          <t>MANTEIGA</t>
        </is>
      </c>
      <c r="H268" s="21" t="n">
        <v>0.5</v>
      </c>
      <c r="I268" s="36" t="n">
        <v>1650</v>
      </c>
      <c r="J268" s="21">
        <f>I268*H268</f>
        <v/>
      </c>
      <c r="K268" s="21">
        <f>IFERROR(IF(J268/P268&gt;1,P268,J268),0)</f>
        <v/>
      </c>
      <c r="L268" s="36" t="n">
        <v>1207</v>
      </c>
      <c r="M268" s="21">
        <f>L268*H268</f>
        <v/>
      </c>
      <c r="N268" s="21">
        <f>IFERROR(IF(M268/K268&gt;1,K268,M268),0)</f>
        <v/>
      </c>
      <c r="O268" s="36" t="n">
        <v>1100</v>
      </c>
      <c r="P268" s="21">
        <f>O268*H268</f>
        <v/>
      </c>
      <c r="Q268" s="30">
        <f>IF(MONTH(E268+1)=MONTH(E268+6),MONTH(E268+1),IF(MIN(EOMONTH(E268+1,0),E268+6)-(E268+1)+1&gt;=3,MONTH(E268+1),MONTH(E268+6)))</f>
        <v/>
      </c>
      <c r="R268" s="22">
        <f>IFERROR(K268/P268, 0)</f>
        <v/>
      </c>
      <c r="S268" s="38">
        <f>IFERROR(N268/P268,0)</f>
        <v/>
      </c>
      <c r="T268" s="31">
        <f>IFERROR(IF(N268&gt;0,(N268/K268),MIN(1,M268/J268)),0)</f>
        <v/>
      </c>
      <c r="U268" s="33" t="n"/>
    </row>
    <row r="269" hidden="1" s="40">
      <c r="A269" s="23" t="inlineStr">
        <is>
          <t>Semana 2 - fevereiro</t>
        </is>
      </c>
      <c r="B269" s="27">
        <f>YEAR(E269)</f>
        <v/>
      </c>
      <c r="C269" s="18">
        <f>INDEX({"Janeiro";"Fevereiro";"Março";"Abril";"Maio";"Junho";"Julho";"Agosto";"Setembro";"Outubro";"Novembro";"Dezembro"},Q269)</f>
        <v/>
      </c>
      <c r="D269" s="24" t="n">
        <v>2</v>
      </c>
      <c r="E269" s="25" t="n">
        <v>46061</v>
      </c>
      <c r="F269" s="23" t="inlineStr">
        <is>
          <t>QUEIJO MINAS MEIA CURA (FRACIONADO)</t>
        </is>
      </c>
      <c r="G269" s="23" t="inlineStr">
        <is>
          <t>QUEIJO</t>
        </is>
      </c>
      <c r="H269" s="26" t="n">
        <v>1</v>
      </c>
      <c r="I269" s="36" t="n">
        <v>0</v>
      </c>
      <c r="J269" s="21">
        <f>I269*H269</f>
        <v/>
      </c>
      <c r="K269" s="21">
        <f>IFERROR(IF(J269/P269&gt;1,P269,J269),0)</f>
        <v/>
      </c>
      <c r="L269" s="36" t="n">
        <v>0</v>
      </c>
      <c r="M269" s="21">
        <f>L269*H269</f>
        <v/>
      </c>
      <c r="N269" s="21">
        <f>IFERROR(IF(M269/K269&gt;1,K269,M269),0)</f>
        <v/>
      </c>
      <c r="O269" s="36" t="n">
        <v>0</v>
      </c>
      <c r="P269" s="21">
        <f>O269*H269</f>
        <v/>
      </c>
      <c r="Q269" s="30">
        <f>IF(MONTH(E269+1)=MONTH(E269+6),MONTH(E269+1),IF(MIN(EOMONTH(E269+1,0),E269+6)-(E269+1)+1&gt;=3,MONTH(E269+1),MONTH(E269+6)))</f>
        <v/>
      </c>
      <c r="R269" s="22">
        <f>IFERROR(K269/P269, 0)</f>
        <v/>
      </c>
      <c r="S269" s="38">
        <f>IFERROR(N269/P269,0)</f>
        <v/>
      </c>
      <c r="T269" s="31">
        <f>IFERROR(IF(N269&gt;0,(N269/K269),MIN(1,M269/J269)),0)</f>
        <v/>
      </c>
      <c r="U269" s="33" t="n"/>
    </row>
    <row r="270" hidden="1" s="40">
      <c r="A270" s="18" t="inlineStr">
        <is>
          <t>Semana 2 - fevereiro</t>
        </is>
      </c>
      <c r="B270" s="27">
        <f>YEAR(E270)</f>
        <v/>
      </c>
      <c r="C270" s="18">
        <f>INDEX({"Janeiro";"Fevereiro";"Março";"Abril";"Maio";"Junho";"Julho";"Agosto";"Setembro";"Outubro";"Novembro";"Dezembro"},Q270)</f>
        <v/>
      </c>
      <c r="D270" s="19" t="n">
        <v>2</v>
      </c>
      <c r="E270" s="20" t="n">
        <v>46061</v>
      </c>
      <c r="F270" s="18" t="inlineStr">
        <is>
          <t>QUEIJO MINAS MEIA CURA (INTEIRO)</t>
        </is>
      </c>
      <c r="G270" s="18" t="inlineStr">
        <is>
          <t>QUEIJO</t>
        </is>
      </c>
      <c r="H270" s="21" t="n">
        <v>1</v>
      </c>
      <c r="I270" s="36" t="n">
        <v>0</v>
      </c>
      <c r="J270" s="21">
        <f>I270*H270</f>
        <v/>
      </c>
      <c r="K270" s="21">
        <f>IFERROR(IF(J270/P270&gt;1,P270,J270),0)</f>
        <v/>
      </c>
      <c r="L270" s="36" t="n">
        <v>0</v>
      </c>
      <c r="M270" s="21">
        <f>L270*H270</f>
        <v/>
      </c>
      <c r="N270" s="21">
        <f>IFERROR(IF(M270/K270&gt;1,K270,M270),0)</f>
        <v/>
      </c>
      <c r="O270" s="36" t="n">
        <v>0</v>
      </c>
      <c r="P270" s="21">
        <f>O270*H270</f>
        <v/>
      </c>
      <c r="Q270" s="30">
        <f>IF(MONTH(E270+1)=MONTH(E270+6),MONTH(E270+1),IF(MIN(EOMONTH(E270+1,0),E270+6)-(E270+1)+1&gt;=3,MONTH(E270+1),MONTH(E270+6)))</f>
        <v/>
      </c>
      <c r="R270" s="22">
        <f>IFERROR(K270/P270, 0)</f>
        <v/>
      </c>
      <c r="S270" s="38">
        <f>IFERROR(N270/P270,0)</f>
        <v/>
      </c>
      <c r="T270" s="31">
        <f>IFERROR(IF(N270&gt;0,(N270/K270),MIN(1,M270/J270)),0)</f>
        <v/>
      </c>
      <c r="U270" s="33" t="n"/>
    </row>
    <row r="271" hidden="1" s="40">
      <c r="A271" s="23" t="inlineStr">
        <is>
          <t>Semana 2 - fevereiro</t>
        </is>
      </c>
      <c r="B271" s="27">
        <f>YEAR(E271)</f>
        <v/>
      </c>
      <c r="C271" s="18">
        <f>INDEX({"Janeiro";"Fevereiro";"Março";"Abril";"Maio";"Junho";"Julho";"Agosto";"Setembro";"Outubro";"Novembro";"Dezembro"},Q271)</f>
        <v/>
      </c>
      <c r="D271" s="24" t="n">
        <v>2</v>
      </c>
      <c r="E271" s="25" t="n">
        <v>46061</v>
      </c>
      <c r="F271" s="23" t="inlineStr">
        <is>
          <t xml:space="preserve">QUEIJO MINAS PADRÃO VIÇOSA FRACIONADO </t>
        </is>
      </c>
      <c r="G271" s="23" t="inlineStr">
        <is>
          <t>QUEIJO</t>
        </is>
      </c>
      <c r="H271" s="26" t="n">
        <v>1</v>
      </c>
      <c r="I271" s="36" t="n">
        <v>0</v>
      </c>
      <c r="J271" s="21">
        <f>I271*H271</f>
        <v/>
      </c>
      <c r="K271" s="21">
        <f>IFERROR(IF(J271/P271&gt;1,P271,J271),0)</f>
        <v/>
      </c>
      <c r="L271" s="36" t="n">
        <v>0</v>
      </c>
      <c r="M271" s="21">
        <f>L271*H271</f>
        <v/>
      </c>
      <c r="N271" s="21">
        <f>IFERROR(IF(M271/K271&gt;1,K271,M271),0)</f>
        <v/>
      </c>
      <c r="O271" s="36" t="n">
        <v>0</v>
      </c>
      <c r="P271" s="21">
        <f>O271*H271</f>
        <v/>
      </c>
      <c r="Q271" s="30">
        <f>IF(MONTH(E271+1)=MONTH(E271+6),MONTH(E271+1),IF(MIN(EOMONTH(E271+1,0),E271+6)-(E271+1)+1&gt;=3,MONTH(E271+1),MONTH(E271+6)))</f>
        <v/>
      </c>
      <c r="R271" s="22">
        <f>IFERROR(K271/P271, 0)</f>
        <v/>
      </c>
      <c r="S271" s="38">
        <f>IFERROR(N271/P271,0)</f>
        <v/>
      </c>
      <c r="T271" s="31">
        <f>IFERROR(IF(N271&gt;0,(N271/K271),MIN(1,M271/J271)),0)</f>
        <v/>
      </c>
      <c r="U271" s="33" t="n"/>
    </row>
    <row r="272" hidden="1" s="40">
      <c r="A272" s="18" t="inlineStr">
        <is>
          <t>Semana 2 - fevereiro</t>
        </is>
      </c>
      <c r="B272" s="27">
        <f>YEAR(E272)</f>
        <v/>
      </c>
      <c r="C272" s="18">
        <f>INDEX({"Janeiro";"Fevereiro";"Março";"Abril";"Maio";"Junho";"Julho";"Agosto";"Setembro";"Outubro";"Novembro";"Dezembro"},Q272)</f>
        <v/>
      </c>
      <c r="D272" s="19" t="n">
        <v>2</v>
      </c>
      <c r="E272" s="20" t="n">
        <v>46061</v>
      </c>
      <c r="F272" s="18" t="inlineStr">
        <is>
          <t>QUEIJO MUSSARELA 3KG</t>
        </is>
      </c>
      <c r="G272" s="18" t="inlineStr">
        <is>
          <t>QUEIJO</t>
        </is>
      </c>
      <c r="H272" s="21" t="n">
        <v>1</v>
      </c>
      <c r="I272" s="36" t="n">
        <v>2300</v>
      </c>
      <c r="J272" s="21">
        <f>I272*H272</f>
        <v/>
      </c>
      <c r="K272" s="21">
        <f>IFERROR(IF(J272/P272&gt;1,P272,J272),0)</f>
        <v/>
      </c>
      <c r="L272" s="36" t="n">
        <v>2771</v>
      </c>
      <c r="M272" s="21">
        <f>L272*H272</f>
        <v/>
      </c>
      <c r="N272" s="21">
        <f>IFERROR(IF(M272/K272&gt;1,K272,M272),0)</f>
        <v/>
      </c>
      <c r="O272" s="36" t="n">
        <v>500</v>
      </c>
      <c r="P272" s="21">
        <f>O272*H272</f>
        <v/>
      </c>
      <c r="Q272" s="30">
        <f>IF(MONTH(E272+1)=MONTH(E272+6),MONTH(E272+1),IF(MIN(EOMONTH(E272+1,0),E272+6)-(E272+1)+1&gt;=3,MONTH(E272+1),MONTH(E272+6)))</f>
        <v/>
      </c>
      <c r="R272" s="22">
        <f>IFERROR(K272/P272, 0)</f>
        <v/>
      </c>
      <c r="S272" s="38">
        <f>IFERROR(N272/P272,0)</f>
        <v/>
      </c>
      <c r="T272" s="31">
        <f>IFERROR(IF(N272&gt;0,(N272/K272),MIN(1,M272/J272)),0)</f>
        <v/>
      </c>
      <c r="U272" s="33" t="n"/>
    </row>
    <row r="273" hidden="1" s="40">
      <c r="A273" s="23" t="inlineStr">
        <is>
          <t>Semana 2 - fevereiro</t>
        </is>
      </c>
      <c r="B273" s="27">
        <f>YEAR(E273)</f>
        <v/>
      </c>
      <c r="C273" s="18">
        <f>INDEX({"Janeiro";"Fevereiro";"Março";"Abril";"Maio";"Junho";"Julho";"Agosto";"Setembro";"Outubro";"Novembro";"Dezembro"},Q273)</f>
        <v/>
      </c>
      <c r="D273" s="24" t="n">
        <v>2</v>
      </c>
      <c r="E273" s="25" t="n">
        <v>46061</v>
      </c>
      <c r="F273" s="23" t="inlineStr">
        <is>
          <t>QUEIJO MUSSARELA LANCHE</t>
        </is>
      </c>
      <c r="G273" s="23" t="inlineStr">
        <is>
          <t>QUEIJO</t>
        </is>
      </c>
      <c r="H273" s="26" t="n">
        <v>1</v>
      </c>
      <c r="I273" s="36" t="n">
        <v>200</v>
      </c>
      <c r="J273" s="21">
        <f>I273*H273</f>
        <v/>
      </c>
      <c r="K273" s="21">
        <f>IFERROR(IF(J273/P273&gt;1,P273,J273),0)</f>
        <v/>
      </c>
      <c r="L273" s="36" t="n">
        <v>193.53</v>
      </c>
      <c r="M273" s="21">
        <f>L273*H273</f>
        <v/>
      </c>
      <c r="N273" s="21">
        <f>IFERROR(IF(M273/K273&gt;1,K273,M273),0)</f>
        <v/>
      </c>
      <c r="O273" s="36" t="n">
        <v>200</v>
      </c>
      <c r="P273" s="21">
        <f>O273*H273</f>
        <v/>
      </c>
      <c r="Q273" s="30">
        <f>IF(MONTH(E273+1)=MONTH(E273+6),MONTH(E273+1),IF(MIN(EOMONTH(E273+1,0),E273+6)-(E273+1)+1&gt;=3,MONTH(E273+1),MONTH(E273+6)))</f>
        <v/>
      </c>
      <c r="R273" s="22">
        <f>IFERROR(K273/P273, 0)</f>
        <v/>
      </c>
      <c r="S273" s="38">
        <f>IFERROR(N273/P273,0)</f>
        <v/>
      </c>
      <c r="T273" s="31">
        <f>IFERROR(IF(N273&gt;0,(N273/K273),MIN(1,M273/J273)),0)</f>
        <v/>
      </c>
      <c r="U273" s="33" t="n"/>
    </row>
    <row r="274" hidden="1" s="40">
      <c r="A274" s="18" t="inlineStr">
        <is>
          <t>Semana 2 - fevereiro</t>
        </is>
      </c>
      <c r="B274" s="27">
        <f>YEAR(E274)</f>
        <v/>
      </c>
      <c r="C274" s="18">
        <f>INDEX({"Janeiro";"Fevereiro";"Março";"Abril";"Maio";"Junho";"Julho";"Agosto";"Setembro";"Outubro";"Novembro";"Dezembro"},Q274)</f>
        <v/>
      </c>
      <c r="D274" s="19" t="n">
        <v>2</v>
      </c>
      <c r="E274" s="20" t="n">
        <v>46061</v>
      </c>
      <c r="F274" s="18" t="inlineStr">
        <is>
          <t>REQUEIJÃO VIÇOSA 200g</t>
        </is>
      </c>
      <c r="G274" s="18" t="inlineStr">
        <is>
          <t>REQUEIJÃO</t>
        </is>
      </c>
      <c r="H274" s="21" t="n">
        <v>0.2</v>
      </c>
      <c r="I274" s="36" t="n">
        <v>2000</v>
      </c>
      <c r="J274" s="21">
        <f>I274*H274</f>
        <v/>
      </c>
      <c r="K274" s="21">
        <f>IFERROR(IF(J274/P274&gt;1,P274,J274),0)</f>
        <v/>
      </c>
      <c r="L274" s="36" t="n">
        <v>2344</v>
      </c>
      <c r="M274" s="21">
        <f>L274*H274</f>
        <v/>
      </c>
      <c r="N274" s="21">
        <f>IFERROR(IF(M274/K274&gt;1,K274,M274),0)</f>
        <v/>
      </c>
      <c r="O274" s="36" t="n">
        <v>4200</v>
      </c>
      <c r="P274" s="21">
        <f>O274*H274</f>
        <v/>
      </c>
      <c r="Q274" s="30">
        <f>IF(MONTH(E274+1)=MONTH(E274+6),MONTH(E274+1),IF(MIN(EOMONTH(E274+1,0),E274+6)-(E274+1)+1&gt;=3,MONTH(E274+1),MONTH(E274+6)))</f>
        <v/>
      </c>
      <c r="R274" s="22">
        <f>IFERROR(K274/P274, 0)</f>
        <v/>
      </c>
      <c r="S274" s="38">
        <f>IFERROR(N274/P274,0)</f>
        <v/>
      </c>
      <c r="T274" s="31">
        <f>IFERROR(IF(N274&gt;0,(N274/K274),MIN(1,M274/J274)),0)</f>
        <v/>
      </c>
      <c r="U274" s="33" t="n"/>
    </row>
    <row r="275" hidden="1" s="40">
      <c r="A275" s="23" t="inlineStr">
        <is>
          <t>Semana 2 - fevereiro</t>
        </is>
      </c>
      <c r="B275" s="27">
        <f>YEAR(E275)</f>
        <v/>
      </c>
      <c r="C275" s="18">
        <f>INDEX({"Janeiro";"Fevereiro";"Março";"Abril";"Maio";"Junho";"Julho";"Agosto";"Setembro";"Outubro";"Novembro";"Dezembro"},Q275)</f>
        <v/>
      </c>
      <c r="D275" s="24" t="n">
        <v>2</v>
      </c>
      <c r="E275" s="25" t="n">
        <v>46061</v>
      </c>
      <c r="F275" s="23" t="inlineStr">
        <is>
          <t>REQUEIJÃO VIÇOSA 400g</t>
        </is>
      </c>
      <c r="G275" s="23" t="inlineStr">
        <is>
          <t>REQUEIJÃO</t>
        </is>
      </c>
      <c r="H275" s="26" t="n">
        <v>0.4</v>
      </c>
      <c r="I275" s="36" t="n">
        <v>4620</v>
      </c>
      <c r="J275" s="21">
        <f>I275*H275</f>
        <v/>
      </c>
      <c r="K275" s="21">
        <f>IFERROR(IF(J275/P275&gt;1,P275,J275),0)</f>
        <v/>
      </c>
      <c r="L275" s="36" t="n">
        <v>1900</v>
      </c>
      <c r="M275" s="21">
        <f>L275*H275</f>
        <v/>
      </c>
      <c r="N275" s="21">
        <f>IFERROR(IF(M275/K275&gt;1,K275,M275),0)</f>
        <v/>
      </c>
      <c r="O275" s="36" t="n">
        <v>3200</v>
      </c>
      <c r="P275" s="21">
        <f>O275*H275</f>
        <v/>
      </c>
      <c r="Q275" s="30">
        <f>IF(MONTH(E275+1)=MONTH(E275+6),MONTH(E275+1),IF(MIN(EOMONTH(E275+1,0),E275+6)-(E275+1)+1&gt;=3,MONTH(E275+1),MONTH(E275+6)))</f>
        <v/>
      </c>
      <c r="R275" s="22">
        <f>IFERROR(K275/P275, 0)</f>
        <v/>
      </c>
      <c r="S275" s="38">
        <f>IFERROR(N275/P275,0)</f>
        <v/>
      </c>
      <c r="T275" s="31">
        <f>IFERROR(IF(N275&gt;0,(N275/K275),MIN(1,M275/J275)),0)</f>
        <v/>
      </c>
      <c r="U275" s="33" t="n"/>
    </row>
    <row r="276" hidden="1" s="40">
      <c r="A276" s="18" t="inlineStr">
        <is>
          <t>Semana 2 - fevereiro</t>
        </is>
      </c>
      <c r="B276" s="27">
        <f>YEAR(E276)</f>
        <v/>
      </c>
      <c r="C276" s="18">
        <f>INDEX({"Janeiro";"Fevereiro";"Março";"Abril";"Maio";"Junho";"Julho";"Agosto";"Setembro";"Outubro";"Novembro";"Dezembro"},Q276)</f>
        <v/>
      </c>
      <c r="D276" s="19" t="n">
        <v>2</v>
      </c>
      <c r="E276" s="20" t="n">
        <v>46061</v>
      </c>
      <c r="F276" s="18" t="inlineStr">
        <is>
          <t>Requeijão Light 200g</t>
        </is>
      </c>
      <c r="G276" s="18" t="inlineStr">
        <is>
          <t>REQUEIJÃO</t>
        </is>
      </c>
      <c r="H276" s="21" t="n">
        <v>0.2</v>
      </c>
      <c r="I276" s="36" t="n">
        <v>1200</v>
      </c>
      <c r="J276" s="21">
        <f>I276*H276</f>
        <v/>
      </c>
      <c r="K276" s="21">
        <f>IFERROR(IF(J276/P276&gt;1,P276,J276),0)</f>
        <v/>
      </c>
      <c r="L276" s="36" t="n">
        <v>0</v>
      </c>
      <c r="M276" s="21">
        <f>L276*H276</f>
        <v/>
      </c>
      <c r="N276" s="21">
        <f>IFERROR(IF(M276/K276&gt;1,K276,M276),0)</f>
        <v/>
      </c>
      <c r="O276" s="36" t="n">
        <v>1200</v>
      </c>
      <c r="P276" s="21">
        <f>O276*H276</f>
        <v/>
      </c>
      <c r="Q276" s="30">
        <f>IF(MONTH(E276+1)=MONTH(E276+6),MONTH(E276+1),IF(MIN(EOMONTH(E276+1,0),E276+6)-(E276+1)+1&gt;=3,MONTH(E276+1),MONTH(E276+6)))</f>
        <v/>
      </c>
      <c r="R276" s="22">
        <f>IFERROR(K276/P276, 0)</f>
        <v/>
      </c>
      <c r="S276" s="38">
        <f>IFERROR(N276/P276,0)</f>
        <v/>
      </c>
      <c r="T276" s="31">
        <f>IFERROR(IF(N276&gt;0,(N276/K276),MIN(1,M276/J276)),0)</f>
        <v/>
      </c>
      <c r="U276" s="33" t="n"/>
    </row>
    <row r="277" hidden="1" s="40">
      <c r="A277" s="23" t="inlineStr">
        <is>
          <t>Semana 2 - fevereiro</t>
        </is>
      </c>
      <c r="B277" s="27">
        <f>YEAR(E277)</f>
        <v/>
      </c>
      <c r="C277" s="18">
        <f>INDEX({"Janeiro";"Fevereiro";"Março";"Abril";"Maio";"Junho";"Julho";"Agosto";"Setembro";"Outubro";"Novembro";"Dezembro"},Q277)</f>
        <v/>
      </c>
      <c r="D277" s="24" t="n">
        <v>2</v>
      </c>
      <c r="E277" s="25" t="n">
        <v>46061</v>
      </c>
      <c r="F277" s="23" t="inlineStr">
        <is>
          <t>Creme de Ricota 200g</t>
        </is>
      </c>
      <c r="G277" s="23" t="inlineStr">
        <is>
          <t>RICOTA</t>
        </is>
      </c>
      <c r="H277" s="26" t="n">
        <v>0.2</v>
      </c>
      <c r="I277" s="36" t="n">
        <v>0</v>
      </c>
      <c r="J277" s="21">
        <f>I277*H277</f>
        <v/>
      </c>
      <c r="K277" s="21">
        <f>IFERROR(IF(J277/P277&gt;1,P277,J277),0)</f>
        <v/>
      </c>
      <c r="L277" s="36" t="n">
        <v>0</v>
      </c>
      <c r="M277" s="21">
        <f>L277*H277</f>
        <v/>
      </c>
      <c r="N277" s="21">
        <f>IFERROR(IF(M277/K277&gt;1,K277,M277),0)</f>
        <v/>
      </c>
      <c r="O277" s="36" t="n">
        <v>1200</v>
      </c>
      <c r="P277" s="21">
        <f>O277*H277</f>
        <v/>
      </c>
      <c r="Q277" s="30">
        <f>IF(MONTH(E277+1)=MONTH(E277+6),MONTH(E277+1),IF(MIN(EOMONTH(E277+1,0),E277+6)-(E277+1)+1&gt;=3,MONTH(E277+1),MONTH(E277+6)))</f>
        <v/>
      </c>
      <c r="R277" s="22">
        <f>IFERROR(K277/P277, 0)</f>
        <v/>
      </c>
      <c r="S277" s="38">
        <f>IFERROR(N277/P277,0)</f>
        <v/>
      </c>
      <c r="T277" s="31">
        <f>IFERROR(IF(N277&gt;0,(N277/K277),MIN(1,M277/J277)),0)</f>
        <v/>
      </c>
      <c r="U277" s="33" t="n"/>
    </row>
    <row r="278" hidden="1" s="40">
      <c r="A278" s="18" t="inlineStr">
        <is>
          <t>Semana 3 - fevereiro</t>
        </is>
      </c>
      <c r="B278" s="27">
        <f>YEAR(E278)</f>
        <v/>
      </c>
      <c r="C278" s="18">
        <f>INDEX({"Janeiro";"Fevereiro";"Março";"Abril";"Maio";"Junho";"Julho";"Agosto";"Setembro";"Outubro";"Novembro";"Dezembro"},Q278)</f>
        <v/>
      </c>
      <c r="D278" s="19" t="n">
        <v>3</v>
      </c>
      <c r="E278" s="20" t="n">
        <v>46068</v>
      </c>
      <c r="F278" s="18" t="inlineStr">
        <is>
          <t>Doce de Leite 400g</t>
        </is>
      </c>
      <c r="G278" s="18" t="inlineStr">
        <is>
          <t>DOCE</t>
        </is>
      </c>
      <c r="H278" s="21" t="n">
        <v>0.4</v>
      </c>
      <c r="I278" s="36" t="n">
        <v>18000</v>
      </c>
      <c r="J278" s="21">
        <f>I278*H278</f>
        <v/>
      </c>
      <c r="K278" s="21">
        <f>IFERROR(IF(J278/P278&gt;1,P278,J278),0)</f>
        <v/>
      </c>
      <c r="L278" s="36" t="n">
        <v>19117</v>
      </c>
      <c r="M278" s="21">
        <f>L278*H278</f>
        <v/>
      </c>
      <c r="N278" s="21">
        <f>IFERROR(IF(M278/K278&gt;1,K278,M278),0)</f>
        <v/>
      </c>
      <c r="O278" s="36" t="n">
        <v>18000</v>
      </c>
      <c r="P278" s="21">
        <f>O278*H278</f>
        <v/>
      </c>
      <c r="Q278" s="30">
        <f>IF(MONTH(E278+1)=MONTH(E278+6),MONTH(E278+1),IF(MIN(EOMONTH(E278+1,0),E278+6)-(E278+1)+1&gt;=3,MONTH(E278+1),MONTH(E278+6)))</f>
        <v/>
      </c>
      <c r="R278" s="22">
        <f>IFERROR(K278/P278, 0)</f>
        <v/>
      </c>
      <c r="S278" s="38">
        <f>IFERROR(N278/P278,0)</f>
        <v/>
      </c>
      <c r="T278" s="31">
        <f>IFERROR(IF(N278&gt;0,(N278/K278),MIN(1,M278/J278)),0)</f>
        <v/>
      </c>
      <c r="U278" s="33" t="n"/>
    </row>
    <row r="279" hidden="1" s="40">
      <c r="A279" s="23" t="inlineStr">
        <is>
          <t>Semana 3 - fevereiro</t>
        </is>
      </c>
      <c r="B279" s="27">
        <f>YEAR(E279)</f>
        <v/>
      </c>
      <c r="C279" s="18">
        <f>INDEX({"Janeiro";"Fevereiro";"Março";"Abril";"Maio";"Junho";"Julho";"Agosto";"Setembro";"Outubro";"Novembro";"Dezembro"},Q279)</f>
        <v/>
      </c>
      <c r="D279" s="24" t="n">
        <v>3</v>
      </c>
      <c r="E279" s="25" t="n">
        <v>46068</v>
      </c>
      <c r="F279" s="23" t="inlineStr">
        <is>
          <t>Doce de Leite 5kg</t>
        </is>
      </c>
      <c r="G279" s="23" t="inlineStr">
        <is>
          <t>DOCE</t>
        </is>
      </c>
      <c r="H279" s="26" t="n">
        <v>5</v>
      </c>
      <c r="I279" s="36" t="n">
        <v>2790</v>
      </c>
      <c r="J279" s="21">
        <f>I279*H279</f>
        <v/>
      </c>
      <c r="K279" s="21">
        <f>IFERROR(IF(J279/P279&gt;1,P279,J279),0)</f>
        <v/>
      </c>
      <c r="L279" s="36" t="n">
        <v>2437</v>
      </c>
      <c r="M279" s="21">
        <f>L279*H279</f>
        <v/>
      </c>
      <c r="N279" s="21">
        <f>IFERROR(IF(M279/K279&gt;1,K279,M279),0)</f>
        <v/>
      </c>
      <c r="O279" s="36" t="n">
        <v>1860</v>
      </c>
      <c r="P279" s="21">
        <f>O279*H279</f>
        <v/>
      </c>
      <c r="Q279" s="30">
        <f>IF(MONTH(E279+1)=MONTH(E279+6),MONTH(E279+1),IF(MIN(EOMONTH(E279+1,0),E279+6)-(E279+1)+1&gt;=3,MONTH(E279+1),MONTH(E279+6)))</f>
        <v/>
      </c>
      <c r="R279" s="22">
        <f>IFERROR(K279/P279, 0)</f>
        <v/>
      </c>
      <c r="S279" s="38">
        <f>IFERROR(N279/P279,0)</f>
        <v/>
      </c>
      <c r="T279" s="31">
        <f>IFERROR(IF(N279&gt;0,(N279/K279),MIN(1,M279/J279)),0)</f>
        <v/>
      </c>
      <c r="U279" s="33" t="n"/>
    </row>
    <row r="280" hidden="1" s="40">
      <c r="A280" s="18" t="inlineStr">
        <is>
          <t>Semana 3 - fevereiro</t>
        </is>
      </c>
      <c r="B280" s="27">
        <f>YEAR(E280)</f>
        <v/>
      </c>
      <c r="C280" s="18">
        <f>INDEX({"Janeiro";"Fevereiro";"Março";"Abril";"Maio";"Junho";"Julho";"Agosto";"Setembro";"Outubro";"Novembro";"Dezembro"},Q280)</f>
        <v/>
      </c>
      <c r="D280" s="19" t="n">
        <v>3</v>
      </c>
      <c r="E280" s="20" t="n">
        <v>46068</v>
      </c>
      <c r="F280" s="18" t="inlineStr">
        <is>
          <t>Doce de Leite 5kg - Bombeável</t>
        </is>
      </c>
      <c r="G280" s="18" t="inlineStr">
        <is>
          <t>DOCE</t>
        </is>
      </c>
      <c r="H280" s="21" t="n">
        <v>5</v>
      </c>
      <c r="I280" s="36" t="n">
        <v>0</v>
      </c>
      <c r="J280" s="21">
        <f>I280*H280</f>
        <v/>
      </c>
      <c r="K280" s="21">
        <f>IFERROR(IF(J280/P280&gt;1,P280,J280),0)</f>
        <v/>
      </c>
      <c r="L280" s="36" t="n">
        <v>0</v>
      </c>
      <c r="M280" s="21">
        <f>L280*H280</f>
        <v/>
      </c>
      <c r="N280" s="21">
        <f>IFERROR(IF(M280/K280&gt;1,K280,M280),0)</f>
        <v/>
      </c>
      <c r="O280" s="36" t="n">
        <v>0</v>
      </c>
      <c r="P280" s="21">
        <f>O280*H280</f>
        <v/>
      </c>
      <c r="Q280" s="30">
        <f>IF(MONTH(E280+1)=MONTH(E280+6),MONTH(E280+1),IF(MIN(EOMONTH(E280+1,0),E280+6)-(E280+1)+1&gt;=3,MONTH(E280+1),MONTH(E280+6)))</f>
        <v/>
      </c>
      <c r="R280" s="22">
        <f>IFERROR(K280/P280, 0)</f>
        <v/>
      </c>
      <c r="S280" s="38">
        <f>IFERROR(N280/P280,0)</f>
        <v/>
      </c>
      <c r="T280" s="31">
        <f>IFERROR(IF(N280&gt;0,(N280/K280),MIN(1,M280/J280)),0)</f>
        <v/>
      </c>
      <c r="U280" s="33" t="n"/>
    </row>
    <row r="281" hidden="1" s="40">
      <c r="A281" s="23" t="inlineStr">
        <is>
          <t>Semana 3 - fevereiro</t>
        </is>
      </c>
      <c r="B281" s="27">
        <f>YEAR(E281)</f>
        <v/>
      </c>
      <c r="C281" s="18">
        <f>INDEX({"Janeiro";"Fevereiro";"Março";"Abril";"Maio";"Junho";"Julho";"Agosto";"Setembro";"Outubro";"Novembro";"Dezembro"},Q281)</f>
        <v/>
      </c>
      <c r="D281" s="24" t="n">
        <v>3</v>
      </c>
      <c r="E281" s="25" t="n">
        <v>46068</v>
      </c>
      <c r="F281" s="23" t="inlineStr">
        <is>
          <t>Doce de Leite 5kg - Forneável</t>
        </is>
      </c>
      <c r="G281" s="23" t="inlineStr">
        <is>
          <t>DOCE</t>
        </is>
      </c>
      <c r="H281" s="26" t="n">
        <v>5</v>
      </c>
      <c r="I281" s="36" t="n">
        <v>0</v>
      </c>
      <c r="J281" s="21">
        <f>I281*H281</f>
        <v/>
      </c>
      <c r="K281" s="21">
        <f>IFERROR(IF(J281/P281&gt;1,P281,J281),0)</f>
        <v/>
      </c>
      <c r="L281" s="36" t="n">
        <v>0</v>
      </c>
      <c r="M281" s="21">
        <f>L281*H281</f>
        <v/>
      </c>
      <c r="N281" s="21">
        <f>IFERROR(IF(M281/K281&gt;1,K281,M281),0)</f>
        <v/>
      </c>
      <c r="O281" s="36" t="n">
        <v>0</v>
      </c>
      <c r="P281" s="21">
        <f>O281*H281</f>
        <v/>
      </c>
      <c r="Q281" s="30">
        <f>IF(MONTH(E281+1)=MONTH(E281+6),MONTH(E281+1),IF(MIN(EOMONTH(E281+1,0),E281+6)-(E281+1)+1&gt;=3,MONTH(E281+1),MONTH(E281+6)))</f>
        <v/>
      </c>
      <c r="R281" s="22">
        <f>IFERROR(K281/P281, 0)</f>
        <v/>
      </c>
      <c r="S281" s="38">
        <f>IFERROR(N281/P281,0)</f>
        <v/>
      </c>
      <c r="T281" s="31">
        <f>IFERROR(IF(N281&gt;0,(N281/K281),MIN(1,M281/J281)),0)</f>
        <v/>
      </c>
      <c r="U281" s="33" t="n"/>
    </row>
    <row r="282" hidden="1" s="40">
      <c r="A282" s="18" t="inlineStr">
        <is>
          <t>Semana 3 - fevereiro</t>
        </is>
      </c>
      <c r="B282" s="27">
        <f>YEAR(E282)</f>
        <v/>
      </c>
      <c r="C282" s="18">
        <f>INDEX({"Janeiro";"Fevereiro";"Março";"Abril";"Maio";"Junho";"Julho";"Agosto";"Setembro";"Outubro";"Novembro";"Dezembro"},Q282)</f>
        <v/>
      </c>
      <c r="D282" s="19" t="n">
        <v>3</v>
      </c>
      <c r="E282" s="20" t="n">
        <v>46068</v>
      </c>
      <c r="F282" s="18" t="inlineStr">
        <is>
          <t>Doce de Leite 800g</t>
        </is>
      </c>
      <c r="G282" s="18" t="inlineStr">
        <is>
          <t>DOCE</t>
        </is>
      </c>
      <c r="H282" s="21" t="n">
        <v>0.8</v>
      </c>
      <c r="I282" s="36" t="n">
        <v>15000</v>
      </c>
      <c r="J282" s="21">
        <f>I282*H282</f>
        <v/>
      </c>
      <c r="K282" s="21">
        <f>IFERROR(IF(J282/P282&gt;1,P282,J282),0)</f>
        <v/>
      </c>
      <c r="L282" s="36" t="n">
        <v>13569</v>
      </c>
      <c r="M282" s="21">
        <f>L282*H282</f>
        <v/>
      </c>
      <c r="N282" s="21">
        <f>IFERROR(IF(M282/K282&gt;1,K282,M282),0)</f>
        <v/>
      </c>
      <c r="O282" s="36" t="n">
        <v>15000</v>
      </c>
      <c r="P282" s="21">
        <f>O282*H282</f>
        <v/>
      </c>
      <c r="Q282" s="30">
        <f>IF(MONTH(E282+1)=MONTH(E282+6),MONTH(E282+1),IF(MIN(EOMONTH(E282+1,0),E282+6)-(E282+1)+1&gt;=3,MONTH(E282+1),MONTH(E282+6)))</f>
        <v/>
      </c>
      <c r="R282" s="22">
        <f>IFERROR(K282/P282, 0)</f>
        <v/>
      </c>
      <c r="S282" s="38">
        <f>IFERROR(N282/P282,0)</f>
        <v/>
      </c>
      <c r="T282" s="31">
        <f>IFERROR(IF(N282&gt;0,(N282/K282),MIN(1,M282/J282)),0)</f>
        <v/>
      </c>
      <c r="U282" s="33" t="n"/>
    </row>
    <row r="283" hidden="1" s="40">
      <c r="A283" s="23" t="inlineStr">
        <is>
          <t>Semana 3 - fevereiro</t>
        </is>
      </c>
      <c r="B283" s="27">
        <f>YEAR(E283)</f>
        <v/>
      </c>
      <c r="C283" s="18">
        <f>INDEX({"Janeiro";"Fevereiro";"Março";"Abril";"Maio";"Junho";"Julho";"Agosto";"Setembro";"Outubro";"Novembro";"Dezembro"},Q283)</f>
        <v/>
      </c>
      <c r="D283" s="24" t="n">
        <v>3</v>
      </c>
      <c r="E283" s="25" t="n">
        <v>46068</v>
      </c>
      <c r="F283" s="23" t="inlineStr">
        <is>
          <t>Doce de Leite Cacau 400g</t>
        </is>
      </c>
      <c r="G283" s="23" t="inlineStr">
        <is>
          <t>DOCE</t>
        </is>
      </c>
      <c r="H283" s="26" t="n">
        <v>0.4</v>
      </c>
      <c r="I283" s="36" t="n">
        <v>0</v>
      </c>
      <c r="J283" s="21">
        <f>I283*H283</f>
        <v/>
      </c>
      <c r="K283" s="21">
        <f>IFERROR(IF(J283/P283&gt;1,P283,J283),0)</f>
        <v/>
      </c>
      <c r="L283" s="36" t="n">
        <v>0</v>
      </c>
      <c r="M283" s="21">
        <f>L283*H283</f>
        <v/>
      </c>
      <c r="N283" s="21">
        <f>IFERROR(IF(M283/K283&gt;1,K283,M283),0)</f>
        <v/>
      </c>
      <c r="O283" s="36" t="n">
        <v>0</v>
      </c>
      <c r="P283" s="21">
        <f>O283*H283</f>
        <v/>
      </c>
      <c r="Q283" s="30">
        <f>IF(MONTH(E283+1)=MONTH(E283+6),MONTH(E283+1),IF(MIN(EOMONTH(E283+1,0),E283+6)-(E283+1)+1&gt;=3,MONTH(E283+1),MONTH(E283+6)))</f>
        <v/>
      </c>
      <c r="R283" s="22">
        <f>IFERROR(K283/P283, 0)</f>
        <v/>
      </c>
      <c r="S283" s="38">
        <f>IFERROR(N283/P283,0)</f>
        <v/>
      </c>
      <c r="T283" s="31">
        <f>IFERROR(IF(N283&gt;0,(N283/K283),MIN(1,M283/J283)),0)</f>
        <v/>
      </c>
      <c r="U283" s="33" t="n"/>
    </row>
    <row r="284" hidden="1" s="40">
      <c r="A284" s="18" t="inlineStr">
        <is>
          <t>Semana 3 - fevereiro</t>
        </is>
      </c>
      <c r="B284" s="27">
        <f>YEAR(E284)</f>
        <v/>
      </c>
      <c r="C284" s="18">
        <f>INDEX({"Janeiro";"Fevereiro";"Março";"Abril";"Maio";"Junho";"Julho";"Agosto";"Setembro";"Outubro";"Novembro";"Dezembro"},Q284)</f>
        <v/>
      </c>
      <c r="D284" s="19" t="n">
        <v>3</v>
      </c>
      <c r="E284" s="20" t="n">
        <v>46068</v>
      </c>
      <c r="F284" s="18" t="inlineStr">
        <is>
          <t>Doce de Leite Cacau 5kg - Bombeável</t>
        </is>
      </c>
      <c r="G284" s="18" t="inlineStr">
        <is>
          <t>DOCE</t>
        </is>
      </c>
      <c r="H284" s="21" t="n">
        <v>5</v>
      </c>
      <c r="I284" s="36" t="n">
        <v>0</v>
      </c>
      <c r="J284" s="21">
        <f>I284*H284</f>
        <v/>
      </c>
      <c r="K284" s="21">
        <f>IFERROR(IF(J284/P284&gt;1,P284,J284),0)</f>
        <v/>
      </c>
      <c r="L284" s="36" t="n">
        <v>0</v>
      </c>
      <c r="M284" s="21">
        <f>L284*H284</f>
        <v/>
      </c>
      <c r="N284" s="21">
        <f>IFERROR(IF(M284/K284&gt;1,K284,M284),0)</f>
        <v/>
      </c>
      <c r="O284" s="36" t="n">
        <v>0</v>
      </c>
      <c r="P284" s="21">
        <f>O284*H284</f>
        <v/>
      </c>
      <c r="Q284" s="30">
        <f>IF(MONTH(E284+1)=MONTH(E284+6),MONTH(E284+1),IF(MIN(EOMONTH(E284+1,0),E284+6)-(E284+1)+1&gt;=3,MONTH(E284+1),MONTH(E284+6)))</f>
        <v/>
      </c>
      <c r="R284" s="22">
        <f>IFERROR(K284/P284, 0)</f>
        <v/>
      </c>
      <c r="S284" s="38">
        <f>IFERROR(N284/P284,0)</f>
        <v/>
      </c>
      <c r="T284" s="31">
        <f>IFERROR(IF(N284&gt;0,(N284/K284),MIN(1,M284/J284)),0)</f>
        <v/>
      </c>
      <c r="U284" s="33" t="n"/>
    </row>
    <row r="285" hidden="1" s="40">
      <c r="A285" s="23" t="inlineStr">
        <is>
          <t>Semana 3 - fevereiro</t>
        </is>
      </c>
      <c r="B285" s="27">
        <f>YEAR(E285)</f>
        <v/>
      </c>
      <c r="C285" s="18">
        <f>INDEX({"Janeiro";"Fevereiro";"Março";"Abril";"Maio";"Junho";"Julho";"Agosto";"Setembro";"Outubro";"Novembro";"Dezembro"},Q285)</f>
        <v/>
      </c>
      <c r="D285" s="24" t="n">
        <v>3</v>
      </c>
      <c r="E285" s="25" t="n">
        <v>46068</v>
      </c>
      <c r="F285" s="23" t="inlineStr">
        <is>
          <t>Doce de Leite Cacau 5kg - FOOD</t>
        </is>
      </c>
      <c r="G285" s="23" t="inlineStr">
        <is>
          <t>DOCE</t>
        </is>
      </c>
      <c r="H285" s="26" t="n">
        <v>5</v>
      </c>
      <c r="I285" s="36" t="n">
        <v>0</v>
      </c>
      <c r="J285" s="21">
        <f>I285*H285</f>
        <v/>
      </c>
      <c r="K285" s="21">
        <f>IFERROR(IF(J285/P285&gt;1,P285,J285),0)</f>
        <v/>
      </c>
      <c r="L285" s="36" t="n">
        <v>0</v>
      </c>
      <c r="M285" s="21">
        <f>L285*H285</f>
        <v/>
      </c>
      <c r="N285" s="21">
        <f>IFERROR(IF(M285/K285&gt;1,K285,M285),0)</f>
        <v/>
      </c>
      <c r="O285" s="36" t="n">
        <v>0</v>
      </c>
      <c r="P285" s="21">
        <f>O285*H285</f>
        <v/>
      </c>
      <c r="Q285" s="30">
        <f>IF(MONTH(E285+1)=MONTH(E285+6),MONTH(E285+1),IF(MIN(EOMONTH(E285+1,0),E285+6)-(E285+1)+1&gt;=3,MONTH(E285+1),MONTH(E285+6)))</f>
        <v/>
      </c>
      <c r="R285" s="22">
        <f>IFERROR(K285/P285, 0)</f>
        <v/>
      </c>
      <c r="S285" s="38">
        <f>IFERROR(N285/P285,0)</f>
        <v/>
      </c>
      <c r="T285" s="31">
        <f>IFERROR(IF(N285&gt;0,(N285/K285),MIN(1,M285/J285)),0)</f>
        <v/>
      </c>
      <c r="U285" s="33" t="n"/>
    </row>
    <row r="286" hidden="1" s="40">
      <c r="A286" s="18" t="inlineStr">
        <is>
          <t>Semana 3 - fevereiro</t>
        </is>
      </c>
      <c r="B286" s="27">
        <f>YEAR(E286)</f>
        <v/>
      </c>
      <c r="C286" s="18">
        <f>INDEX({"Janeiro";"Fevereiro";"Março";"Abril";"Maio";"Junho";"Julho";"Agosto";"Setembro";"Outubro";"Novembro";"Dezembro"},Q286)</f>
        <v/>
      </c>
      <c r="D286" s="19" t="n">
        <v>3</v>
      </c>
      <c r="E286" s="20" t="n">
        <v>46068</v>
      </c>
      <c r="F286" s="18" t="inlineStr">
        <is>
          <t>Doce de Leite c/ Café 400</t>
        </is>
      </c>
      <c r="G286" s="18" t="inlineStr">
        <is>
          <t>DOCE</t>
        </is>
      </c>
      <c r="H286" s="21" t="n">
        <v>0.4</v>
      </c>
      <c r="I286" s="36" t="n">
        <v>0</v>
      </c>
      <c r="J286" s="21">
        <f>I286*H286</f>
        <v/>
      </c>
      <c r="K286" s="21">
        <f>IFERROR(IF(J286/P286&gt;1,P286,J286),0)</f>
        <v/>
      </c>
      <c r="L286" s="36" t="n">
        <v>0</v>
      </c>
      <c r="M286" s="21">
        <f>L286*H286</f>
        <v/>
      </c>
      <c r="N286" s="21">
        <f>IFERROR(IF(M286/K286&gt;1,K286,M286),0)</f>
        <v/>
      </c>
      <c r="O286" s="36" t="n">
        <v>0</v>
      </c>
      <c r="P286" s="21">
        <f>O286*H286</f>
        <v/>
      </c>
      <c r="Q286" s="30">
        <f>IF(MONTH(E286+1)=MONTH(E286+6),MONTH(E286+1),IF(MIN(EOMONTH(E286+1,0),E286+6)-(E286+1)+1&gt;=3,MONTH(E286+1),MONTH(E286+6)))</f>
        <v/>
      </c>
      <c r="R286" s="22">
        <f>IFERROR(K286/P286, 0)</f>
        <v/>
      </c>
      <c r="S286" s="38">
        <f>IFERROR(N286/P286,0)</f>
        <v/>
      </c>
      <c r="T286" s="31">
        <f>IFERROR(IF(N286&gt;0,(N286/K286),MIN(1,M286/J286)),0)</f>
        <v/>
      </c>
      <c r="U286" s="33" t="n"/>
    </row>
    <row r="287" hidden="1" s="40">
      <c r="A287" s="23" t="inlineStr">
        <is>
          <t>Semana 3 - fevereiro</t>
        </is>
      </c>
      <c r="B287" s="27">
        <f>YEAR(E287)</f>
        <v/>
      </c>
      <c r="C287" s="18">
        <f>INDEX({"Janeiro";"Fevereiro";"Março";"Abril";"Maio";"Junho";"Julho";"Agosto";"Setembro";"Outubro";"Novembro";"Dezembro"},Q287)</f>
        <v/>
      </c>
      <c r="D287" s="24" t="n">
        <v>3</v>
      </c>
      <c r="E287" s="25" t="n">
        <v>46068</v>
      </c>
      <c r="F287" s="23" t="inlineStr">
        <is>
          <t>Doce de Leite c/ Café 5kg</t>
        </is>
      </c>
      <c r="G287" s="23" t="inlineStr">
        <is>
          <t>DOCE</t>
        </is>
      </c>
      <c r="H287" s="26" t="n">
        <v>5</v>
      </c>
      <c r="I287" s="36" t="n">
        <v>0</v>
      </c>
      <c r="J287" s="21">
        <f>I287*H287</f>
        <v/>
      </c>
      <c r="K287" s="21">
        <f>IFERROR(IF(J287/P287&gt;1,P287,J287),0)</f>
        <v/>
      </c>
      <c r="L287" s="36" t="n">
        <v>0</v>
      </c>
      <c r="M287" s="21">
        <f>L287*H287</f>
        <v/>
      </c>
      <c r="N287" s="21">
        <f>IFERROR(IF(M287/K287&gt;1,K287,M287),0)</f>
        <v/>
      </c>
      <c r="O287" s="36" t="n">
        <v>0</v>
      </c>
      <c r="P287" s="21">
        <f>O287*H287</f>
        <v/>
      </c>
      <c r="Q287" s="30">
        <f>IF(MONTH(E287+1)=MONTH(E287+6),MONTH(E287+1),IF(MIN(EOMONTH(E287+1,0),E287+6)-(E287+1)+1&gt;=3,MONTH(E287+1),MONTH(E287+6)))</f>
        <v/>
      </c>
      <c r="R287" s="22">
        <f>IFERROR(K287/P287, 0)</f>
        <v/>
      </c>
      <c r="S287" s="38">
        <f>IFERROR(N287/P287,0)</f>
        <v/>
      </c>
      <c r="T287" s="31">
        <f>IFERROR(IF(N287&gt;0,(N287/K287),MIN(1,M287/J287)),0)</f>
        <v/>
      </c>
      <c r="U287" s="33" t="n"/>
    </row>
    <row r="288" hidden="1" s="40">
      <c r="A288" s="18" t="inlineStr">
        <is>
          <t>Semana 3 - fevereiro</t>
        </is>
      </c>
      <c r="B288" s="27">
        <f>YEAR(E288)</f>
        <v/>
      </c>
      <c r="C288" s="18">
        <f>INDEX({"Janeiro";"Fevereiro";"Março";"Abril";"Maio";"Junho";"Julho";"Agosto";"Setembro";"Outubro";"Novembro";"Dezembro"},Q288)</f>
        <v/>
      </c>
      <c r="D288" s="19" t="n">
        <v>3</v>
      </c>
      <c r="E288" s="20" t="n">
        <v>46068</v>
      </c>
      <c r="F288" s="18" t="inlineStr">
        <is>
          <t>Doce de Leite c/ coco 400</t>
        </is>
      </c>
      <c r="G288" s="18" t="inlineStr">
        <is>
          <t>DOCE</t>
        </is>
      </c>
      <c r="H288" s="21" t="n">
        <v>0.4</v>
      </c>
      <c r="I288" s="36" t="n">
        <v>0</v>
      </c>
      <c r="J288" s="21">
        <f>I288*H288</f>
        <v/>
      </c>
      <c r="K288" s="21">
        <f>IFERROR(IF(J288/P288&gt;1,P288,J288),0)</f>
        <v/>
      </c>
      <c r="L288" s="36" t="n">
        <v>0</v>
      </c>
      <c r="M288" s="21">
        <f>L288*H288</f>
        <v/>
      </c>
      <c r="N288" s="21">
        <f>IFERROR(IF(M288/K288&gt;1,K288,M288),0)</f>
        <v/>
      </c>
      <c r="O288" s="36" t="n">
        <v>0</v>
      </c>
      <c r="P288" s="21">
        <f>O288*H288</f>
        <v/>
      </c>
      <c r="Q288" s="30">
        <f>IF(MONTH(E288+1)=MONTH(E288+6),MONTH(E288+1),IF(MIN(EOMONTH(E288+1,0),E288+6)-(E288+1)+1&gt;=3,MONTH(E288+1),MONTH(E288+6)))</f>
        <v/>
      </c>
      <c r="R288" s="22">
        <f>IFERROR(K288/P288, 0)</f>
        <v/>
      </c>
      <c r="S288" s="38">
        <f>IFERROR(N288/P288,0)</f>
        <v/>
      </c>
      <c r="T288" s="31">
        <f>IFERROR(IF(N288&gt;0,(N288/K288),MIN(1,M288/J288)),0)</f>
        <v/>
      </c>
      <c r="U288" s="33" t="n"/>
    </row>
    <row r="289" hidden="1" s="40">
      <c r="A289" s="23" t="inlineStr">
        <is>
          <t>Semana 3 - fevereiro</t>
        </is>
      </c>
      <c r="B289" s="27">
        <f>YEAR(E289)</f>
        <v/>
      </c>
      <c r="C289" s="18">
        <f>INDEX({"Janeiro";"Fevereiro";"Março";"Abril";"Maio";"Junho";"Julho";"Agosto";"Setembro";"Outubro";"Novembro";"Dezembro"},Q289)</f>
        <v/>
      </c>
      <c r="D289" s="24" t="n">
        <v>3</v>
      </c>
      <c r="E289" s="25" t="n">
        <v>46068</v>
      </c>
      <c r="F289" s="23" t="inlineStr">
        <is>
          <t>IOGURTE VIÇOSA MORANGO LIGHT 180g</t>
        </is>
      </c>
      <c r="G289" s="23" t="inlineStr">
        <is>
          <t>IOGURTE</t>
        </is>
      </c>
      <c r="H289" s="26" t="n">
        <v>0.18</v>
      </c>
      <c r="I289" s="36" t="n">
        <v>0</v>
      </c>
      <c r="J289" s="21">
        <f>I289*H289</f>
        <v/>
      </c>
      <c r="K289" s="21">
        <f>IFERROR(IF(J289/P289&gt;1,P289,J289),0)</f>
        <v/>
      </c>
      <c r="L289" s="36" t="n">
        <v>1289</v>
      </c>
      <c r="M289" s="21">
        <f>L289*H289</f>
        <v/>
      </c>
      <c r="N289" s="21">
        <f>IFERROR(IF(M289/K289&gt;1,K289,M289),0)</f>
        <v/>
      </c>
      <c r="O289" s="36" t="n">
        <v>0</v>
      </c>
      <c r="P289" s="21">
        <f>O289*H289</f>
        <v/>
      </c>
      <c r="Q289" s="30">
        <f>IF(MONTH(E289+1)=MONTH(E289+6),MONTH(E289+1),IF(MIN(EOMONTH(E289+1,0),E289+6)-(E289+1)+1&gt;=3,MONTH(E289+1),MONTH(E289+6)))</f>
        <v/>
      </c>
      <c r="R289" s="22">
        <f>IFERROR(K289/P289, 0)</f>
        <v/>
      </c>
      <c r="S289" s="38">
        <f>IFERROR(N289/P289,0)</f>
        <v/>
      </c>
      <c r="T289" s="31">
        <f>IFERROR(IF(N289&gt;0,(N289/K289),MIN(1,M289/J289)),0)</f>
        <v/>
      </c>
      <c r="U289" s="33" t="n"/>
    </row>
    <row r="290" hidden="1" s="40">
      <c r="A290" s="18" t="inlineStr">
        <is>
          <t>Semana 3 - fevereiro</t>
        </is>
      </c>
      <c r="B290" s="27">
        <f>YEAR(E290)</f>
        <v/>
      </c>
      <c r="C290" s="18">
        <f>INDEX({"Janeiro";"Fevereiro";"Março";"Abril";"Maio";"Junho";"Julho";"Agosto";"Setembro";"Outubro";"Novembro";"Dezembro"},Q290)</f>
        <v/>
      </c>
      <c r="D290" s="19" t="n">
        <v>3</v>
      </c>
      <c r="E290" s="20" t="n">
        <v>46068</v>
      </c>
      <c r="F290" s="18" t="inlineStr">
        <is>
          <t>IOGURTE VIÇOSA MORANGO LIGHT 800g</t>
        </is>
      </c>
      <c r="G290" s="18" t="inlineStr">
        <is>
          <t>IOGURTE</t>
        </is>
      </c>
      <c r="H290" s="21" t="n">
        <v>0.8</v>
      </c>
      <c r="I290" s="36" t="n">
        <v>0</v>
      </c>
      <c r="J290" s="21">
        <f>I290*H290</f>
        <v/>
      </c>
      <c r="K290" s="21">
        <f>IFERROR(IF(J290/P290&gt;1,P290,J290),0)</f>
        <v/>
      </c>
      <c r="L290" s="36" t="n">
        <v>0</v>
      </c>
      <c r="M290" s="21">
        <f>L290*H290</f>
        <v/>
      </c>
      <c r="N290" s="21">
        <f>IFERROR(IF(M290/K290&gt;1,K290,M290),0)</f>
        <v/>
      </c>
      <c r="O290" s="36" t="n">
        <v>0</v>
      </c>
      <c r="P290" s="21">
        <f>O290*H290</f>
        <v/>
      </c>
      <c r="Q290" s="30">
        <f>IF(MONTH(E290+1)=MONTH(E290+6),MONTH(E290+1),IF(MIN(EOMONTH(E290+1,0),E290+6)-(E290+1)+1&gt;=3,MONTH(E290+1),MONTH(E290+6)))</f>
        <v/>
      </c>
      <c r="R290" s="22">
        <f>IFERROR(K290/P290, 0)</f>
        <v/>
      </c>
      <c r="S290" s="38">
        <f>IFERROR(N290/P290,0)</f>
        <v/>
      </c>
      <c r="T290" s="31">
        <f>IFERROR(IF(N290&gt;0,(N290/K290),MIN(1,M290/J290)),0)</f>
        <v/>
      </c>
      <c r="U290" s="33" t="n"/>
    </row>
    <row r="291" hidden="1" s="40">
      <c r="A291" s="18" t="inlineStr">
        <is>
          <t>Semana 3 - fevereiro</t>
        </is>
      </c>
      <c r="B291" s="27">
        <f>YEAR(E291)</f>
        <v/>
      </c>
      <c r="C291" s="18">
        <f>INDEX({"Janeiro";"Fevereiro";"Março";"Abril";"Maio";"Junho";"Julho";"Agosto";"Setembro";"Outubro";"Novembro";"Dezembro"},Q291)</f>
        <v/>
      </c>
      <c r="D291" s="19" t="n">
        <v>3</v>
      </c>
      <c r="E291" s="20" t="n">
        <v>46068</v>
      </c>
      <c r="F291" s="18" t="inlineStr">
        <is>
          <t>Iogurte Abacaxi c/ Coco 120g</t>
        </is>
      </c>
      <c r="G291" s="18" t="inlineStr">
        <is>
          <t>IOGURTE</t>
        </is>
      </c>
      <c r="H291" s="21" t="n">
        <v>0.12</v>
      </c>
      <c r="I291" s="36" t="n">
        <v>4000</v>
      </c>
      <c r="J291" s="21">
        <f>I291*H291</f>
        <v/>
      </c>
      <c r="K291" s="21">
        <f>IFERROR(IF(J291/P291&gt;1,P291,J291),0)</f>
        <v/>
      </c>
      <c r="L291" s="36" t="n">
        <v>4117</v>
      </c>
      <c r="M291" s="21">
        <f>L291*H291</f>
        <v/>
      </c>
      <c r="N291" s="21">
        <f>IFERROR(IF(M291/K291&gt;1,K291,M291),0)</f>
        <v/>
      </c>
      <c r="O291" s="36" t="n">
        <v>3000</v>
      </c>
      <c r="P291" s="21">
        <f>O291*H291</f>
        <v/>
      </c>
      <c r="Q291" s="30">
        <f>IF(MONTH(E291+1)=MONTH(E291+6),MONTH(E291+1),IF(MIN(EOMONTH(E291+1,0),E291+6)-(E291+1)+1&gt;=3,MONTH(E291+1),MONTH(E291+6)))</f>
        <v/>
      </c>
      <c r="R291" s="22">
        <f>IFERROR(K291/P291, 0)</f>
        <v/>
      </c>
      <c r="S291" s="38">
        <f>IFERROR(N291/P291,0)</f>
        <v/>
      </c>
      <c r="T291" s="31">
        <f>IFERROR(IF(N291&gt;0,(N291/K291),MIN(1,M291/J291)),0)</f>
        <v/>
      </c>
      <c r="U291" s="33" t="n"/>
    </row>
    <row r="292" hidden="1" s="40">
      <c r="A292" s="23" t="inlineStr">
        <is>
          <t>Semana 3 - fevereiro</t>
        </is>
      </c>
      <c r="B292" s="27">
        <f>YEAR(E292)</f>
        <v/>
      </c>
      <c r="C292" s="18">
        <f>INDEX({"Janeiro";"Fevereiro";"Março";"Abril";"Maio";"Junho";"Julho";"Agosto";"Setembro";"Outubro";"Novembro";"Dezembro"},Q292)</f>
        <v/>
      </c>
      <c r="D292" s="24" t="n">
        <v>3</v>
      </c>
      <c r="E292" s="25" t="n">
        <v>46068</v>
      </c>
      <c r="F292" s="23" t="inlineStr">
        <is>
          <t>Iogurte Abacaxi c/ Coco 185g</t>
        </is>
      </c>
      <c r="G292" s="23" t="inlineStr">
        <is>
          <t>IOGURTE</t>
        </is>
      </c>
      <c r="H292" s="26" t="n">
        <v>0.185</v>
      </c>
      <c r="I292" s="36" t="n">
        <v>780</v>
      </c>
      <c r="J292" s="21">
        <f>I292*H292</f>
        <v/>
      </c>
      <c r="K292" s="21">
        <f>IFERROR(IF(J292/P292&gt;1,P292,J292),0)</f>
        <v/>
      </c>
      <c r="L292" s="36" t="n">
        <v>810</v>
      </c>
      <c r="M292" s="21">
        <f>L292*H292</f>
        <v/>
      </c>
      <c r="N292" s="21">
        <f>IFERROR(IF(M292/K292&gt;1,K292,M292),0)</f>
        <v/>
      </c>
      <c r="O292" s="36" t="n">
        <v>520</v>
      </c>
      <c r="P292" s="21">
        <f>O292*H292</f>
        <v/>
      </c>
      <c r="Q292" s="30">
        <f>IF(MONTH(E292+1)=MONTH(E292+6),MONTH(E292+1),IF(MIN(EOMONTH(E292+1,0),E292+6)-(E292+1)+1&gt;=3,MONTH(E292+1),MONTH(E292+6)))</f>
        <v/>
      </c>
      <c r="R292" s="22">
        <f>IFERROR(K292/P292, 0)</f>
        <v/>
      </c>
      <c r="S292" s="38">
        <f>IFERROR(N292/P292,0)</f>
        <v/>
      </c>
      <c r="T292" s="31">
        <f>IFERROR(IF(N292&gt;0,(N292/K292),MIN(1,M292/J292)),0)</f>
        <v/>
      </c>
      <c r="U292" s="33" t="n"/>
    </row>
    <row r="293" hidden="1" s="40">
      <c r="A293" s="18" t="inlineStr">
        <is>
          <t>Semana 3 - fevereiro</t>
        </is>
      </c>
      <c r="B293" s="27">
        <f>YEAR(E293)</f>
        <v/>
      </c>
      <c r="C293" s="18">
        <f>INDEX({"Janeiro";"Fevereiro";"Março";"Abril";"Maio";"Junho";"Julho";"Agosto";"Setembro";"Outubro";"Novembro";"Dezembro"},Q293)</f>
        <v/>
      </c>
      <c r="D293" s="19" t="n">
        <v>3</v>
      </c>
      <c r="E293" s="20" t="n">
        <v>46068</v>
      </c>
      <c r="F293" s="18" t="inlineStr">
        <is>
          <t>Iogurte Abacaxi c/ Coco 900g</t>
        </is>
      </c>
      <c r="G293" s="18" t="inlineStr">
        <is>
          <t>IOGURTE</t>
        </is>
      </c>
      <c r="H293" s="21" t="n">
        <v>0.9</v>
      </c>
      <c r="I293" s="36" t="n">
        <v>1890</v>
      </c>
      <c r="J293" s="21">
        <f>I293*H293</f>
        <v/>
      </c>
      <c r="K293" s="21">
        <f>IFERROR(IF(J293/P293&gt;1,P293,J293),0)</f>
        <v/>
      </c>
      <c r="L293" s="36" t="n">
        <v>1849</v>
      </c>
      <c r="M293" s="21">
        <f>L293*H293</f>
        <v/>
      </c>
      <c r="N293" s="21">
        <f>IFERROR(IF(M293/K293&gt;1,K293,M293),0)</f>
        <v/>
      </c>
      <c r="O293" s="36" t="n">
        <v>1800</v>
      </c>
      <c r="P293" s="21">
        <f>O293*H293</f>
        <v/>
      </c>
      <c r="Q293" s="30">
        <f>IF(MONTH(E293+1)=MONTH(E293+6),MONTH(E293+1),IF(MIN(EOMONTH(E293+1,0),E293+6)-(E293+1)+1&gt;=3,MONTH(E293+1),MONTH(E293+6)))</f>
        <v/>
      </c>
      <c r="R293" s="22">
        <f>IFERROR(K293/P293, 0)</f>
        <v/>
      </c>
      <c r="S293" s="38">
        <f>IFERROR(N293/P293,0)</f>
        <v/>
      </c>
      <c r="T293" s="31">
        <f>IFERROR(IF(N293&gt;0,(N293/K293),MIN(1,M293/J293)),0)</f>
        <v/>
      </c>
      <c r="U293" s="33" t="n"/>
    </row>
    <row r="294" hidden="1" s="40">
      <c r="A294" s="18" t="inlineStr">
        <is>
          <t>Semana 3 - fevereiro</t>
        </is>
      </c>
      <c r="B294" s="27">
        <f>YEAR(E294)</f>
        <v/>
      </c>
      <c r="C294" s="18">
        <f>INDEX({"Janeiro";"Fevereiro";"Março";"Abril";"Maio";"Junho";"Julho";"Agosto";"Setembro";"Outubro";"Novembro";"Dezembro"},Q294)</f>
        <v/>
      </c>
      <c r="D294" s="19" t="n">
        <v>3</v>
      </c>
      <c r="E294" s="20" t="n">
        <v>46068</v>
      </c>
      <c r="F294" s="18" t="inlineStr">
        <is>
          <t>Iogurte Coco 120g</t>
        </is>
      </c>
      <c r="G294" s="18" t="inlineStr">
        <is>
          <t>IOGURTE</t>
        </is>
      </c>
      <c r="H294" s="21" t="n">
        <v>0.12</v>
      </c>
      <c r="I294" s="36" t="n">
        <v>6000</v>
      </c>
      <c r="J294" s="21">
        <f>I294*H294</f>
        <v/>
      </c>
      <c r="K294" s="21">
        <f>IFERROR(IF(J294/P294&gt;1,P294,J294),0)</f>
        <v/>
      </c>
      <c r="L294" s="36" t="n">
        <v>6612</v>
      </c>
      <c r="M294" s="21">
        <f>L294*H294</f>
        <v/>
      </c>
      <c r="N294" s="21">
        <f>IFERROR(IF(M294/K294&gt;1,K294,M294),0)</f>
        <v/>
      </c>
      <c r="O294" s="36" t="n">
        <v>6000</v>
      </c>
      <c r="P294" s="21">
        <f>O294*H294</f>
        <v/>
      </c>
      <c r="Q294" s="30">
        <f>IF(MONTH(E294+1)=MONTH(E294+6),MONTH(E294+1),IF(MIN(EOMONTH(E294+1,0),E294+6)-(E294+1)+1&gt;=3,MONTH(E294+1),MONTH(E294+6)))</f>
        <v/>
      </c>
      <c r="R294" s="22">
        <f>IFERROR(K294/P294, 0)</f>
        <v/>
      </c>
      <c r="S294" s="38">
        <f>IFERROR(N294/P294,0)</f>
        <v/>
      </c>
      <c r="T294" s="31">
        <f>IFERROR(IF(N294&gt;0,(N294/K294),MIN(1,M294/J294)),0)</f>
        <v/>
      </c>
      <c r="U294" s="33" t="n"/>
    </row>
    <row r="295" hidden="1" s="40">
      <c r="A295" s="23" t="inlineStr">
        <is>
          <t>Semana 3 - fevereiro</t>
        </is>
      </c>
      <c r="B295" s="27">
        <f>YEAR(E295)</f>
        <v/>
      </c>
      <c r="C295" s="18">
        <f>INDEX({"Janeiro";"Fevereiro";"Março";"Abril";"Maio";"Junho";"Julho";"Agosto";"Setembro";"Outubro";"Novembro";"Dezembro"},Q295)</f>
        <v/>
      </c>
      <c r="D295" s="24" t="n">
        <v>3</v>
      </c>
      <c r="E295" s="25" t="n">
        <v>46068</v>
      </c>
      <c r="F295" s="23" t="inlineStr">
        <is>
          <t>Iogurte Coco 185g</t>
        </is>
      </c>
      <c r="G295" s="23" t="inlineStr">
        <is>
          <t>IOGURTE</t>
        </is>
      </c>
      <c r="H295" s="26" t="n">
        <v>0.185</v>
      </c>
      <c r="I295" s="36" t="n">
        <v>780</v>
      </c>
      <c r="J295" s="21">
        <f>I295*H295</f>
        <v/>
      </c>
      <c r="K295" s="21">
        <f>IFERROR(IF(J295/P295&gt;1,P295,J295),0)</f>
        <v/>
      </c>
      <c r="L295" s="36" t="n">
        <v>764</v>
      </c>
      <c r="M295" s="21">
        <f>L295*H295</f>
        <v/>
      </c>
      <c r="N295" s="21">
        <f>IFERROR(IF(M295/K295&gt;1,K295,M295),0)</f>
        <v/>
      </c>
      <c r="O295" s="36" t="n">
        <v>780</v>
      </c>
      <c r="P295" s="21">
        <f>O295*H295</f>
        <v/>
      </c>
      <c r="Q295" s="30">
        <f>IF(MONTH(E295+1)=MONTH(E295+6),MONTH(E295+1),IF(MIN(EOMONTH(E295+1,0),E295+6)-(E295+1)+1&gt;=3,MONTH(E295+1),MONTH(E295+6)))</f>
        <v/>
      </c>
      <c r="R295" s="22">
        <f>IFERROR(K295/P295, 0)</f>
        <v/>
      </c>
      <c r="S295" s="38">
        <f>IFERROR(N295/P295,0)</f>
        <v/>
      </c>
      <c r="T295" s="31">
        <f>IFERROR(IF(N295&gt;0,(N295/K295),MIN(1,M295/J295)),0)</f>
        <v/>
      </c>
      <c r="U295" s="33" t="n"/>
    </row>
    <row r="296" hidden="1" s="40">
      <c r="A296" s="18" t="inlineStr">
        <is>
          <t>Semana 3 - fevereiro</t>
        </is>
      </c>
      <c r="B296" s="27">
        <f>YEAR(E296)</f>
        <v/>
      </c>
      <c r="C296" s="18">
        <f>INDEX({"Janeiro";"Fevereiro";"Março";"Abril";"Maio";"Junho";"Julho";"Agosto";"Setembro";"Outubro";"Novembro";"Dezembro"},Q296)</f>
        <v/>
      </c>
      <c r="D296" s="19" t="n">
        <v>3</v>
      </c>
      <c r="E296" s="20" t="n">
        <v>46068</v>
      </c>
      <c r="F296" s="18" t="inlineStr">
        <is>
          <t>Iogurte Coco 900g</t>
        </is>
      </c>
      <c r="G296" s="18" t="inlineStr">
        <is>
          <t>IOGURTE</t>
        </is>
      </c>
      <c r="H296" s="21" t="n">
        <v>0.9</v>
      </c>
      <c r="I296" s="36" t="n">
        <v>1710</v>
      </c>
      <c r="J296" s="21">
        <f>I296*H296</f>
        <v/>
      </c>
      <c r="K296" s="21">
        <f>IFERROR(IF(J296/P296&gt;1,P296,J296),0)</f>
        <v/>
      </c>
      <c r="L296" s="36" t="n">
        <v>1605</v>
      </c>
      <c r="M296" s="21">
        <f>L296*H296</f>
        <v/>
      </c>
      <c r="N296" s="21">
        <f>IFERROR(IF(M296/K296&gt;1,K296,M296),0)</f>
        <v/>
      </c>
      <c r="O296" s="36" t="n">
        <v>1800</v>
      </c>
      <c r="P296" s="21">
        <f>O296*H296</f>
        <v/>
      </c>
      <c r="Q296" s="30">
        <f>IF(MONTH(E296+1)=MONTH(E296+6),MONTH(E296+1),IF(MIN(EOMONTH(E296+1,0),E296+6)-(E296+1)+1&gt;=3,MONTH(E296+1),MONTH(E296+6)))</f>
        <v/>
      </c>
      <c r="R296" s="22">
        <f>IFERROR(K296/P296, 0)</f>
        <v/>
      </c>
      <c r="S296" s="38">
        <f>IFERROR(N296/P296,0)</f>
        <v/>
      </c>
      <c r="T296" s="31">
        <f>IFERROR(IF(N296&gt;0,(N296/K296),MIN(1,M296/J296)),0)</f>
        <v/>
      </c>
      <c r="U296" s="33" t="n"/>
    </row>
    <row r="297" hidden="1" s="40">
      <c r="A297" s="23" t="inlineStr">
        <is>
          <t>Semana 3 - fevereiro</t>
        </is>
      </c>
      <c r="B297" s="27">
        <f>YEAR(E297)</f>
        <v/>
      </c>
      <c r="C297" s="18">
        <f>INDEX({"Janeiro";"Fevereiro";"Março";"Abril";"Maio";"Junho";"Julho";"Agosto";"Setembro";"Outubro";"Novembro";"Dezembro"},Q297)</f>
        <v/>
      </c>
      <c r="D297" s="24" t="n">
        <v>3</v>
      </c>
      <c r="E297" s="25" t="n">
        <v>46068</v>
      </c>
      <c r="F297" s="23" t="inlineStr">
        <is>
          <t>Iogurte Grego Frutas vermelhas 120g</t>
        </is>
      </c>
      <c r="G297" s="23" t="inlineStr">
        <is>
          <t>IOGURTE</t>
        </is>
      </c>
      <c r="H297" s="26" t="n">
        <v>0.17</v>
      </c>
      <c r="I297" s="36" t="n">
        <v>0</v>
      </c>
      <c r="J297" s="21">
        <f>I297*H297</f>
        <v/>
      </c>
      <c r="K297" s="21">
        <f>IFERROR(IF(J297/P297&gt;1,P297,J297),0)</f>
        <v/>
      </c>
      <c r="L297" s="36" t="n">
        <v>0</v>
      </c>
      <c r="M297" s="21">
        <f>L297*H297</f>
        <v/>
      </c>
      <c r="N297" s="21">
        <f>IFERROR(IF(M297/K297&gt;1,K297,M297),0)</f>
        <v/>
      </c>
      <c r="O297" s="36" t="n">
        <v>0</v>
      </c>
      <c r="P297" s="21">
        <f>O297*H297</f>
        <v/>
      </c>
      <c r="Q297" s="30">
        <f>IF(MONTH(E297+1)=MONTH(E297+6),MONTH(E297+1),IF(MIN(EOMONTH(E297+1,0),E297+6)-(E297+1)+1&gt;=3,MONTH(E297+1),MONTH(E297+6)))</f>
        <v/>
      </c>
      <c r="R297" s="22">
        <f>IFERROR(K297/P297, 0)</f>
        <v/>
      </c>
      <c r="S297" s="38">
        <f>IFERROR(N297/P297,0)</f>
        <v/>
      </c>
      <c r="T297" s="31">
        <f>IFERROR(IF(N297&gt;0,(N297/K297),MIN(1,M297/J297)),0)</f>
        <v/>
      </c>
      <c r="U297" s="33" t="n"/>
    </row>
    <row r="298" hidden="1" s="40">
      <c r="A298" s="23" t="inlineStr">
        <is>
          <t>Semana 3 - fevereiro</t>
        </is>
      </c>
      <c r="B298" s="27">
        <f>YEAR(E298)</f>
        <v/>
      </c>
      <c r="C298" s="18">
        <f>INDEX({"Janeiro";"Fevereiro";"Março";"Abril";"Maio";"Junho";"Julho";"Agosto";"Setembro";"Outubro";"Novembro";"Dezembro"},Q298)</f>
        <v/>
      </c>
      <c r="D298" s="24" t="n">
        <v>3</v>
      </c>
      <c r="E298" s="25" t="n">
        <v>46068</v>
      </c>
      <c r="F298" s="23" t="inlineStr">
        <is>
          <t>Iogurte Morango 120g</t>
        </is>
      </c>
      <c r="G298" s="23" t="inlineStr">
        <is>
          <t>IOGURTE</t>
        </is>
      </c>
      <c r="H298" s="26" t="n">
        <v>0.12</v>
      </c>
      <c r="I298" s="36" t="n">
        <v>19000</v>
      </c>
      <c r="J298" s="21">
        <f>I298*H298</f>
        <v/>
      </c>
      <c r="K298" s="21">
        <f>IFERROR(IF(J298/P298&gt;1,P298,J298),0)</f>
        <v/>
      </c>
      <c r="L298" s="36" t="n">
        <v>31441</v>
      </c>
      <c r="M298" s="21">
        <f>L298*H298</f>
        <v/>
      </c>
      <c r="N298" s="21">
        <f>IFERROR(IF(M298/K298&gt;1,K298,M298),0)</f>
        <v/>
      </c>
      <c r="O298" s="36" t="n">
        <v>28000</v>
      </c>
      <c r="P298" s="21">
        <f>O298*H298</f>
        <v/>
      </c>
      <c r="Q298" s="30">
        <f>IF(MONTH(E298+1)=MONTH(E298+6),MONTH(E298+1),IF(MIN(EOMONTH(E298+1,0),E298+6)-(E298+1)+1&gt;=3,MONTH(E298+1),MONTH(E298+6)))</f>
        <v/>
      </c>
      <c r="R298" s="22">
        <f>IFERROR(K298/P298, 0)</f>
        <v/>
      </c>
      <c r="S298" s="38">
        <f>IFERROR(N298/P298,0)</f>
        <v/>
      </c>
      <c r="T298" s="31">
        <f>IFERROR(IF(N298&gt;0,(N298/K298),MIN(1,M298/J298)),0)</f>
        <v/>
      </c>
      <c r="U298" s="33" t="n"/>
    </row>
    <row r="299" hidden="1" s="40">
      <c r="A299" s="18" t="inlineStr">
        <is>
          <t>Semana 3 - fevereiro</t>
        </is>
      </c>
      <c r="B299" s="27">
        <f>YEAR(E299)</f>
        <v/>
      </c>
      <c r="C299" s="18">
        <f>INDEX({"Janeiro";"Fevereiro";"Março";"Abril";"Maio";"Junho";"Julho";"Agosto";"Setembro";"Outubro";"Novembro";"Dezembro"},Q299)</f>
        <v/>
      </c>
      <c r="D299" s="19" t="n">
        <v>3</v>
      </c>
      <c r="E299" s="20" t="n">
        <v>46068</v>
      </c>
      <c r="F299" s="18" t="inlineStr">
        <is>
          <t>Iogurte Morango 185g</t>
        </is>
      </c>
      <c r="G299" s="18" t="inlineStr">
        <is>
          <t>IOGURTE</t>
        </is>
      </c>
      <c r="H299" s="21" t="n">
        <v>0.185</v>
      </c>
      <c r="I299" s="36" t="n">
        <v>2080</v>
      </c>
      <c r="J299" s="21">
        <f>I299*H299</f>
        <v/>
      </c>
      <c r="K299" s="21">
        <f>IFERROR(IF(J299/P299&gt;1,P299,J299),0)</f>
        <v/>
      </c>
      <c r="L299" s="36" t="n">
        <v>1532</v>
      </c>
      <c r="M299" s="21">
        <f>L299*H299</f>
        <v/>
      </c>
      <c r="N299" s="21">
        <f>IFERROR(IF(M299/K299&gt;1,K299,M299),0)</f>
        <v/>
      </c>
      <c r="O299" s="36" t="n">
        <v>1560</v>
      </c>
      <c r="P299" s="21">
        <f>O299*H299</f>
        <v/>
      </c>
      <c r="Q299" s="30">
        <f>IF(MONTH(E299+1)=MONTH(E299+6),MONTH(E299+1),IF(MIN(EOMONTH(E299+1,0),E299+6)-(E299+1)+1&gt;=3,MONTH(E299+1),MONTH(E299+6)))</f>
        <v/>
      </c>
      <c r="R299" s="22">
        <f>IFERROR(K299/P299, 0)</f>
        <v/>
      </c>
      <c r="S299" s="38">
        <f>IFERROR(N299/P299,0)</f>
        <v/>
      </c>
      <c r="T299" s="31">
        <f>IFERROR(IF(N299&gt;0,(N299/K299),MIN(1,M299/J299)),0)</f>
        <v/>
      </c>
      <c r="U299" s="33" t="n"/>
    </row>
    <row r="300" hidden="1" s="40">
      <c r="A300" s="23" t="inlineStr">
        <is>
          <t>Semana 3 - fevereiro</t>
        </is>
      </c>
      <c r="B300" s="27">
        <f>YEAR(E300)</f>
        <v/>
      </c>
      <c r="C300" s="18">
        <f>INDEX({"Janeiro";"Fevereiro";"Março";"Abril";"Maio";"Junho";"Julho";"Agosto";"Setembro";"Outubro";"Novembro";"Dezembro"},Q300)</f>
        <v/>
      </c>
      <c r="D300" s="24" t="n">
        <v>3</v>
      </c>
      <c r="E300" s="25" t="n">
        <v>46068</v>
      </c>
      <c r="F300" s="23" t="inlineStr">
        <is>
          <t>Iogurte Morango 900G</t>
        </is>
      </c>
      <c r="G300" s="23" t="inlineStr">
        <is>
          <t>IOGURTE</t>
        </is>
      </c>
      <c r="H300" s="26" t="n">
        <v>0.9</v>
      </c>
      <c r="I300" s="36" t="n">
        <v>3060</v>
      </c>
      <c r="J300" s="21">
        <f>I300*H300</f>
        <v/>
      </c>
      <c r="K300" s="21">
        <f>IFERROR(IF(J300/P300&gt;1,P300,J300),0)</f>
        <v/>
      </c>
      <c r="L300" s="36" t="n">
        <v>3415</v>
      </c>
      <c r="M300" s="21">
        <f>L300*H300</f>
        <v/>
      </c>
      <c r="N300" s="21">
        <f>IFERROR(IF(M300/K300&gt;1,K300,M300),0)</f>
        <v/>
      </c>
      <c r="O300" s="36" t="n">
        <v>5600</v>
      </c>
      <c r="P300" s="21">
        <f>O300*H300</f>
        <v/>
      </c>
      <c r="Q300" s="30">
        <f>IF(MONTH(E300+1)=MONTH(E300+6),MONTH(E300+1),IF(MIN(EOMONTH(E300+1,0),E300+6)-(E300+1)+1&gt;=3,MONTH(E300+1),MONTH(E300+6)))</f>
        <v/>
      </c>
      <c r="R300" s="22">
        <f>IFERROR(K300/P300, 0)</f>
        <v/>
      </c>
      <c r="S300" s="38">
        <f>IFERROR(N300/P300,0)</f>
        <v/>
      </c>
      <c r="T300" s="31">
        <f>IFERROR(IF(N300&gt;0,(N300/K300),MIN(1,M300/J300)),0)</f>
        <v/>
      </c>
      <c r="U300" s="33" t="n"/>
    </row>
    <row r="301" hidden="1" s="40">
      <c r="A301" s="18" t="inlineStr">
        <is>
          <t>Semana 3 - fevereiro</t>
        </is>
      </c>
      <c r="B301" s="27">
        <f>YEAR(E301)</f>
        <v/>
      </c>
      <c r="C301" s="18">
        <f>INDEX({"Janeiro";"Fevereiro";"Março";"Abril";"Maio";"Junho";"Julho";"Agosto";"Setembro";"Outubro";"Novembro";"Dezembro"},Q301)</f>
        <v/>
      </c>
      <c r="D301" s="19" t="n">
        <v>3</v>
      </c>
      <c r="E301" s="20" t="n">
        <v>46068</v>
      </c>
      <c r="F301" s="18" t="inlineStr">
        <is>
          <t>Iogurte Natural Integral 170g</t>
        </is>
      </c>
      <c r="G301" s="18" t="inlineStr">
        <is>
          <t>IOGURTE</t>
        </is>
      </c>
      <c r="H301" s="21" t="n">
        <v>0.17</v>
      </c>
      <c r="I301" s="36" t="n">
        <v>3820</v>
      </c>
      <c r="J301" s="21">
        <f>I301*H301</f>
        <v/>
      </c>
      <c r="K301" s="21">
        <f>IFERROR(IF(J301/P301&gt;1,P301,J301),0)</f>
        <v/>
      </c>
      <c r="L301" s="36" t="n">
        <v>3183</v>
      </c>
      <c r="M301" s="21">
        <f>L301*H301</f>
        <v/>
      </c>
      <c r="N301" s="21">
        <f>IFERROR(IF(M301/K301&gt;1,K301,M301),0)</f>
        <v/>
      </c>
      <c r="O301" s="36" t="n">
        <v>3800</v>
      </c>
      <c r="P301" s="21">
        <f>O301*H301</f>
        <v/>
      </c>
      <c r="Q301" s="30">
        <f>IF(MONTH(E301+1)=MONTH(E301+6),MONTH(E301+1),IF(MIN(EOMONTH(E301+1,0),E301+6)-(E301+1)+1&gt;=3,MONTH(E301+1),MONTH(E301+6)))</f>
        <v/>
      </c>
      <c r="R301" s="22">
        <f>IFERROR(K301/P301, 0)</f>
        <v/>
      </c>
      <c r="S301" s="38">
        <f>IFERROR(N301/P301,0)</f>
        <v/>
      </c>
      <c r="T301" s="31">
        <f>IFERROR(IF(N301&gt;0,(N301/K301),MIN(1,M301/J301)),0)</f>
        <v/>
      </c>
      <c r="U301" s="33" t="n"/>
    </row>
    <row r="302" hidden="1" s="40">
      <c r="A302" s="23" t="inlineStr">
        <is>
          <t>Semana 3 - fevereiro</t>
        </is>
      </c>
      <c r="B302" s="27">
        <f>YEAR(E302)</f>
        <v/>
      </c>
      <c r="C302" s="18">
        <f>INDEX({"Janeiro";"Fevereiro";"Março";"Abril";"Maio";"Junho";"Julho";"Agosto";"Setembro";"Outubro";"Novembro";"Dezembro"},Q302)</f>
        <v/>
      </c>
      <c r="D302" s="24" t="n">
        <v>3</v>
      </c>
      <c r="E302" s="25" t="n">
        <v>46068</v>
      </c>
      <c r="F302" s="23" t="inlineStr">
        <is>
          <t>Iogurte Natural Triplo Zero 170g</t>
        </is>
      </c>
      <c r="G302" s="23" t="inlineStr">
        <is>
          <t>IOGURTE</t>
        </is>
      </c>
      <c r="H302" s="26" t="n">
        <v>0.17</v>
      </c>
      <c r="I302" s="36" t="n">
        <v>3820</v>
      </c>
      <c r="J302" s="21">
        <f>I302*H302</f>
        <v/>
      </c>
      <c r="K302" s="21">
        <f>IFERROR(IF(J302/P302&gt;1,P302,J302),0)</f>
        <v/>
      </c>
      <c r="L302" s="36" t="n">
        <v>3792</v>
      </c>
      <c r="M302" s="21">
        <f>L302*H302</f>
        <v/>
      </c>
      <c r="N302" s="21">
        <f>IFERROR(IF(M302/K302&gt;1,K302,M302),0)</f>
        <v/>
      </c>
      <c r="O302" s="36" t="n">
        <v>3800</v>
      </c>
      <c r="P302" s="21">
        <f>O302*H302</f>
        <v/>
      </c>
      <c r="Q302" s="30">
        <f>IF(MONTH(E302+1)=MONTH(E302+6),MONTH(E302+1),IF(MIN(EOMONTH(E302+1,0),E302+6)-(E302+1)+1&gt;=3,MONTH(E302+1),MONTH(E302+6)))</f>
        <v/>
      </c>
      <c r="R302" s="22">
        <f>IFERROR(K302/P302, 0)</f>
        <v/>
      </c>
      <c r="S302" s="38">
        <f>IFERROR(N302/P302,0)</f>
        <v/>
      </c>
      <c r="T302" s="31">
        <f>IFERROR(IF(N302&gt;0,(N302/K302),MIN(1,M302/J302)),0)</f>
        <v/>
      </c>
      <c r="U302" s="33" t="n"/>
    </row>
    <row r="303" hidden="1" s="40">
      <c r="A303" s="23" t="inlineStr">
        <is>
          <t>Semana 3 - fevereiro</t>
        </is>
      </c>
      <c r="B303" s="27">
        <f>YEAR(E303)</f>
        <v/>
      </c>
      <c r="C303" s="18">
        <f>INDEX({"Janeiro";"Fevereiro";"Março";"Abril";"Maio";"Junho";"Julho";"Agosto";"Setembro";"Outubro";"Novembro";"Dezembro"},Q303)</f>
        <v/>
      </c>
      <c r="D303" s="24" t="n">
        <v>3</v>
      </c>
      <c r="E303" s="25" t="n">
        <v>46068</v>
      </c>
      <c r="F303" s="23" t="inlineStr">
        <is>
          <t>Iogurte Salada 120g</t>
        </is>
      </c>
      <c r="G303" s="23" t="inlineStr">
        <is>
          <t>IOGURTE</t>
        </is>
      </c>
      <c r="H303" s="26" t="n">
        <v>0.12</v>
      </c>
      <c r="I303" s="36" t="n">
        <v>3000</v>
      </c>
      <c r="J303" s="21">
        <f>I303*H303</f>
        <v/>
      </c>
      <c r="K303" s="21">
        <f>IFERROR(IF(J303/P303&gt;1,P303,J303),0)</f>
        <v/>
      </c>
      <c r="L303" s="36" t="n">
        <v>3157</v>
      </c>
      <c r="M303" s="21">
        <f>L303*H303</f>
        <v/>
      </c>
      <c r="N303" s="21">
        <f>IFERROR(IF(M303/K303&gt;1,K303,M303),0)</f>
        <v/>
      </c>
      <c r="O303" s="36" t="n">
        <v>3000</v>
      </c>
      <c r="P303" s="21">
        <f>O303*H303</f>
        <v/>
      </c>
      <c r="Q303" s="30">
        <f>IF(MONTH(E303+1)=MONTH(E303+6),MONTH(E303+1),IF(MIN(EOMONTH(E303+1,0),E303+6)-(E303+1)+1&gt;=3,MONTH(E303+1),MONTH(E303+6)))</f>
        <v/>
      </c>
      <c r="R303" s="22">
        <f>IFERROR(K303/P303, 0)</f>
        <v/>
      </c>
      <c r="S303" s="38">
        <f>IFERROR(N303/P303,0)</f>
        <v/>
      </c>
      <c r="T303" s="31">
        <f>IFERROR(IF(N303&gt;0,(N303/K303),MIN(1,M303/J303)),0)</f>
        <v/>
      </c>
      <c r="U303" s="33" t="n"/>
    </row>
    <row r="304" hidden="1" s="40">
      <c r="A304" s="18" t="inlineStr">
        <is>
          <t>Semana 3 - fevereiro</t>
        </is>
      </c>
      <c r="B304" s="27">
        <f>YEAR(E304)</f>
        <v/>
      </c>
      <c r="C304" s="18">
        <f>INDEX({"Janeiro";"Fevereiro";"Março";"Abril";"Maio";"Junho";"Julho";"Agosto";"Setembro";"Outubro";"Novembro";"Dezembro"},Q304)</f>
        <v/>
      </c>
      <c r="D304" s="19" t="n">
        <v>3</v>
      </c>
      <c r="E304" s="20" t="n">
        <v>46068</v>
      </c>
      <c r="F304" s="18" t="inlineStr">
        <is>
          <t>Iogurte Salada 185g</t>
        </is>
      </c>
      <c r="G304" s="18" t="inlineStr">
        <is>
          <t>IOGURTE</t>
        </is>
      </c>
      <c r="H304" s="21" t="n">
        <v>0.185</v>
      </c>
      <c r="I304" s="36" t="n">
        <v>520</v>
      </c>
      <c r="J304" s="21">
        <f>I304*H304</f>
        <v/>
      </c>
      <c r="K304" s="21">
        <f>IFERROR(IF(J304/P304&gt;1,P304,J304),0)</f>
        <v/>
      </c>
      <c r="L304" s="36" t="n">
        <v>658</v>
      </c>
      <c r="M304" s="21">
        <f>L304*H304</f>
        <v/>
      </c>
      <c r="N304" s="21">
        <f>IFERROR(IF(M304/K304&gt;1,K304,M304),0)</f>
        <v/>
      </c>
      <c r="O304" s="36" t="n">
        <v>520</v>
      </c>
      <c r="P304" s="21">
        <f>O304*H304</f>
        <v/>
      </c>
      <c r="Q304" s="30">
        <f>IF(MONTH(E304+1)=MONTH(E304+6),MONTH(E304+1),IF(MIN(EOMONTH(E304+1,0),E304+6)-(E304+1)+1&gt;=3,MONTH(E304+1),MONTH(E304+6)))</f>
        <v/>
      </c>
      <c r="R304" s="22">
        <f>IFERROR(K304/P304, 0)</f>
        <v/>
      </c>
      <c r="S304" s="38">
        <f>IFERROR(N304/P304,0)</f>
        <v/>
      </c>
      <c r="T304" s="31">
        <f>IFERROR(IF(N304&gt;0,(N304/K304),MIN(1,M304/J304)),0)</f>
        <v/>
      </c>
      <c r="U304" s="33" t="n"/>
    </row>
    <row r="305" hidden="1" s="40">
      <c r="A305" s="23" t="inlineStr">
        <is>
          <t>Semana 3 - fevereiro</t>
        </is>
      </c>
      <c r="B305" s="27">
        <f>YEAR(E305)</f>
        <v/>
      </c>
      <c r="C305" s="18">
        <f>INDEX({"Janeiro";"Fevereiro";"Março";"Abril";"Maio";"Junho";"Julho";"Agosto";"Setembro";"Outubro";"Novembro";"Dezembro"},Q305)</f>
        <v/>
      </c>
      <c r="D305" s="24" t="n">
        <v>3</v>
      </c>
      <c r="E305" s="25" t="n">
        <v>46068</v>
      </c>
      <c r="F305" s="23" t="inlineStr">
        <is>
          <t>Iogurte Salada 900g</t>
        </is>
      </c>
      <c r="G305" s="23" t="inlineStr">
        <is>
          <t>IOGURTE</t>
        </is>
      </c>
      <c r="H305" s="26" t="n">
        <v>0.9</v>
      </c>
      <c r="I305" s="36" t="n">
        <v>1080</v>
      </c>
      <c r="J305" s="21">
        <f>I305*H305</f>
        <v/>
      </c>
      <c r="K305" s="21">
        <f>IFERROR(IF(J305/P305&gt;1,P305,J305),0)</f>
        <v/>
      </c>
      <c r="L305" s="36" t="n">
        <v>1076</v>
      </c>
      <c r="M305" s="21">
        <f>L305*H305</f>
        <v/>
      </c>
      <c r="N305" s="21">
        <f>IFERROR(IF(M305/K305&gt;1,K305,M305),0)</f>
        <v/>
      </c>
      <c r="O305" s="36" t="n">
        <v>1500</v>
      </c>
      <c r="P305" s="21">
        <f>O305*H305</f>
        <v/>
      </c>
      <c r="Q305" s="30">
        <f>IF(MONTH(E305+1)=MONTH(E305+6),MONTH(E305+1),IF(MIN(EOMONTH(E305+1,0),E305+6)-(E305+1)+1&gt;=3,MONTH(E305+1),MONTH(E305+6)))</f>
        <v/>
      </c>
      <c r="R305" s="22">
        <f>IFERROR(K305/P305, 0)</f>
        <v/>
      </c>
      <c r="S305" s="38">
        <f>IFERROR(N305/P305,0)</f>
        <v/>
      </c>
      <c r="T305" s="31">
        <f>IFERROR(IF(N305&gt;0,(N305/K305),MIN(1,M305/J305)),0)</f>
        <v/>
      </c>
      <c r="U305" s="33" t="n"/>
    </row>
    <row r="306" hidden="1" s="40">
      <c r="A306" s="18" t="inlineStr">
        <is>
          <t>Semana 3 - fevereiro</t>
        </is>
      </c>
      <c r="B306" s="27">
        <f>YEAR(E306)</f>
        <v/>
      </c>
      <c r="C306" s="18">
        <f>INDEX({"Janeiro";"Fevereiro";"Março";"Abril";"Maio";"Junho";"Julho";"Agosto";"Setembro";"Outubro";"Novembro";"Dezembro"},Q306)</f>
        <v/>
      </c>
      <c r="D306" s="19" t="n">
        <v>3</v>
      </c>
      <c r="E306" s="20" t="n">
        <v>46068</v>
      </c>
      <c r="F306" s="18" t="inlineStr">
        <is>
          <t>Iogurte Vida Leve Ameixa c/ Grãos 180g</t>
        </is>
      </c>
      <c r="G306" s="18" t="inlineStr">
        <is>
          <t>IOGURTE</t>
        </is>
      </c>
      <c r="H306" s="21" t="n">
        <v>0.18</v>
      </c>
      <c r="I306" s="36" t="n">
        <v>1100</v>
      </c>
      <c r="J306" s="21">
        <f>I306*H306</f>
        <v/>
      </c>
      <c r="K306" s="21">
        <f>IFERROR(IF(J306/P306&gt;1,P306,J306),0)</f>
        <v/>
      </c>
      <c r="L306" s="36" t="n">
        <v>1278</v>
      </c>
      <c r="M306" s="21">
        <f>L306*H306</f>
        <v/>
      </c>
      <c r="N306" s="21">
        <f>IFERROR(IF(M306/K306&gt;1,K306,M306),0)</f>
        <v/>
      </c>
      <c r="O306" s="36" t="n">
        <v>0</v>
      </c>
      <c r="P306" s="21">
        <f>O306*H306</f>
        <v/>
      </c>
      <c r="Q306" s="30">
        <f>IF(MONTH(E306+1)=MONTH(E306+6),MONTH(E306+1),IF(MIN(EOMONTH(E306+1,0),E306+6)-(E306+1)+1&gt;=3,MONTH(E306+1),MONTH(E306+6)))</f>
        <v/>
      </c>
      <c r="R306" s="22">
        <f>IFERROR(K306/P306, 0)</f>
        <v/>
      </c>
      <c r="S306" s="38">
        <f>IFERROR(N306/P306,0)</f>
        <v/>
      </c>
      <c r="T306" s="31">
        <f>IFERROR(IF(N306&gt;0,(N306/K306),MIN(1,M306/J306)),0)</f>
        <v/>
      </c>
      <c r="U306" s="33" t="n"/>
    </row>
    <row r="307" hidden="1" s="40">
      <c r="A307" s="23" t="inlineStr">
        <is>
          <t>Semana 3 - fevereiro</t>
        </is>
      </c>
      <c r="B307" s="27">
        <f>YEAR(E307)</f>
        <v/>
      </c>
      <c r="C307" s="18">
        <f>INDEX({"Janeiro";"Fevereiro";"Março";"Abril";"Maio";"Junho";"Julho";"Agosto";"Setembro";"Outubro";"Novembro";"Dezembro"},Q307)</f>
        <v/>
      </c>
      <c r="D307" s="24" t="n">
        <v>3</v>
      </c>
      <c r="E307" s="25" t="n">
        <v>46068</v>
      </c>
      <c r="F307" s="23" t="inlineStr">
        <is>
          <t>Iogurte Vida Leve Ameixa c/ Grãos 500g</t>
        </is>
      </c>
      <c r="G307" s="23" t="inlineStr">
        <is>
          <t>IOGURTE</t>
        </is>
      </c>
      <c r="H307" s="26" t="n">
        <v>0.5</v>
      </c>
      <c r="I307" s="36" t="n">
        <v>1200</v>
      </c>
      <c r="J307" s="21">
        <f>I307*H307</f>
        <v/>
      </c>
      <c r="K307" s="21">
        <f>IFERROR(IF(J307/P307&gt;1,P307,J307),0)</f>
        <v/>
      </c>
      <c r="L307" s="36" t="n">
        <v>1405</v>
      </c>
      <c r="M307" s="21">
        <f>L307*H307</f>
        <v/>
      </c>
      <c r="N307" s="21">
        <f>IFERROR(IF(M307/K307&gt;1,K307,M307),0)</f>
        <v/>
      </c>
      <c r="O307" s="36" t="n">
        <v>0</v>
      </c>
      <c r="P307" s="21">
        <f>O307*H307</f>
        <v/>
      </c>
      <c r="Q307" s="30">
        <f>IF(MONTH(E307+1)=MONTH(E307+6),MONTH(E307+1),IF(MIN(EOMONTH(E307+1,0),E307+6)-(E307+1)+1&gt;=3,MONTH(E307+1),MONTH(E307+6)))</f>
        <v/>
      </c>
      <c r="R307" s="22">
        <f>IFERROR(K307/P307, 0)</f>
        <v/>
      </c>
      <c r="S307" s="38">
        <f>IFERROR(N307/P307,0)</f>
        <v/>
      </c>
      <c r="T307" s="31">
        <f>IFERROR(IF(N307&gt;0,(N307/K307),MIN(1,M307/J307)),0)</f>
        <v/>
      </c>
      <c r="U307" s="33" t="n"/>
    </row>
    <row r="308" hidden="1" s="40">
      <c r="A308" s="18" t="inlineStr">
        <is>
          <t>Semana 3 - fevereiro</t>
        </is>
      </c>
      <c r="B308" s="27">
        <f>YEAR(E308)</f>
        <v/>
      </c>
      <c r="C308" s="18">
        <f>INDEX({"Janeiro";"Fevereiro";"Março";"Abril";"Maio";"Junho";"Julho";"Agosto";"Setembro";"Outubro";"Novembro";"Dezembro"},Q308)</f>
        <v/>
      </c>
      <c r="D308" s="19" t="n">
        <v>3</v>
      </c>
      <c r="E308" s="20" t="n">
        <v>46068</v>
      </c>
      <c r="F308" s="18" t="inlineStr">
        <is>
          <t>Iogurte Vida Leve Morango 180g</t>
        </is>
      </c>
      <c r="G308" s="18" t="inlineStr">
        <is>
          <t>IOGURTE</t>
        </is>
      </c>
      <c r="H308" s="21" t="n">
        <v>0.185</v>
      </c>
      <c r="I308" s="36" t="n">
        <v>1500</v>
      </c>
      <c r="J308" s="21">
        <f>I308*H308</f>
        <v/>
      </c>
      <c r="K308" s="21">
        <f>IFERROR(IF(J308/P308&gt;1,P308,J308),0)</f>
        <v/>
      </c>
      <c r="L308" s="36" t="n">
        <v>0</v>
      </c>
      <c r="M308" s="21">
        <f>L308*H308</f>
        <v/>
      </c>
      <c r="N308" s="21">
        <f>IFERROR(IF(M308/K308&gt;1,K308,M308),0)</f>
        <v/>
      </c>
      <c r="O308" s="36" t="n">
        <v>0</v>
      </c>
      <c r="P308" s="21">
        <f>O308*H308</f>
        <v/>
      </c>
      <c r="Q308" s="30">
        <f>IF(MONTH(E308+1)=MONTH(E308+6),MONTH(E308+1),IF(MIN(EOMONTH(E308+1,0),E308+6)-(E308+1)+1&gt;=3,MONTH(E308+1),MONTH(E308+6)))</f>
        <v/>
      </c>
      <c r="R308" s="22">
        <f>IFERROR(K308/P308, 0)</f>
        <v/>
      </c>
      <c r="S308" s="38">
        <f>IFERROR(N308/P308,0)</f>
        <v/>
      </c>
      <c r="T308" s="31">
        <f>IFERROR(IF(N308&gt;0,(N308/K308),MIN(1,M308/J308)),0)</f>
        <v/>
      </c>
      <c r="U308" s="33" t="n"/>
    </row>
    <row r="309" hidden="1" s="40">
      <c r="A309" s="23" t="inlineStr">
        <is>
          <t>Semana 3 - fevereiro</t>
        </is>
      </c>
      <c r="B309" s="27">
        <f>YEAR(E309)</f>
        <v/>
      </c>
      <c r="C309" s="18">
        <f>INDEX({"Janeiro";"Fevereiro";"Março";"Abril";"Maio";"Junho";"Julho";"Agosto";"Setembro";"Outubro";"Novembro";"Dezembro"},Q309)</f>
        <v/>
      </c>
      <c r="D309" s="24" t="n">
        <v>3</v>
      </c>
      <c r="E309" s="25" t="n">
        <v>46068</v>
      </c>
      <c r="F309" s="23" t="inlineStr">
        <is>
          <t>Iogurte Vida Leve Morango 500g</t>
        </is>
      </c>
      <c r="G309" s="23" t="inlineStr">
        <is>
          <t>IOGURTE</t>
        </is>
      </c>
      <c r="H309" s="26" t="n">
        <v>0.5</v>
      </c>
      <c r="I309" s="36" t="n">
        <v>2000</v>
      </c>
      <c r="J309" s="21">
        <f>I309*H309</f>
        <v/>
      </c>
      <c r="K309" s="21">
        <f>IFERROR(IF(J309/P309&gt;1,P309,J309),0)</f>
        <v/>
      </c>
      <c r="L309" s="36" t="n">
        <v>2408</v>
      </c>
      <c r="M309" s="21">
        <f>L309*H309</f>
        <v/>
      </c>
      <c r="N309" s="21">
        <f>IFERROR(IF(M309/K309&gt;1,K309,M309),0)</f>
        <v/>
      </c>
      <c r="O309" s="36" t="n">
        <v>0</v>
      </c>
      <c r="P309" s="21">
        <f>O309*H309</f>
        <v/>
      </c>
      <c r="Q309" s="30">
        <f>IF(MONTH(E309+1)=MONTH(E309+6),MONTH(E309+1),IF(MIN(EOMONTH(E309+1,0),E309+6)-(E309+1)+1&gt;=3,MONTH(E309+1),MONTH(E309+6)))</f>
        <v/>
      </c>
      <c r="R309" s="22">
        <f>IFERROR(K309/P309, 0)</f>
        <v/>
      </c>
      <c r="S309" s="38">
        <f>IFERROR(N309/P309,0)</f>
        <v/>
      </c>
      <c r="T309" s="31">
        <f>IFERROR(IF(N309&gt;0,(N309/K309),MIN(1,M309/J309)),0)</f>
        <v/>
      </c>
      <c r="U309" s="33" t="n"/>
    </row>
    <row r="310" hidden="1" s="40">
      <c r="A310" s="18" t="inlineStr">
        <is>
          <t>Semana 3 - fevereiro</t>
        </is>
      </c>
      <c r="B310" s="27">
        <f>YEAR(E310)</f>
        <v/>
      </c>
      <c r="C310" s="18">
        <f>INDEX({"Janeiro";"Fevereiro";"Março";"Abril";"Maio";"Junho";"Julho";"Agosto";"Setembro";"Outubro";"Novembro";"Dezembro"},Q310)</f>
        <v/>
      </c>
      <c r="D310" s="19" t="n">
        <v>3</v>
      </c>
      <c r="E310" s="20" t="n">
        <v>46068</v>
      </c>
      <c r="F310" s="18" t="inlineStr">
        <is>
          <t>LEITE PASTEURIZADO VIÇOSA DESNATADO</t>
        </is>
      </c>
      <c r="G310" s="18" t="inlineStr">
        <is>
          <t>LEITE PAST.</t>
        </is>
      </c>
      <c r="H310" s="21" t="n">
        <v>1</v>
      </c>
      <c r="I310" s="36" t="n">
        <v>614</v>
      </c>
      <c r="J310" s="21">
        <f>I310*H310</f>
        <v/>
      </c>
      <c r="K310" s="21">
        <f>IFERROR(IF(J310/P310&gt;1,P310,J310),0)</f>
        <v/>
      </c>
      <c r="L310" s="36" t="n">
        <v>614</v>
      </c>
      <c r="M310" s="21">
        <f>L310*H310</f>
        <v/>
      </c>
      <c r="N310" s="21">
        <f>IFERROR(IF(M310/K310&gt;1,K310,M310),0)</f>
        <v/>
      </c>
      <c r="O310" s="36" t="n">
        <v>614</v>
      </c>
      <c r="P310" s="21">
        <f>O310*H310</f>
        <v/>
      </c>
      <c r="Q310" s="30">
        <f>IF(MONTH(E310+1)=MONTH(E310+6),MONTH(E310+1),IF(MIN(EOMONTH(E310+1,0),E310+6)-(E310+1)+1&gt;=3,MONTH(E310+1),MONTH(E310+6)))</f>
        <v/>
      </c>
      <c r="R310" s="22">
        <f>IFERROR(K310/P310, 0)</f>
        <v/>
      </c>
      <c r="S310" s="38">
        <f>IFERROR(N310/P310,0)</f>
        <v/>
      </c>
      <c r="T310" s="31">
        <f>IFERROR(IF(N310&gt;0,(N310/K310),MIN(1,M310/J310)),0)</f>
        <v/>
      </c>
      <c r="U310" s="33" t="n"/>
    </row>
    <row r="311" hidden="1" s="40">
      <c r="A311" s="23" t="inlineStr">
        <is>
          <t>Semana 3 - fevereiro</t>
        </is>
      </c>
      <c r="B311" s="27">
        <f>YEAR(E311)</f>
        <v/>
      </c>
      <c r="C311" s="18">
        <f>INDEX({"Janeiro";"Fevereiro";"Março";"Abril";"Maio";"Junho";"Julho";"Agosto";"Setembro";"Outubro";"Novembro";"Dezembro"},Q311)</f>
        <v/>
      </c>
      <c r="D311" s="24" t="n">
        <v>3</v>
      </c>
      <c r="E311" s="25" t="n">
        <v>46068</v>
      </c>
      <c r="F311" s="23" t="inlineStr">
        <is>
          <t>LEITE PASTEURIZADO VIÇOSA INTEGRAL</t>
        </is>
      </c>
      <c r="G311" s="23" t="inlineStr">
        <is>
          <t>LEITE PAST.</t>
        </is>
      </c>
      <c r="H311" s="26" t="n">
        <v>1</v>
      </c>
      <c r="I311" s="36" t="n">
        <v>14069</v>
      </c>
      <c r="J311" s="21">
        <f>I311*H311</f>
        <v/>
      </c>
      <c r="K311" s="21">
        <f>IFERROR(IF(J311/P311&gt;1,P311,J311),0)</f>
        <v/>
      </c>
      <c r="L311" s="36" t="n">
        <v>14069</v>
      </c>
      <c r="M311" s="21">
        <f>L311*H311</f>
        <v/>
      </c>
      <c r="N311" s="21">
        <f>IFERROR(IF(M311/K311&gt;1,K311,M311),0)</f>
        <v/>
      </c>
      <c r="O311" s="36" t="n">
        <v>14069</v>
      </c>
      <c r="P311" s="21">
        <f>O311*H311</f>
        <v/>
      </c>
      <c r="Q311" s="30">
        <f>IF(MONTH(E311+1)=MONTH(E311+6),MONTH(E311+1),IF(MIN(EOMONTH(E311+1,0),E311+6)-(E311+1)+1&gt;=3,MONTH(E311+1),MONTH(E311+6)))</f>
        <v/>
      </c>
      <c r="R311" s="22">
        <f>IFERROR(K311/P311, 0)</f>
        <v/>
      </c>
      <c r="S311" s="38">
        <f>IFERROR(N311/P311,0)</f>
        <v/>
      </c>
      <c r="T311" s="31">
        <f>IFERROR(IF(N311&gt;0,(N311/K311),MIN(1,M311/J311)),0)</f>
        <v/>
      </c>
      <c r="U311" s="33" t="n"/>
    </row>
    <row r="312" hidden="1" s="40">
      <c r="A312" s="18" t="inlineStr">
        <is>
          <t>Semana 3 - fevereiro</t>
        </is>
      </c>
      <c r="B312" s="27">
        <f>YEAR(E312)</f>
        <v/>
      </c>
      <c r="C312" s="18">
        <f>INDEX({"Janeiro";"Fevereiro";"Março";"Abril";"Maio";"Junho";"Julho";"Agosto";"Setembro";"Outubro";"Novembro";"Dezembro"},Q312)</f>
        <v/>
      </c>
      <c r="D312" s="19" t="n">
        <v>3</v>
      </c>
      <c r="E312" s="20" t="n">
        <v>46068</v>
      </c>
      <c r="F312" s="18" t="inlineStr">
        <is>
          <t>LEITE PASTEURIZADO VIÇOSA ZERO LACTOSE INTEGRAL 1 L</t>
        </is>
      </c>
      <c r="G312" s="18" t="inlineStr">
        <is>
          <t>LEITE PAST.</t>
        </is>
      </c>
      <c r="H312" s="21" t="n">
        <v>1</v>
      </c>
      <c r="I312" s="36" t="n">
        <v>564</v>
      </c>
      <c r="J312" s="21">
        <f>I312*H312</f>
        <v/>
      </c>
      <c r="K312" s="21">
        <f>IFERROR(IF(J312/P312&gt;1,P312,J312),0)</f>
        <v/>
      </c>
      <c r="L312" s="36" t="n">
        <v>564</v>
      </c>
      <c r="M312" s="21">
        <f>L312*H312</f>
        <v/>
      </c>
      <c r="N312" s="21">
        <f>IFERROR(IF(M312/K312&gt;1,K312,M312),0)</f>
        <v/>
      </c>
      <c r="O312" s="36" t="n">
        <v>564</v>
      </c>
      <c r="P312" s="21">
        <f>O312*H312</f>
        <v/>
      </c>
      <c r="Q312" s="30">
        <f>IF(MONTH(E312+1)=MONTH(E312+6),MONTH(E312+1),IF(MIN(EOMONTH(E312+1,0),E312+6)-(E312+1)+1&gt;=3,MONTH(E312+1),MONTH(E312+6)))</f>
        <v/>
      </c>
      <c r="R312" s="22">
        <f>IFERROR(K312/P312, 0)</f>
        <v/>
      </c>
      <c r="S312" s="38">
        <f>IFERROR(N312/P312,0)</f>
        <v/>
      </c>
      <c r="T312" s="31">
        <f>IFERROR(IF(N312&gt;0,(N312/K312),MIN(1,M312/J312)),0)</f>
        <v/>
      </c>
      <c r="U312" s="33" t="n"/>
    </row>
    <row r="313" hidden="1" s="40">
      <c r="A313" s="23" t="inlineStr">
        <is>
          <t>Semana 3 - fevereiro</t>
        </is>
      </c>
      <c r="B313" s="27">
        <f>YEAR(E313)</f>
        <v/>
      </c>
      <c r="C313" s="18">
        <f>INDEX({"Janeiro";"Fevereiro";"Março";"Abril";"Maio";"Junho";"Julho";"Agosto";"Setembro";"Outubro";"Novembro";"Dezembro"},Q313)</f>
        <v/>
      </c>
      <c r="D313" s="24" t="n">
        <v>3</v>
      </c>
      <c r="E313" s="25" t="n">
        <v>46068</v>
      </c>
      <c r="F313" s="23" t="inlineStr">
        <is>
          <t>Manteiga 200g</t>
        </is>
      </c>
      <c r="G313" s="23" t="inlineStr">
        <is>
          <t>MANTEIGA</t>
        </is>
      </c>
      <c r="H313" s="26" t="n">
        <v>0.2</v>
      </c>
      <c r="I313" s="36" t="n">
        <v>2500</v>
      </c>
      <c r="J313" s="21">
        <f>I313*H313</f>
        <v/>
      </c>
      <c r="K313" s="21">
        <f>IFERROR(IF(J313/P313&gt;1,P313,J313),0)</f>
        <v/>
      </c>
      <c r="L313" s="36" t="n">
        <v>2303</v>
      </c>
      <c r="M313" s="21">
        <f>L313*H313</f>
        <v/>
      </c>
      <c r="N313" s="21">
        <f>IFERROR(IF(M313/K313&gt;1,K313,M313),0)</f>
        <v/>
      </c>
      <c r="O313" s="36" t="n">
        <v>2500</v>
      </c>
      <c r="P313" s="21">
        <f>O313*H313</f>
        <v/>
      </c>
      <c r="Q313" s="30">
        <f>IF(MONTH(E313+1)=MONTH(E313+6),MONTH(E313+1),IF(MIN(EOMONTH(E313+1,0),E313+6)-(E313+1)+1&gt;=3,MONTH(E313+1),MONTH(E313+6)))</f>
        <v/>
      </c>
      <c r="R313" s="22">
        <f>IFERROR(K313/P313, 0)</f>
        <v/>
      </c>
      <c r="S313" s="38">
        <f>IFERROR(N313/P313,0)</f>
        <v/>
      </c>
      <c r="T313" s="31">
        <f>IFERROR(IF(N313&gt;0,(N313/K313),MIN(1,M313/J313)),0)</f>
        <v/>
      </c>
      <c r="U313" s="33" t="n"/>
    </row>
    <row r="314" hidden="1" s="40">
      <c r="A314" s="18" t="inlineStr">
        <is>
          <t>Semana 3 - fevereiro</t>
        </is>
      </c>
      <c r="B314" s="27">
        <f>YEAR(E314)</f>
        <v/>
      </c>
      <c r="C314" s="18">
        <f>INDEX({"Janeiro";"Fevereiro";"Março";"Abril";"Maio";"Junho";"Julho";"Agosto";"Setembro";"Outubro";"Novembro";"Dezembro"},Q314)</f>
        <v/>
      </c>
      <c r="D314" s="19" t="n">
        <v>3</v>
      </c>
      <c r="E314" s="20" t="n">
        <v>46068</v>
      </c>
      <c r="F314" s="18" t="inlineStr">
        <is>
          <t>Manteiga 500g</t>
        </is>
      </c>
      <c r="G314" s="18" t="inlineStr">
        <is>
          <t>MANTEIGA</t>
        </is>
      </c>
      <c r="H314" s="21" t="n">
        <v>0.5</v>
      </c>
      <c r="I314" s="36" t="n">
        <v>1100</v>
      </c>
      <c r="J314" s="21">
        <f>I314*H314</f>
        <v/>
      </c>
      <c r="K314" s="21">
        <f>IFERROR(IF(J314/P314&gt;1,P314,J314),0)</f>
        <v/>
      </c>
      <c r="L314" s="36" t="n">
        <v>1073</v>
      </c>
      <c r="M314" s="21">
        <f>L314*H314</f>
        <v/>
      </c>
      <c r="N314" s="21">
        <f>IFERROR(IF(M314/K314&gt;1,K314,M314),0)</f>
        <v/>
      </c>
      <c r="O314" s="36" t="n">
        <v>550</v>
      </c>
      <c r="P314" s="21">
        <f>O314*H314</f>
        <v/>
      </c>
      <c r="Q314" s="30">
        <f>IF(MONTH(E314+1)=MONTH(E314+6),MONTH(E314+1),IF(MIN(EOMONTH(E314+1,0),E314+6)-(E314+1)+1&gt;=3,MONTH(E314+1),MONTH(E314+6)))</f>
        <v/>
      </c>
      <c r="R314" s="22">
        <f>IFERROR(K314/P314, 0)</f>
        <v/>
      </c>
      <c r="S314" s="38">
        <f>IFERROR(N314/P314,0)</f>
        <v/>
      </c>
      <c r="T314" s="31">
        <f>IFERROR(IF(N314&gt;0,(N314/K314),MIN(1,M314/J314)),0)</f>
        <v/>
      </c>
      <c r="U314" s="33" t="n"/>
    </row>
    <row r="315" hidden="1" s="40">
      <c r="A315" s="23" t="inlineStr">
        <is>
          <t>Semana 3 - fevereiro</t>
        </is>
      </c>
      <c r="B315" s="27">
        <f>YEAR(E315)</f>
        <v/>
      </c>
      <c r="C315" s="18">
        <f>INDEX({"Janeiro";"Fevereiro";"Março";"Abril";"Maio";"Junho";"Julho";"Agosto";"Setembro";"Outubro";"Novembro";"Dezembro"},Q315)</f>
        <v/>
      </c>
      <c r="D315" s="24" t="n">
        <v>3</v>
      </c>
      <c r="E315" s="25" t="n">
        <v>46068</v>
      </c>
      <c r="F315" s="23" t="inlineStr">
        <is>
          <t>QUEIJO MINAS MEIA CURA (FRACIONADO)</t>
        </is>
      </c>
      <c r="G315" s="23" t="inlineStr">
        <is>
          <t>QUEIJO</t>
        </is>
      </c>
      <c r="H315" s="26" t="n">
        <v>1</v>
      </c>
      <c r="I315" s="36" t="n">
        <v>200</v>
      </c>
      <c r="J315" s="21">
        <f>I315*H315</f>
        <v/>
      </c>
      <c r="K315" s="21">
        <f>IFERROR(IF(J315/P315&gt;1,P315,J315),0)</f>
        <v/>
      </c>
      <c r="L315" s="36" t="n">
        <v>200</v>
      </c>
      <c r="M315" s="21">
        <f>L315*H315</f>
        <v/>
      </c>
      <c r="N315" s="21">
        <f>IFERROR(IF(M315/K315&gt;1,K315,M315),0)</f>
        <v/>
      </c>
      <c r="O315" s="36" t="n">
        <v>200</v>
      </c>
      <c r="P315" s="21">
        <f>O315*H315</f>
        <v/>
      </c>
      <c r="Q315" s="30">
        <f>IF(MONTH(E315+1)=MONTH(E315+6),MONTH(E315+1),IF(MIN(EOMONTH(E315+1,0),E315+6)-(E315+1)+1&gt;=3,MONTH(E315+1),MONTH(E315+6)))</f>
        <v/>
      </c>
      <c r="R315" s="22">
        <f>IFERROR(K315/P315, 0)</f>
        <v/>
      </c>
      <c r="S315" s="38">
        <f>IFERROR(N315/P315,0)</f>
        <v/>
      </c>
      <c r="T315" s="31">
        <f>IFERROR(IF(N315&gt;0,(N315/K315),MIN(1,M315/J315)),0)</f>
        <v/>
      </c>
      <c r="U315" s="33" t="n"/>
    </row>
    <row r="316" hidden="1" s="40">
      <c r="A316" s="18" t="inlineStr">
        <is>
          <t>Semana 3 - fevereiro</t>
        </is>
      </c>
      <c r="B316" s="27">
        <f>YEAR(E316)</f>
        <v/>
      </c>
      <c r="C316" s="18">
        <f>INDEX({"Janeiro";"Fevereiro";"Março";"Abril";"Maio";"Junho";"Julho";"Agosto";"Setembro";"Outubro";"Novembro";"Dezembro"},Q316)</f>
        <v/>
      </c>
      <c r="D316" s="19" t="n">
        <v>3</v>
      </c>
      <c r="E316" s="20" t="n">
        <v>46068</v>
      </c>
      <c r="F316" s="18" t="inlineStr">
        <is>
          <t>QUEIJO MINAS MEIA CURA (INTEIRO)</t>
        </is>
      </c>
      <c r="G316" s="18" t="inlineStr">
        <is>
          <t>QUEIJO</t>
        </is>
      </c>
      <c r="H316" s="21" t="n">
        <v>1</v>
      </c>
      <c r="I316" s="36" t="n">
        <v>0</v>
      </c>
      <c r="J316" s="21">
        <f>I316*H316</f>
        <v/>
      </c>
      <c r="K316" s="21">
        <f>IFERROR(IF(J316/P316&gt;1,P316,J316),0)</f>
        <v/>
      </c>
      <c r="L316" s="36" t="n">
        <v>0</v>
      </c>
      <c r="M316" s="21">
        <f>L316*H316</f>
        <v/>
      </c>
      <c r="N316" s="21">
        <f>IFERROR(IF(M316/K316&gt;1,K316,M316),0)</f>
        <v/>
      </c>
      <c r="O316" s="36" t="n">
        <v>0</v>
      </c>
      <c r="P316" s="21">
        <f>O316*H316</f>
        <v/>
      </c>
      <c r="Q316" s="30">
        <f>IF(MONTH(E316+1)=MONTH(E316+6),MONTH(E316+1),IF(MIN(EOMONTH(E316+1,0),E316+6)-(E316+1)+1&gt;=3,MONTH(E316+1),MONTH(E316+6)))</f>
        <v/>
      </c>
      <c r="R316" s="22">
        <f>IFERROR(K316/P316, 0)</f>
        <v/>
      </c>
      <c r="S316" s="38">
        <f>IFERROR(N316/P316,0)</f>
        <v/>
      </c>
      <c r="T316" s="31">
        <f>IFERROR(IF(N316&gt;0,(N316/K316),MIN(1,M316/J316)),0)</f>
        <v/>
      </c>
      <c r="U316" s="33" t="n"/>
    </row>
    <row r="317" hidden="1" s="40">
      <c r="A317" s="23" t="inlineStr">
        <is>
          <t>Semana 3 - fevereiro</t>
        </is>
      </c>
      <c r="B317" s="27">
        <f>YEAR(E317)</f>
        <v/>
      </c>
      <c r="C317" s="18">
        <f>INDEX({"Janeiro";"Fevereiro";"Março";"Abril";"Maio";"Junho";"Julho";"Agosto";"Setembro";"Outubro";"Novembro";"Dezembro"},Q317)</f>
        <v/>
      </c>
      <c r="D317" s="24" t="n">
        <v>3</v>
      </c>
      <c r="E317" s="25" t="n">
        <v>46068</v>
      </c>
      <c r="F317" s="23" t="inlineStr">
        <is>
          <t xml:space="preserve">QUEIJO MINAS PADRÃO VIÇOSA FRACIONADO </t>
        </is>
      </c>
      <c r="G317" s="23" t="inlineStr">
        <is>
          <t>QUEIJO</t>
        </is>
      </c>
      <c r="H317" s="26" t="n">
        <v>1</v>
      </c>
      <c r="I317" s="36" t="n">
        <v>200</v>
      </c>
      <c r="J317" s="21">
        <f>I317*H317</f>
        <v/>
      </c>
      <c r="K317" s="21">
        <f>IFERROR(IF(J317/P317&gt;1,P317,J317),0)</f>
        <v/>
      </c>
      <c r="L317" s="36" t="n">
        <v>200</v>
      </c>
      <c r="M317" s="21">
        <f>L317*H317</f>
        <v/>
      </c>
      <c r="N317" s="21">
        <f>IFERROR(IF(M317/K317&gt;1,K317,M317),0)</f>
        <v/>
      </c>
      <c r="O317" s="36" t="n">
        <v>200</v>
      </c>
      <c r="P317" s="21">
        <f>O317*H317</f>
        <v/>
      </c>
      <c r="Q317" s="30">
        <f>IF(MONTH(E317+1)=MONTH(E317+6),MONTH(E317+1),IF(MIN(EOMONTH(E317+1,0),E317+6)-(E317+1)+1&gt;=3,MONTH(E317+1),MONTH(E317+6)))</f>
        <v/>
      </c>
      <c r="R317" s="22">
        <f>IFERROR(K317/P317, 0)</f>
        <v/>
      </c>
      <c r="S317" s="38">
        <f>IFERROR(N317/P317,0)</f>
        <v/>
      </c>
      <c r="T317" s="31">
        <f>IFERROR(IF(N317&gt;0,(N317/K317),MIN(1,M317/J317)),0)</f>
        <v/>
      </c>
      <c r="U317" s="33" t="n"/>
    </row>
    <row r="318" hidden="1" s="40">
      <c r="A318" s="18" t="inlineStr">
        <is>
          <t>Semana 3 - fevereiro</t>
        </is>
      </c>
      <c r="B318" s="27">
        <f>YEAR(E318)</f>
        <v/>
      </c>
      <c r="C318" s="18">
        <f>INDEX({"Janeiro";"Fevereiro";"Março";"Abril";"Maio";"Junho";"Julho";"Agosto";"Setembro";"Outubro";"Novembro";"Dezembro"},Q318)</f>
        <v/>
      </c>
      <c r="D318" s="19" t="n">
        <v>3</v>
      </c>
      <c r="E318" s="20" t="n">
        <v>46068</v>
      </c>
      <c r="F318" s="18" t="inlineStr">
        <is>
          <t>QUEIJO MUSSARELA 3KG</t>
        </is>
      </c>
      <c r="G318" s="18" t="inlineStr">
        <is>
          <t>QUEIJO</t>
        </is>
      </c>
      <c r="H318" s="21" t="n">
        <v>1</v>
      </c>
      <c r="I318" s="36" t="n">
        <v>300</v>
      </c>
      <c r="J318" s="21">
        <f>I318*H318</f>
        <v/>
      </c>
      <c r="K318" s="21">
        <f>IFERROR(IF(J318/P318&gt;1,P318,J318),0)</f>
        <v/>
      </c>
      <c r="L318" s="36" t="n">
        <v>740.72</v>
      </c>
      <c r="M318" s="21">
        <f>L318*H318</f>
        <v/>
      </c>
      <c r="N318" s="21">
        <f>IFERROR(IF(M318/K318&gt;1,K318,M318),0)</f>
        <v/>
      </c>
      <c r="O318" s="36" t="n">
        <v>500</v>
      </c>
      <c r="P318" s="21">
        <f>O318*H318</f>
        <v/>
      </c>
      <c r="Q318" s="30">
        <f>IF(MONTH(E318+1)=MONTH(E318+6),MONTH(E318+1),IF(MIN(EOMONTH(E318+1,0),E318+6)-(E318+1)+1&gt;=3,MONTH(E318+1),MONTH(E318+6)))</f>
        <v/>
      </c>
      <c r="R318" s="22">
        <f>IFERROR(K318/P318, 0)</f>
        <v/>
      </c>
      <c r="S318" s="38">
        <f>IFERROR(N318/P318,0)</f>
        <v/>
      </c>
      <c r="T318" s="31">
        <f>IFERROR(IF(N318&gt;0,(N318/K318),MIN(1,M318/J318)),0)</f>
        <v/>
      </c>
      <c r="U318" s="33" t="n"/>
    </row>
    <row r="319" hidden="1" s="40">
      <c r="A319" s="23" t="inlineStr">
        <is>
          <t>Semana 3 - fevereiro</t>
        </is>
      </c>
      <c r="B319" s="27">
        <f>YEAR(E319)</f>
        <v/>
      </c>
      <c r="C319" s="18">
        <f>INDEX({"Janeiro";"Fevereiro";"Março";"Abril";"Maio";"Junho";"Julho";"Agosto";"Setembro";"Outubro";"Novembro";"Dezembro"},Q319)</f>
        <v/>
      </c>
      <c r="D319" s="24" t="n">
        <v>3</v>
      </c>
      <c r="E319" s="25" t="n">
        <v>46068</v>
      </c>
      <c r="F319" s="23" t="inlineStr">
        <is>
          <t>QUEIJO MUSSARELA LANCHE</t>
        </is>
      </c>
      <c r="G319" s="23" t="inlineStr">
        <is>
          <t>QUEIJO</t>
        </is>
      </c>
      <c r="H319" s="26" t="n">
        <v>1</v>
      </c>
      <c r="I319" s="36" t="n">
        <v>200</v>
      </c>
      <c r="J319" s="21">
        <f>I319*H319</f>
        <v/>
      </c>
      <c r="K319" s="21">
        <f>IFERROR(IF(J319/P319&gt;1,P319,J319),0)</f>
        <v/>
      </c>
      <c r="L319" s="36" t="n">
        <v>204.99</v>
      </c>
      <c r="M319" s="21">
        <f>L319*H319</f>
        <v/>
      </c>
      <c r="N319" s="21">
        <f>IFERROR(IF(M319/K319&gt;1,K319,M319),0)</f>
        <v/>
      </c>
      <c r="O319" s="36" t="n">
        <v>200</v>
      </c>
      <c r="P319" s="21">
        <f>O319*H319</f>
        <v/>
      </c>
      <c r="Q319" s="30">
        <f>IF(MONTH(E319+1)=MONTH(E319+6),MONTH(E319+1),IF(MIN(EOMONTH(E319+1,0),E319+6)-(E319+1)+1&gt;=3,MONTH(E319+1),MONTH(E319+6)))</f>
        <v/>
      </c>
      <c r="R319" s="22">
        <f>IFERROR(K319/P319, 0)</f>
        <v/>
      </c>
      <c r="S319" s="38">
        <f>IFERROR(N319/P319,0)</f>
        <v/>
      </c>
      <c r="T319" s="31">
        <f>IFERROR(IF(N319&gt;0,(N319/K319),MIN(1,M319/J319)),0)</f>
        <v/>
      </c>
      <c r="U319" s="33" t="n"/>
    </row>
    <row r="320" hidden="1" s="40">
      <c r="A320" s="18" t="inlineStr">
        <is>
          <t>Semana 3 - fevereiro</t>
        </is>
      </c>
      <c r="B320" s="27">
        <f>YEAR(E320)</f>
        <v/>
      </c>
      <c r="C320" s="18">
        <f>INDEX({"Janeiro";"Fevereiro";"Março";"Abril";"Maio";"Junho";"Julho";"Agosto";"Setembro";"Outubro";"Novembro";"Dezembro"},Q320)</f>
        <v/>
      </c>
      <c r="D320" s="19" t="n">
        <v>3</v>
      </c>
      <c r="E320" s="20" t="n">
        <v>46068</v>
      </c>
      <c r="F320" s="18" t="inlineStr">
        <is>
          <t>REQUEIJÃO VIÇOSA 200g</t>
        </is>
      </c>
      <c r="G320" s="18" t="inlineStr">
        <is>
          <t>REQUEIJÃO</t>
        </is>
      </c>
      <c r="H320" s="21" t="n">
        <v>0.2</v>
      </c>
      <c r="I320" s="36" t="n">
        <v>2000</v>
      </c>
      <c r="J320" s="21">
        <f>I320*H320</f>
        <v/>
      </c>
      <c r="K320" s="21">
        <f>IFERROR(IF(J320/P320&gt;1,P320,J320),0)</f>
        <v/>
      </c>
      <c r="L320" s="36" t="n">
        <v>1960</v>
      </c>
      <c r="M320" s="21">
        <f>L320*H320</f>
        <v/>
      </c>
      <c r="N320" s="21">
        <f>IFERROR(IF(M320/K320&gt;1,K320,M320),0)</f>
        <v/>
      </c>
      <c r="O320" s="36" t="n">
        <v>4800</v>
      </c>
      <c r="P320" s="21">
        <f>O320*H320</f>
        <v/>
      </c>
      <c r="Q320" s="30">
        <f>IF(MONTH(E320+1)=MONTH(E320+6),MONTH(E320+1),IF(MIN(EOMONTH(E320+1,0),E320+6)-(E320+1)+1&gt;=3,MONTH(E320+1),MONTH(E320+6)))</f>
        <v/>
      </c>
      <c r="R320" s="22">
        <f>IFERROR(K320/P320, 0)</f>
        <v/>
      </c>
      <c r="S320" s="38">
        <f>IFERROR(N320/P320,0)</f>
        <v/>
      </c>
      <c r="T320" s="31">
        <f>IFERROR(IF(N320&gt;0,(N320/K320),MIN(1,M320/J320)),0)</f>
        <v/>
      </c>
      <c r="U320" s="33" t="n"/>
    </row>
    <row r="321" hidden="1" s="40">
      <c r="A321" s="23" t="inlineStr">
        <is>
          <t>Semana 3 - fevereiro</t>
        </is>
      </c>
      <c r="B321" s="27">
        <f>YEAR(E321)</f>
        <v/>
      </c>
      <c r="C321" s="18">
        <f>INDEX({"Janeiro";"Fevereiro";"Março";"Abril";"Maio";"Junho";"Julho";"Agosto";"Setembro";"Outubro";"Novembro";"Dezembro"},Q321)</f>
        <v/>
      </c>
      <c r="D321" s="24" t="n">
        <v>3</v>
      </c>
      <c r="E321" s="25" t="n">
        <v>46068</v>
      </c>
      <c r="F321" s="23" t="inlineStr">
        <is>
          <t>REQUEIJÃO VIÇOSA 400g</t>
        </is>
      </c>
      <c r="G321" s="23" t="inlineStr">
        <is>
          <t>REQUEIJÃO</t>
        </is>
      </c>
      <c r="H321" s="26" t="n">
        <v>0.4</v>
      </c>
      <c r="I321" s="36" t="n">
        <v>4620</v>
      </c>
      <c r="J321" s="21">
        <f>I321*H321</f>
        <v/>
      </c>
      <c r="K321" s="21">
        <f>IFERROR(IF(J321/P321&gt;1,P321,J321),0)</f>
        <v/>
      </c>
      <c r="L321" s="36" t="n">
        <v>4396</v>
      </c>
      <c r="M321" s="21">
        <f>L321*H321</f>
        <v/>
      </c>
      <c r="N321" s="21">
        <f>IFERROR(IF(M321/K321&gt;1,K321,M321),0)</f>
        <v/>
      </c>
      <c r="O321" s="36" t="n">
        <v>3200</v>
      </c>
      <c r="P321" s="21">
        <f>O321*H321</f>
        <v/>
      </c>
      <c r="Q321" s="30">
        <f>IF(MONTH(E321+1)=MONTH(E321+6),MONTH(E321+1),IF(MIN(EOMONTH(E321+1,0),E321+6)-(E321+1)+1&gt;=3,MONTH(E321+1),MONTH(E321+6)))</f>
        <v/>
      </c>
      <c r="R321" s="22">
        <f>IFERROR(K321/P321, 0)</f>
        <v/>
      </c>
      <c r="S321" s="38">
        <f>IFERROR(N321/P321,0)</f>
        <v/>
      </c>
      <c r="T321" s="31">
        <f>IFERROR(IF(N321&gt;0,(N321/K321),MIN(1,M321/J321)),0)</f>
        <v/>
      </c>
      <c r="U321" s="33" t="n"/>
    </row>
    <row r="322" hidden="1" s="40">
      <c r="A322" s="18" t="inlineStr">
        <is>
          <t>Semana 3 - fevereiro</t>
        </is>
      </c>
      <c r="B322" s="27">
        <f>YEAR(E322)</f>
        <v/>
      </c>
      <c r="C322" s="18">
        <f>INDEX({"Janeiro";"Fevereiro";"Março";"Abril";"Maio";"Junho";"Julho";"Agosto";"Setembro";"Outubro";"Novembro";"Dezembro"},Q322)</f>
        <v/>
      </c>
      <c r="D322" s="19" t="n">
        <v>3</v>
      </c>
      <c r="E322" s="20" t="n">
        <v>46068</v>
      </c>
      <c r="F322" s="18" t="inlineStr">
        <is>
          <t>Requeijão Light 200g</t>
        </is>
      </c>
      <c r="G322" s="18" t="inlineStr">
        <is>
          <t>REQUEIJÃO</t>
        </is>
      </c>
      <c r="H322" s="21" t="n">
        <v>0.2</v>
      </c>
      <c r="I322" s="36" t="n">
        <v>1200</v>
      </c>
      <c r="J322" s="21">
        <f>I322*H322</f>
        <v/>
      </c>
      <c r="K322" s="21">
        <f>IFERROR(IF(J322/P322&gt;1,P322,J322),0)</f>
        <v/>
      </c>
      <c r="L322" s="36" t="n">
        <v>1372</v>
      </c>
      <c r="M322" s="21">
        <f>L322*H322</f>
        <v/>
      </c>
      <c r="N322" s="21">
        <f>IFERROR(IF(M322/K322&gt;1,K322,M322),0)</f>
        <v/>
      </c>
      <c r="O322" s="36" t="n">
        <v>1200</v>
      </c>
      <c r="P322" s="21">
        <f>O322*H322</f>
        <v/>
      </c>
      <c r="Q322" s="30">
        <f>IF(MONTH(E322+1)=MONTH(E322+6),MONTH(E322+1),IF(MIN(EOMONTH(E322+1,0),E322+6)-(E322+1)+1&gt;=3,MONTH(E322+1),MONTH(E322+6)))</f>
        <v/>
      </c>
      <c r="R322" s="22">
        <f>IFERROR(K322/P322, 0)</f>
        <v/>
      </c>
      <c r="S322" s="38">
        <f>IFERROR(N322/P322,0)</f>
        <v/>
      </c>
      <c r="T322" s="31">
        <f>IFERROR(IF(N322&gt;0,(N322/K322),MIN(1,M322/J322)),0)</f>
        <v/>
      </c>
      <c r="U322" s="33" t="n"/>
    </row>
    <row r="323" hidden="1" s="40">
      <c r="A323" s="23" t="inlineStr">
        <is>
          <t>Semana 3 - fevereiro</t>
        </is>
      </c>
      <c r="B323" s="27">
        <f>YEAR(E323)</f>
        <v/>
      </c>
      <c r="C323" s="18">
        <f>INDEX({"Janeiro";"Fevereiro";"Março";"Abril";"Maio";"Junho";"Julho";"Agosto";"Setembro";"Outubro";"Novembro";"Dezembro"},Q323)</f>
        <v/>
      </c>
      <c r="D323" s="24" t="n">
        <v>3</v>
      </c>
      <c r="E323" s="25" t="n">
        <v>46068</v>
      </c>
      <c r="F323" s="23" t="inlineStr">
        <is>
          <t>Creme de Ricota 200g</t>
        </is>
      </c>
      <c r="G323" s="23" t="inlineStr">
        <is>
          <t>RICOTA</t>
        </is>
      </c>
      <c r="H323" s="26" t="n">
        <v>0.2</v>
      </c>
      <c r="I323" s="36" t="n">
        <v>1200</v>
      </c>
      <c r="J323" s="21">
        <f>I323*H323</f>
        <v/>
      </c>
      <c r="K323" s="21">
        <f>IFERROR(IF(J323/P323&gt;1,P323,J323),0)</f>
        <v/>
      </c>
      <c r="L323" s="36" t="n">
        <v>1627</v>
      </c>
      <c r="M323" s="21">
        <f>L323*H323</f>
        <v/>
      </c>
      <c r="N323" s="21">
        <f>IFERROR(IF(M323/K323&gt;1,K323,M323),0)</f>
        <v/>
      </c>
      <c r="O323" s="36" t="n">
        <v>1200</v>
      </c>
      <c r="P323" s="21">
        <f>O323*H323</f>
        <v/>
      </c>
      <c r="Q323" s="30">
        <f>IF(MONTH(E323+1)=MONTH(E323+6),MONTH(E323+1),IF(MIN(EOMONTH(E323+1,0),E323+6)-(E323+1)+1&gt;=3,MONTH(E323+1),MONTH(E323+6)))</f>
        <v/>
      </c>
      <c r="R323" s="22">
        <f>IFERROR(K323/P323, 0)</f>
        <v/>
      </c>
      <c r="S323" s="38">
        <f>IFERROR(N323/P323,0)</f>
        <v/>
      </c>
      <c r="T323" s="31">
        <f>IFERROR(IF(N323&gt;0,(N323/K323),MIN(1,M323/J323)),0)</f>
        <v/>
      </c>
      <c r="U323" s="33" t="n"/>
    </row>
    <row r="324" hidden="1" s="40">
      <c r="A324" s="18" t="inlineStr">
        <is>
          <t>Semana 4 - fevereiro</t>
        </is>
      </c>
      <c r="B324" s="27">
        <f>YEAR(E324)</f>
        <v/>
      </c>
      <c r="C324" s="18">
        <f>INDEX({"Janeiro";"Fevereiro";"Março";"Abril";"Maio";"Junho";"Julho";"Agosto";"Setembro";"Outubro";"Novembro";"Dezembro"},Q324)</f>
        <v/>
      </c>
      <c r="D324" s="19" t="n">
        <v>4</v>
      </c>
      <c r="E324" s="20" t="n">
        <v>46075</v>
      </c>
      <c r="F324" s="18" t="inlineStr">
        <is>
          <t>Doce de Leite 400g</t>
        </is>
      </c>
      <c r="G324" s="18" t="inlineStr">
        <is>
          <t>DOCE</t>
        </is>
      </c>
      <c r="H324" s="21" t="n">
        <v>0.4</v>
      </c>
      <c r="I324" s="36" t="n">
        <v>48000</v>
      </c>
      <c r="J324" s="21">
        <f>I324*H324</f>
        <v/>
      </c>
      <c r="K324" s="21">
        <f>IFERROR(IF(J324/P324&gt;1,P324,J324),0)</f>
        <v/>
      </c>
      <c r="L324" s="36" t="n">
        <v>50988</v>
      </c>
      <c r="M324" s="21">
        <f>L324*H324</f>
        <v/>
      </c>
      <c r="N324" s="21">
        <f>IFERROR(IF(M324/K324&gt;1,K324,M324),0)</f>
        <v/>
      </c>
      <c r="O324" s="36" t="n">
        <v>24000</v>
      </c>
      <c r="P324" s="21">
        <f>O324*H324</f>
        <v/>
      </c>
      <c r="Q324" s="30">
        <f>IF(MONTH(E324+1)=MONTH(E324+6),MONTH(E324+1),IF(MIN(EOMONTH(E324+1,0),E324+6)-(E324+1)+1&gt;=3,MONTH(E324+1),MONTH(E324+6)))</f>
        <v/>
      </c>
      <c r="R324" s="22">
        <f>IFERROR(K324/P324, 0)</f>
        <v/>
      </c>
      <c r="S324" s="38">
        <f>IFERROR(N324/P324,0)</f>
        <v/>
      </c>
      <c r="T324" s="31">
        <f>IFERROR(IF(N324&gt;0,(N324/K324),MIN(1,M324/J324)),0)</f>
        <v/>
      </c>
      <c r="U324" s="33" t="n"/>
    </row>
    <row r="325" hidden="1" s="40">
      <c r="A325" s="23" t="inlineStr">
        <is>
          <t>Semana 4 - fevereiro</t>
        </is>
      </c>
      <c r="B325" s="27">
        <f>YEAR(E325)</f>
        <v/>
      </c>
      <c r="C325" s="18">
        <f>INDEX({"Janeiro";"Fevereiro";"Março";"Abril";"Maio";"Junho";"Julho";"Agosto";"Setembro";"Outubro";"Novembro";"Dezembro"},Q325)</f>
        <v/>
      </c>
      <c r="D325" s="24" t="n">
        <v>4</v>
      </c>
      <c r="E325" s="25" t="n">
        <v>46075</v>
      </c>
      <c r="F325" s="23" t="inlineStr">
        <is>
          <t>Doce de Leite 5kg</t>
        </is>
      </c>
      <c r="G325" s="23" t="inlineStr">
        <is>
          <t>DOCE</t>
        </is>
      </c>
      <c r="H325" s="26" t="n">
        <v>5</v>
      </c>
      <c r="I325" s="36" t="n">
        <v>465</v>
      </c>
      <c r="J325" s="21">
        <f>I325*H325</f>
        <v/>
      </c>
      <c r="K325" s="21">
        <f>IFERROR(IF(J325/P325&gt;1,P325,J325),0)</f>
        <v/>
      </c>
      <c r="L325" s="36" t="n">
        <v>462</v>
      </c>
      <c r="M325" s="21">
        <f>L325*H325</f>
        <v/>
      </c>
      <c r="N325" s="21">
        <f>IFERROR(IF(M325/K325&gt;1,K325,M325),0)</f>
        <v/>
      </c>
      <c r="O325" s="36" t="n">
        <v>0</v>
      </c>
      <c r="P325" s="21">
        <f>O325*H325</f>
        <v/>
      </c>
      <c r="Q325" s="30">
        <f>IF(MONTH(E325+1)=MONTH(E325+6),MONTH(E325+1),IF(MIN(EOMONTH(E325+1,0),E325+6)-(E325+1)+1&gt;=3,MONTH(E325+1),MONTH(E325+6)))</f>
        <v/>
      </c>
      <c r="R325" s="22">
        <f>IFERROR(K325/P325, 0)</f>
        <v/>
      </c>
      <c r="S325" s="38">
        <f>IFERROR(N325/P325,0)</f>
        <v/>
      </c>
      <c r="T325" s="31">
        <f>IFERROR(IF(N325&gt;0,(N325/K325),MIN(1,M325/J325)),0)</f>
        <v/>
      </c>
      <c r="U325" s="33" t="n"/>
    </row>
    <row r="326" hidden="1" s="40">
      <c r="A326" s="18" t="inlineStr">
        <is>
          <t>Semana 4 - fevereiro</t>
        </is>
      </c>
      <c r="B326" s="27">
        <f>YEAR(E326)</f>
        <v/>
      </c>
      <c r="C326" s="18">
        <f>INDEX({"Janeiro";"Fevereiro";"Março";"Abril";"Maio";"Junho";"Julho";"Agosto";"Setembro";"Outubro";"Novembro";"Dezembro"},Q326)</f>
        <v/>
      </c>
      <c r="D326" s="19" t="n">
        <v>4</v>
      </c>
      <c r="E326" s="20" t="n">
        <v>46075</v>
      </c>
      <c r="F326" s="18" t="inlineStr">
        <is>
          <t>Doce de Leite 5kg - Bombeável</t>
        </is>
      </c>
      <c r="G326" s="18" t="inlineStr">
        <is>
          <t>DOCE</t>
        </is>
      </c>
      <c r="H326" s="21" t="n">
        <v>5</v>
      </c>
      <c r="I326" s="36" t="n">
        <v>0</v>
      </c>
      <c r="J326" s="21">
        <f>I326*H326</f>
        <v/>
      </c>
      <c r="K326" s="21">
        <f>IFERROR(IF(J326/P326&gt;1,P326,J326),0)</f>
        <v/>
      </c>
      <c r="L326" s="36" t="n">
        <v>0</v>
      </c>
      <c r="M326" s="21">
        <f>L326*H326</f>
        <v/>
      </c>
      <c r="N326" s="21">
        <f>IFERROR(IF(M326/K326&gt;1,K326,M326),0)</f>
        <v/>
      </c>
      <c r="O326" s="36" t="n">
        <v>0</v>
      </c>
      <c r="P326" s="21">
        <f>O326*H326</f>
        <v/>
      </c>
      <c r="Q326" s="30">
        <f>IF(MONTH(E326+1)=MONTH(E326+6),MONTH(E326+1),IF(MIN(EOMONTH(E326+1,0),E326+6)-(E326+1)+1&gt;=3,MONTH(E326+1),MONTH(E326+6)))</f>
        <v/>
      </c>
      <c r="R326" s="22">
        <f>IFERROR(K326/P326, 0)</f>
        <v/>
      </c>
      <c r="S326" s="38">
        <f>IFERROR(N326/P326,0)</f>
        <v/>
      </c>
      <c r="T326" s="31">
        <f>IFERROR(IF(N326&gt;0,(N326/K326),MIN(1,M326/J326)),0)</f>
        <v/>
      </c>
      <c r="U326" s="33" t="n"/>
    </row>
    <row r="327" hidden="1" s="40">
      <c r="A327" s="23" t="inlineStr">
        <is>
          <t>Semana 4 - fevereiro</t>
        </is>
      </c>
      <c r="B327" s="27">
        <f>YEAR(E327)</f>
        <v/>
      </c>
      <c r="C327" s="18">
        <f>INDEX({"Janeiro";"Fevereiro";"Março";"Abril";"Maio";"Junho";"Julho";"Agosto";"Setembro";"Outubro";"Novembro";"Dezembro"},Q327)</f>
        <v/>
      </c>
      <c r="D327" s="24" t="n">
        <v>4</v>
      </c>
      <c r="E327" s="25" t="n">
        <v>46075</v>
      </c>
      <c r="F327" s="23" t="inlineStr">
        <is>
          <t>Doce de Leite 5kg - Forneável</t>
        </is>
      </c>
      <c r="G327" s="23" t="inlineStr">
        <is>
          <t>DOCE</t>
        </is>
      </c>
      <c r="H327" s="26" t="n">
        <v>5</v>
      </c>
      <c r="I327" s="36" t="n">
        <v>160</v>
      </c>
      <c r="J327" s="21">
        <f>I327*H327</f>
        <v/>
      </c>
      <c r="K327" s="21">
        <f>IFERROR(IF(J327/P327&gt;1,P327,J327),0)</f>
        <v/>
      </c>
      <c r="L327" s="36" t="n">
        <v>0</v>
      </c>
      <c r="M327" s="21">
        <f>L327*H327</f>
        <v/>
      </c>
      <c r="N327" s="21">
        <f>IFERROR(IF(M327/K327&gt;1,K327,M327),0)</f>
        <v/>
      </c>
      <c r="O327" s="36" t="n">
        <v>0</v>
      </c>
      <c r="P327" s="21">
        <f>O327*H327</f>
        <v/>
      </c>
      <c r="Q327" s="30">
        <f>IF(MONTH(E327+1)=MONTH(E327+6),MONTH(E327+1),IF(MIN(EOMONTH(E327+1,0),E327+6)-(E327+1)+1&gt;=3,MONTH(E327+1),MONTH(E327+6)))</f>
        <v/>
      </c>
      <c r="R327" s="22">
        <f>IFERROR(K327/P327, 0)</f>
        <v/>
      </c>
      <c r="S327" s="38">
        <f>IFERROR(N327/P327,0)</f>
        <v/>
      </c>
      <c r="T327" s="31">
        <f>IFERROR(IF(N327&gt;0,(N327/K327),MIN(1,M327/J327)),0)</f>
        <v/>
      </c>
      <c r="U327" s="33" t="n"/>
    </row>
    <row r="328" hidden="1" s="40">
      <c r="A328" s="18" t="inlineStr">
        <is>
          <t>Semana 4 - fevereiro</t>
        </is>
      </c>
      <c r="B328" s="27">
        <f>YEAR(E328)</f>
        <v/>
      </c>
      <c r="C328" s="18">
        <f>INDEX({"Janeiro";"Fevereiro";"Março";"Abril";"Maio";"Junho";"Julho";"Agosto";"Setembro";"Outubro";"Novembro";"Dezembro"},Q328)</f>
        <v/>
      </c>
      <c r="D328" s="19" t="n">
        <v>4</v>
      </c>
      <c r="E328" s="20" t="n">
        <v>46075</v>
      </c>
      <c r="F328" s="18" t="inlineStr">
        <is>
          <t>Doce de Leite 800g</t>
        </is>
      </c>
      <c r="G328" s="18" t="inlineStr">
        <is>
          <t>DOCE</t>
        </is>
      </c>
      <c r="H328" s="21" t="n">
        <v>0.8</v>
      </c>
      <c r="I328" s="36" t="n">
        <v>18000</v>
      </c>
      <c r="J328" s="21">
        <f>I328*H328</f>
        <v/>
      </c>
      <c r="K328" s="21">
        <f>IFERROR(IF(J328/P328&gt;1,P328,J328),0)</f>
        <v/>
      </c>
      <c r="L328" s="36" t="n">
        <v>18968</v>
      </c>
      <c r="M328" s="21">
        <f>L328*H328</f>
        <v/>
      </c>
      <c r="N328" s="21">
        <f>IFERROR(IF(M328/K328&gt;1,K328,M328),0)</f>
        <v/>
      </c>
      <c r="O328" s="36" t="n">
        <v>15000</v>
      </c>
      <c r="P328" s="21">
        <f>O328*H328</f>
        <v/>
      </c>
      <c r="Q328" s="30">
        <f>IF(MONTH(E328+1)=MONTH(E328+6),MONTH(E328+1),IF(MIN(EOMONTH(E328+1,0),E328+6)-(E328+1)+1&gt;=3,MONTH(E328+1),MONTH(E328+6)))</f>
        <v/>
      </c>
      <c r="R328" s="22">
        <f>IFERROR(K328/P328, 0)</f>
        <v/>
      </c>
      <c r="S328" s="38">
        <f>IFERROR(N328/P328,0)</f>
        <v/>
      </c>
      <c r="T328" s="31">
        <f>IFERROR(IF(N328&gt;0,(N328/K328),MIN(1,M328/J328)),0)</f>
        <v/>
      </c>
      <c r="U328" s="33" t="n"/>
    </row>
    <row r="329" hidden="1" s="40">
      <c r="A329" s="23" t="inlineStr">
        <is>
          <t>Semana 4 - fevereiro</t>
        </is>
      </c>
      <c r="B329" s="27">
        <f>YEAR(E329)</f>
        <v/>
      </c>
      <c r="C329" s="18">
        <f>INDEX({"Janeiro";"Fevereiro";"Março";"Abril";"Maio";"Junho";"Julho";"Agosto";"Setembro";"Outubro";"Novembro";"Dezembro"},Q329)</f>
        <v/>
      </c>
      <c r="D329" s="24" t="n">
        <v>4</v>
      </c>
      <c r="E329" s="25" t="n">
        <v>46075</v>
      </c>
      <c r="F329" s="23" t="inlineStr">
        <is>
          <t>Doce de Leite Cacau 400g</t>
        </is>
      </c>
      <c r="G329" s="23" t="inlineStr">
        <is>
          <t>DOCE</t>
        </is>
      </c>
      <c r="H329" s="26" t="n">
        <v>0.4</v>
      </c>
      <c r="I329" s="36" t="n">
        <v>0</v>
      </c>
      <c r="J329" s="21">
        <f>I329*H329</f>
        <v/>
      </c>
      <c r="K329" s="21">
        <f>IFERROR(IF(J329/P329&gt;1,P329,J329),0)</f>
        <v/>
      </c>
      <c r="L329" s="36" t="n">
        <v>0</v>
      </c>
      <c r="M329" s="21">
        <f>L329*H329</f>
        <v/>
      </c>
      <c r="N329" s="21">
        <f>IFERROR(IF(M329/K329&gt;1,K329,M329),0)</f>
        <v/>
      </c>
      <c r="O329" s="36" t="n">
        <v>0</v>
      </c>
      <c r="P329" s="21">
        <f>O329*H329</f>
        <v/>
      </c>
      <c r="Q329" s="30">
        <f>IF(MONTH(E329+1)=MONTH(E329+6),MONTH(E329+1),IF(MIN(EOMONTH(E329+1,0),E329+6)-(E329+1)+1&gt;=3,MONTH(E329+1),MONTH(E329+6)))</f>
        <v/>
      </c>
      <c r="R329" s="22">
        <f>IFERROR(K329/P329, 0)</f>
        <v/>
      </c>
      <c r="S329" s="38">
        <f>IFERROR(N329/P329,0)</f>
        <v/>
      </c>
      <c r="T329" s="31">
        <f>IFERROR(IF(N329&gt;0,(N329/K329),MIN(1,M329/J329)),0)</f>
        <v/>
      </c>
      <c r="U329" s="33" t="n"/>
    </row>
    <row r="330" hidden="1" s="40">
      <c r="A330" s="18" t="inlineStr">
        <is>
          <t>Semana 4 - fevereiro</t>
        </is>
      </c>
      <c r="B330" s="27">
        <f>YEAR(E330)</f>
        <v/>
      </c>
      <c r="C330" s="18">
        <f>INDEX({"Janeiro";"Fevereiro";"Março";"Abril";"Maio";"Junho";"Julho";"Agosto";"Setembro";"Outubro";"Novembro";"Dezembro"},Q330)</f>
        <v/>
      </c>
      <c r="D330" s="19" t="n">
        <v>4</v>
      </c>
      <c r="E330" s="20" t="n">
        <v>46075</v>
      </c>
      <c r="F330" s="18" t="inlineStr">
        <is>
          <t>Doce de Leite Cacau 5kg - Bombeável</t>
        </is>
      </c>
      <c r="G330" s="18" t="inlineStr">
        <is>
          <t>DOCE</t>
        </is>
      </c>
      <c r="H330" s="21" t="n">
        <v>5</v>
      </c>
      <c r="I330" s="36" t="n">
        <v>0</v>
      </c>
      <c r="J330" s="21">
        <f>I330*H330</f>
        <v/>
      </c>
      <c r="K330" s="21">
        <f>IFERROR(IF(J330/P330&gt;1,P330,J330),0)</f>
        <v/>
      </c>
      <c r="L330" s="36" t="n">
        <v>0</v>
      </c>
      <c r="M330" s="21">
        <f>L330*H330</f>
        <v/>
      </c>
      <c r="N330" s="21">
        <f>IFERROR(IF(M330/K330&gt;1,K330,M330),0)</f>
        <v/>
      </c>
      <c r="O330" s="36" t="n">
        <v>0</v>
      </c>
      <c r="P330" s="21">
        <f>O330*H330</f>
        <v/>
      </c>
      <c r="Q330" s="30">
        <f>IF(MONTH(E330+1)=MONTH(E330+6),MONTH(E330+1),IF(MIN(EOMONTH(E330+1,0),E330+6)-(E330+1)+1&gt;=3,MONTH(E330+1),MONTH(E330+6)))</f>
        <v/>
      </c>
      <c r="R330" s="22">
        <f>IFERROR(K330/P330, 0)</f>
        <v/>
      </c>
      <c r="S330" s="38">
        <f>IFERROR(N330/P330,0)</f>
        <v/>
      </c>
      <c r="T330" s="31">
        <f>IFERROR(IF(N330&gt;0,(N330/K330),MIN(1,M330/J330)),0)</f>
        <v/>
      </c>
      <c r="U330" s="33" t="n"/>
    </row>
    <row r="331" hidden="1" s="40">
      <c r="A331" s="23" t="inlineStr">
        <is>
          <t>Semana 4 - fevereiro</t>
        </is>
      </c>
      <c r="B331" s="27">
        <f>YEAR(E331)</f>
        <v/>
      </c>
      <c r="C331" s="18">
        <f>INDEX({"Janeiro";"Fevereiro";"Março";"Abril";"Maio";"Junho";"Julho";"Agosto";"Setembro";"Outubro";"Novembro";"Dezembro"},Q331)</f>
        <v/>
      </c>
      <c r="D331" s="24" t="n">
        <v>4</v>
      </c>
      <c r="E331" s="25" t="n">
        <v>46075</v>
      </c>
      <c r="F331" s="23" t="inlineStr">
        <is>
          <t>Doce de Leite Cacau 5kg - FOOD</t>
        </is>
      </c>
      <c r="G331" s="23" t="inlineStr">
        <is>
          <t>DOCE</t>
        </is>
      </c>
      <c r="H331" s="26" t="n">
        <v>5</v>
      </c>
      <c r="I331" s="36" t="n">
        <v>0</v>
      </c>
      <c r="J331" s="21">
        <f>I331*H331</f>
        <v/>
      </c>
      <c r="K331" s="21">
        <f>IFERROR(IF(J331/P331&gt;1,P331,J331),0)</f>
        <v/>
      </c>
      <c r="L331" s="36" t="n">
        <v>0</v>
      </c>
      <c r="M331" s="21">
        <f>L331*H331</f>
        <v/>
      </c>
      <c r="N331" s="21">
        <f>IFERROR(IF(M331/K331&gt;1,K331,M331),0)</f>
        <v/>
      </c>
      <c r="O331" s="36" t="n">
        <v>0</v>
      </c>
      <c r="P331" s="21">
        <f>O331*H331</f>
        <v/>
      </c>
      <c r="Q331" s="30">
        <f>IF(MONTH(E331+1)=MONTH(E331+6),MONTH(E331+1),IF(MIN(EOMONTH(E331+1,0),E331+6)-(E331+1)+1&gt;=3,MONTH(E331+1),MONTH(E331+6)))</f>
        <v/>
      </c>
      <c r="R331" s="22">
        <f>IFERROR(K331/P331, 0)</f>
        <v/>
      </c>
      <c r="S331" s="38">
        <f>IFERROR(N331/P331,0)</f>
        <v/>
      </c>
      <c r="T331" s="31">
        <f>IFERROR(IF(N331&gt;0,(N331/K331),MIN(1,M331/J331)),0)</f>
        <v/>
      </c>
      <c r="U331" s="33" t="n"/>
    </row>
    <row r="332" hidden="1" s="40">
      <c r="A332" s="18" t="inlineStr">
        <is>
          <t>Semana 4 - fevereiro</t>
        </is>
      </c>
      <c r="B332" s="27">
        <f>YEAR(E332)</f>
        <v/>
      </c>
      <c r="C332" s="18">
        <f>INDEX({"Janeiro";"Fevereiro";"Março";"Abril";"Maio";"Junho";"Julho";"Agosto";"Setembro";"Outubro";"Novembro";"Dezembro"},Q332)</f>
        <v/>
      </c>
      <c r="D332" s="19" t="n">
        <v>4</v>
      </c>
      <c r="E332" s="20" t="n">
        <v>46075</v>
      </c>
      <c r="F332" s="18" t="inlineStr">
        <is>
          <t>Doce de Leite c/ Café 400</t>
        </is>
      </c>
      <c r="G332" s="18" t="inlineStr">
        <is>
          <t>DOCE</t>
        </is>
      </c>
      <c r="H332" s="21" t="n">
        <v>0.4</v>
      </c>
      <c r="I332" s="36" t="n">
        <v>0</v>
      </c>
      <c r="J332" s="21">
        <f>I332*H332</f>
        <v/>
      </c>
      <c r="K332" s="21">
        <f>IFERROR(IF(J332/P332&gt;1,P332,J332),0)</f>
        <v/>
      </c>
      <c r="L332" s="36" t="n">
        <v>0</v>
      </c>
      <c r="M332" s="21">
        <f>L332*H332</f>
        <v/>
      </c>
      <c r="N332" s="21">
        <f>IFERROR(IF(M332/K332&gt;1,K332,M332),0)</f>
        <v/>
      </c>
      <c r="O332" s="36" t="n">
        <v>0</v>
      </c>
      <c r="P332" s="21">
        <f>O332*H332</f>
        <v/>
      </c>
      <c r="Q332" s="30">
        <f>IF(MONTH(E332+1)=MONTH(E332+6),MONTH(E332+1),IF(MIN(EOMONTH(E332+1,0),E332+6)-(E332+1)+1&gt;=3,MONTH(E332+1),MONTH(E332+6)))</f>
        <v/>
      </c>
      <c r="R332" s="22">
        <f>IFERROR(K332/P332, 0)</f>
        <v/>
      </c>
      <c r="S332" s="38">
        <f>IFERROR(N332/P332,0)</f>
        <v/>
      </c>
      <c r="T332" s="31">
        <f>IFERROR(IF(N332&gt;0,(N332/K332),MIN(1,M332/J332)),0)</f>
        <v/>
      </c>
      <c r="U332" s="33" t="n"/>
    </row>
    <row r="333" hidden="1" s="40">
      <c r="A333" s="23" t="inlineStr">
        <is>
          <t>Semana 4 - fevereiro</t>
        </is>
      </c>
      <c r="B333" s="27">
        <f>YEAR(E333)</f>
        <v/>
      </c>
      <c r="C333" s="18">
        <f>INDEX({"Janeiro";"Fevereiro";"Março";"Abril";"Maio";"Junho";"Julho";"Agosto";"Setembro";"Outubro";"Novembro";"Dezembro"},Q333)</f>
        <v/>
      </c>
      <c r="D333" s="24" t="n">
        <v>4</v>
      </c>
      <c r="E333" s="25" t="n">
        <v>46075</v>
      </c>
      <c r="F333" s="23" t="inlineStr">
        <is>
          <t>Doce de Leite c/ Café 5kg</t>
        </is>
      </c>
      <c r="G333" s="23" t="inlineStr">
        <is>
          <t>DOCE</t>
        </is>
      </c>
      <c r="H333" s="26" t="n">
        <v>5</v>
      </c>
      <c r="I333" s="36" t="n">
        <v>0</v>
      </c>
      <c r="J333" s="21">
        <f>I333*H333</f>
        <v/>
      </c>
      <c r="K333" s="21">
        <f>IFERROR(IF(J333/P333&gt;1,P333,J333),0)</f>
        <v/>
      </c>
      <c r="L333" s="36" t="n">
        <v>0</v>
      </c>
      <c r="M333" s="21">
        <f>L333*H333</f>
        <v/>
      </c>
      <c r="N333" s="21">
        <f>IFERROR(IF(M333/K333&gt;1,K333,M333),0)</f>
        <v/>
      </c>
      <c r="O333" s="36" t="n">
        <v>0</v>
      </c>
      <c r="P333" s="21">
        <f>O333*H333</f>
        <v/>
      </c>
      <c r="Q333" s="30">
        <f>IF(MONTH(E333+1)=MONTH(E333+6),MONTH(E333+1),IF(MIN(EOMONTH(E333+1,0),E333+6)-(E333+1)+1&gt;=3,MONTH(E333+1),MONTH(E333+6)))</f>
        <v/>
      </c>
      <c r="R333" s="22">
        <f>IFERROR(K333/P333, 0)</f>
        <v/>
      </c>
      <c r="S333" s="38">
        <f>IFERROR(N333/P333,0)</f>
        <v/>
      </c>
      <c r="T333" s="31">
        <f>IFERROR(IF(N333&gt;0,(N333/K333),MIN(1,M333/J333)),0)</f>
        <v/>
      </c>
      <c r="U333" s="33" t="n"/>
    </row>
    <row r="334" hidden="1" s="40">
      <c r="A334" s="18" t="inlineStr">
        <is>
          <t>Semana 4 - fevereiro</t>
        </is>
      </c>
      <c r="B334" s="27">
        <f>YEAR(E334)</f>
        <v/>
      </c>
      <c r="C334" s="18">
        <f>INDEX({"Janeiro";"Fevereiro";"Março";"Abril";"Maio";"Junho";"Julho";"Agosto";"Setembro";"Outubro";"Novembro";"Dezembro"},Q334)</f>
        <v/>
      </c>
      <c r="D334" s="19" t="n">
        <v>4</v>
      </c>
      <c r="E334" s="20" t="n">
        <v>46075</v>
      </c>
      <c r="F334" s="18" t="inlineStr">
        <is>
          <t>Doce de Leite c/ coco 400</t>
        </is>
      </c>
      <c r="G334" s="18" t="inlineStr">
        <is>
          <t>DOCE</t>
        </is>
      </c>
      <c r="H334" s="21" t="n">
        <v>0.4</v>
      </c>
      <c r="I334" s="36" t="n">
        <v>6000</v>
      </c>
      <c r="J334" s="21">
        <f>I334*H334</f>
        <v/>
      </c>
      <c r="K334" s="21">
        <f>IFERROR(IF(J334/P334&gt;1,P334,J334),0)</f>
        <v/>
      </c>
      <c r="L334" s="36" t="n">
        <v>7256</v>
      </c>
      <c r="M334" s="21">
        <f>L334*H334</f>
        <v/>
      </c>
      <c r="N334" s="21">
        <f>IFERROR(IF(M334/K334&gt;1,K334,M334),0)</f>
        <v/>
      </c>
      <c r="O334" s="36" t="n">
        <v>6000</v>
      </c>
      <c r="P334" s="21">
        <f>O334*H334</f>
        <v/>
      </c>
      <c r="Q334" s="30">
        <f>IF(MONTH(E334+1)=MONTH(E334+6),MONTH(E334+1),IF(MIN(EOMONTH(E334+1,0),E334+6)-(E334+1)+1&gt;=3,MONTH(E334+1),MONTH(E334+6)))</f>
        <v/>
      </c>
      <c r="R334" s="22">
        <f>IFERROR(K334/P334, 0)</f>
        <v/>
      </c>
      <c r="S334" s="38">
        <f>IFERROR(N334/P334,0)</f>
        <v/>
      </c>
      <c r="T334" s="31">
        <f>IFERROR(IF(N334&gt;0,(N334/K334),MIN(1,M334/J334)),0)</f>
        <v/>
      </c>
      <c r="U334" s="33" t="n"/>
    </row>
    <row r="335" hidden="1" s="40">
      <c r="A335" s="23" t="inlineStr">
        <is>
          <t>Semana 4 - fevereiro</t>
        </is>
      </c>
      <c r="B335" s="27">
        <f>YEAR(E335)</f>
        <v/>
      </c>
      <c r="C335" s="18">
        <f>INDEX({"Janeiro";"Fevereiro";"Março";"Abril";"Maio";"Junho";"Julho";"Agosto";"Setembro";"Outubro";"Novembro";"Dezembro"},Q335)</f>
        <v/>
      </c>
      <c r="D335" s="24" t="n">
        <v>4</v>
      </c>
      <c r="E335" s="25" t="n">
        <v>46075</v>
      </c>
      <c r="F335" s="23" t="inlineStr">
        <is>
          <t>IOGURTE VIÇOSA MORANGO LIGHT 180g</t>
        </is>
      </c>
      <c r="G335" s="23" t="inlineStr">
        <is>
          <t>IOGURTE</t>
        </is>
      </c>
      <c r="H335" s="26" t="n">
        <v>0.18</v>
      </c>
      <c r="I335" s="36" t="n">
        <v>0</v>
      </c>
      <c r="J335" s="21">
        <f>I335*H335</f>
        <v/>
      </c>
      <c r="K335" s="21">
        <f>IFERROR(IF(J335/P335&gt;1,P335,J335),0)</f>
        <v/>
      </c>
      <c r="L335" s="36" t="n">
        <v>0</v>
      </c>
      <c r="M335" s="21">
        <f>L335*H335</f>
        <v/>
      </c>
      <c r="N335" s="21">
        <f>IFERROR(IF(M335/K335&gt;1,K335,M335),0)</f>
        <v/>
      </c>
      <c r="O335" s="36" t="n">
        <v>0</v>
      </c>
      <c r="P335" s="21">
        <f>O335*H335</f>
        <v/>
      </c>
      <c r="Q335" s="30">
        <f>IF(MONTH(E335+1)=MONTH(E335+6),MONTH(E335+1),IF(MIN(EOMONTH(E335+1,0),E335+6)-(E335+1)+1&gt;=3,MONTH(E335+1),MONTH(E335+6)))</f>
        <v/>
      </c>
      <c r="R335" s="22">
        <f>IFERROR(K335/P335, 0)</f>
        <v/>
      </c>
      <c r="S335" s="38">
        <f>IFERROR(N335/P335,0)</f>
        <v/>
      </c>
      <c r="T335" s="31">
        <f>IFERROR(IF(N335&gt;0,(N335/K335),MIN(1,M335/J335)),0)</f>
        <v/>
      </c>
      <c r="U335" s="33" t="n"/>
    </row>
    <row r="336" hidden="1" s="40">
      <c r="A336" s="18" t="inlineStr">
        <is>
          <t>Semana 4 - fevereiro</t>
        </is>
      </c>
      <c r="B336" s="27">
        <f>YEAR(E336)</f>
        <v/>
      </c>
      <c r="C336" s="18">
        <f>INDEX({"Janeiro";"Fevereiro";"Março";"Abril";"Maio";"Junho";"Julho";"Agosto";"Setembro";"Outubro";"Novembro";"Dezembro"},Q336)</f>
        <v/>
      </c>
      <c r="D336" s="19" t="n">
        <v>4</v>
      </c>
      <c r="E336" s="20" t="n">
        <v>46075</v>
      </c>
      <c r="F336" s="18" t="inlineStr">
        <is>
          <t>IOGURTE VIÇOSA MORANGO LIGHT 800g</t>
        </is>
      </c>
      <c r="G336" s="18" t="inlineStr">
        <is>
          <t>IOGURTE</t>
        </is>
      </c>
      <c r="H336" s="21" t="n">
        <v>0.8</v>
      </c>
      <c r="I336" s="36" t="n">
        <v>0</v>
      </c>
      <c r="J336" s="21">
        <f>I336*H336</f>
        <v/>
      </c>
      <c r="K336" s="21">
        <f>IFERROR(IF(J336/P336&gt;1,P336,J336),0)</f>
        <v/>
      </c>
      <c r="L336" s="36" t="n">
        <v>0</v>
      </c>
      <c r="M336" s="21">
        <f>L336*H336</f>
        <v/>
      </c>
      <c r="N336" s="21">
        <f>IFERROR(IF(M336/K336&gt;1,K336,M336),0)</f>
        <v/>
      </c>
      <c r="O336" s="36" t="n">
        <v>0</v>
      </c>
      <c r="P336" s="21">
        <f>O336*H336</f>
        <v/>
      </c>
      <c r="Q336" s="30">
        <f>IF(MONTH(E336+1)=MONTH(E336+6),MONTH(E336+1),IF(MIN(EOMONTH(E336+1,0),E336+6)-(E336+1)+1&gt;=3,MONTH(E336+1),MONTH(E336+6)))</f>
        <v/>
      </c>
      <c r="R336" s="22">
        <f>IFERROR(K336/P336, 0)</f>
        <v/>
      </c>
      <c r="S336" s="38">
        <f>IFERROR(N336/P336,0)</f>
        <v/>
      </c>
      <c r="T336" s="31">
        <f>IFERROR(IF(N336&gt;0,(N336/K336),MIN(1,M336/J336)),0)</f>
        <v/>
      </c>
      <c r="U336" s="33" t="n"/>
    </row>
    <row r="337" hidden="1" s="40">
      <c r="A337" s="18" t="inlineStr">
        <is>
          <t>Semana 4 - fevereiro</t>
        </is>
      </c>
      <c r="B337" s="27">
        <f>YEAR(E337)</f>
        <v/>
      </c>
      <c r="C337" s="18">
        <f>INDEX({"Janeiro";"Fevereiro";"Março";"Abril";"Maio";"Junho";"Julho";"Agosto";"Setembro";"Outubro";"Novembro";"Dezembro"},Q337)</f>
        <v/>
      </c>
      <c r="D337" s="19" t="n">
        <v>4</v>
      </c>
      <c r="E337" s="20" t="n">
        <v>46075</v>
      </c>
      <c r="F337" s="18" t="inlineStr">
        <is>
          <t>Iogurte Abacaxi c/ Coco 120g</t>
        </is>
      </c>
      <c r="G337" s="18" t="inlineStr">
        <is>
          <t>IOGURTE</t>
        </is>
      </c>
      <c r="H337" s="21" t="n">
        <v>0.12</v>
      </c>
      <c r="I337" s="36" t="n">
        <v>0</v>
      </c>
      <c r="J337" s="21">
        <f>I337*H337</f>
        <v/>
      </c>
      <c r="K337" s="21">
        <f>IFERROR(IF(J337/P337&gt;1,P337,J337),0)</f>
        <v/>
      </c>
      <c r="L337" s="36" t="n">
        <v>0</v>
      </c>
      <c r="M337" s="21">
        <f>L337*H337</f>
        <v/>
      </c>
      <c r="N337" s="21">
        <f>IFERROR(IF(M337/K337&gt;1,K337,M337),0)</f>
        <v/>
      </c>
      <c r="O337" s="36" t="n">
        <v>2000</v>
      </c>
      <c r="P337" s="21">
        <f>O337*H337</f>
        <v/>
      </c>
      <c r="Q337" s="30">
        <f>IF(MONTH(E337+1)=MONTH(E337+6),MONTH(E337+1),IF(MIN(EOMONTH(E337+1,0),E337+6)-(E337+1)+1&gt;=3,MONTH(E337+1),MONTH(E337+6)))</f>
        <v/>
      </c>
      <c r="R337" s="22">
        <f>IFERROR(K337/P337, 0)</f>
        <v/>
      </c>
      <c r="S337" s="38">
        <f>IFERROR(N337/P337,0)</f>
        <v/>
      </c>
      <c r="T337" s="31">
        <f>IFERROR(IF(N337&gt;0,(N337/K337),MIN(1,M337/J337)),0)</f>
        <v/>
      </c>
      <c r="U337" s="33" t="n"/>
    </row>
    <row r="338" hidden="1" s="40">
      <c r="A338" s="23" t="inlineStr">
        <is>
          <t>Semana 4 - fevereiro</t>
        </is>
      </c>
      <c r="B338" s="27">
        <f>YEAR(E338)</f>
        <v/>
      </c>
      <c r="C338" s="18">
        <f>INDEX({"Janeiro";"Fevereiro";"Março";"Abril";"Maio";"Junho";"Julho";"Agosto";"Setembro";"Outubro";"Novembro";"Dezembro"},Q338)</f>
        <v/>
      </c>
      <c r="D338" s="24" t="n">
        <v>4</v>
      </c>
      <c r="E338" s="25" t="n">
        <v>46075</v>
      </c>
      <c r="F338" s="23" t="inlineStr">
        <is>
          <t>Iogurte Abacaxi c/ Coco 185g</t>
        </is>
      </c>
      <c r="G338" s="23" t="inlineStr">
        <is>
          <t>IOGURTE</t>
        </is>
      </c>
      <c r="H338" s="26" t="n">
        <v>0.185</v>
      </c>
      <c r="I338" s="36" t="n">
        <v>0</v>
      </c>
      <c r="J338" s="21">
        <f>I338*H338</f>
        <v/>
      </c>
      <c r="K338" s="21">
        <f>IFERROR(IF(J338/P338&gt;1,P338,J338),0)</f>
        <v/>
      </c>
      <c r="L338" s="36" t="n">
        <v>0</v>
      </c>
      <c r="M338" s="21">
        <f>L338*H338</f>
        <v/>
      </c>
      <c r="N338" s="21">
        <f>IFERROR(IF(M338/K338&gt;1,K338,M338),0)</f>
        <v/>
      </c>
      <c r="O338" s="36" t="n">
        <v>520</v>
      </c>
      <c r="P338" s="21">
        <f>O338*H338</f>
        <v/>
      </c>
      <c r="Q338" s="30">
        <f>IF(MONTH(E338+1)=MONTH(E338+6),MONTH(E338+1),IF(MIN(EOMONTH(E338+1,0),E338+6)-(E338+1)+1&gt;=3,MONTH(E338+1),MONTH(E338+6)))</f>
        <v/>
      </c>
      <c r="R338" s="22">
        <f>IFERROR(K338/P338, 0)</f>
        <v/>
      </c>
      <c r="S338" s="38">
        <f>IFERROR(N338/P338,0)</f>
        <v/>
      </c>
      <c r="T338" s="31">
        <f>IFERROR(IF(N338&gt;0,(N338/K338),MIN(1,M338/J338)),0)</f>
        <v/>
      </c>
      <c r="U338" s="33" t="n"/>
    </row>
    <row r="339" hidden="1" s="40">
      <c r="A339" s="18" t="inlineStr">
        <is>
          <t>Semana 4 - fevereiro</t>
        </is>
      </c>
      <c r="B339" s="27">
        <f>YEAR(E339)</f>
        <v/>
      </c>
      <c r="C339" s="18">
        <f>INDEX({"Janeiro";"Fevereiro";"Março";"Abril";"Maio";"Junho";"Julho";"Agosto";"Setembro";"Outubro";"Novembro";"Dezembro"},Q339)</f>
        <v/>
      </c>
      <c r="D339" s="19" t="n">
        <v>4</v>
      </c>
      <c r="E339" s="20" t="n">
        <v>46075</v>
      </c>
      <c r="F339" s="18" t="inlineStr">
        <is>
          <t>Iogurte Abacaxi c/ Coco 900g</t>
        </is>
      </c>
      <c r="G339" s="18" t="inlineStr">
        <is>
          <t>IOGURTE</t>
        </is>
      </c>
      <c r="H339" s="21" t="n">
        <v>0.9</v>
      </c>
      <c r="I339" s="36" t="n">
        <v>0</v>
      </c>
      <c r="J339" s="21">
        <f>I339*H339</f>
        <v/>
      </c>
      <c r="K339" s="21">
        <f>IFERROR(IF(J339/P339&gt;1,P339,J339),0)</f>
        <v/>
      </c>
      <c r="L339" s="36" t="n">
        <v>0</v>
      </c>
      <c r="M339" s="21">
        <f>L339*H339</f>
        <v/>
      </c>
      <c r="N339" s="21">
        <f>IFERROR(IF(M339/K339&gt;1,K339,M339),0)</f>
        <v/>
      </c>
      <c r="O339" s="36" t="n">
        <v>900</v>
      </c>
      <c r="P339" s="21">
        <f>O339*H339</f>
        <v/>
      </c>
      <c r="Q339" s="30">
        <f>IF(MONTH(E339+1)=MONTH(E339+6),MONTH(E339+1),IF(MIN(EOMONTH(E339+1,0),E339+6)-(E339+1)+1&gt;=3,MONTH(E339+1),MONTH(E339+6)))</f>
        <v/>
      </c>
      <c r="R339" s="22">
        <f>IFERROR(K339/P339, 0)</f>
        <v/>
      </c>
      <c r="S339" s="38">
        <f>IFERROR(N339/P339,0)</f>
        <v/>
      </c>
      <c r="T339" s="31">
        <f>IFERROR(IF(N339&gt;0,(N339/K339),MIN(1,M339/J339)),0)</f>
        <v/>
      </c>
      <c r="U339" s="33" t="n"/>
    </row>
    <row r="340" hidden="1" s="40">
      <c r="A340" s="18" t="inlineStr">
        <is>
          <t>Semana 4 - fevereiro</t>
        </is>
      </c>
      <c r="B340" s="27">
        <f>YEAR(E340)</f>
        <v/>
      </c>
      <c r="C340" s="18">
        <f>INDEX({"Janeiro";"Fevereiro";"Março";"Abril";"Maio";"Junho";"Julho";"Agosto";"Setembro";"Outubro";"Novembro";"Dezembro"},Q340)</f>
        <v/>
      </c>
      <c r="D340" s="19" t="n">
        <v>4</v>
      </c>
      <c r="E340" s="20" t="n">
        <v>46075</v>
      </c>
      <c r="F340" s="18" t="inlineStr">
        <is>
          <t>Iogurte Coco 120g</t>
        </is>
      </c>
      <c r="G340" s="18" t="inlineStr">
        <is>
          <t>IOGURTE</t>
        </is>
      </c>
      <c r="H340" s="21" t="n">
        <v>0.12</v>
      </c>
      <c r="I340" s="36" t="n">
        <v>0</v>
      </c>
      <c r="J340" s="21">
        <f>I340*H340</f>
        <v/>
      </c>
      <c r="K340" s="21">
        <f>IFERROR(IF(J340/P340&gt;1,P340,J340),0)</f>
        <v/>
      </c>
      <c r="L340" s="36" t="n">
        <v>0</v>
      </c>
      <c r="M340" s="21">
        <f>L340*H340</f>
        <v/>
      </c>
      <c r="N340" s="21">
        <f>IFERROR(IF(M340/K340&gt;1,K340,M340),0)</f>
        <v/>
      </c>
      <c r="O340" s="36" t="n">
        <v>4000</v>
      </c>
      <c r="P340" s="21">
        <f>O340*H340</f>
        <v/>
      </c>
      <c r="Q340" s="30">
        <f>IF(MONTH(E340+1)=MONTH(E340+6),MONTH(E340+1),IF(MIN(EOMONTH(E340+1,0),E340+6)-(E340+1)+1&gt;=3,MONTH(E340+1),MONTH(E340+6)))</f>
        <v/>
      </c>
      <c r="R340" s="22">
        <f>IFERROR(K340/P340, 0)</f>
        <v/>
      </c>
      <c r="S340" s="38">
        <f>IFERROR(N340/P340,0)</f>
        <v/>
      </c>
      <c r="T340" s="31">
        <f>IFERROR(IF(N340&gt;0,(N340/K340),MIN(1,M340/J340)),0)</f>
        <v/>
      </c>
      <c r="U340" s="33" t="n"/>
    </row>
    <row r="341" hidden="1" s="40">
      <c r="A341" s="23" t="inlineStr">
        <is>
          <t>Semana 4 - fevereiro</t>
        </is>
      </c>
      <c r="B341" s="27">
        <f>YEAR(E341)</f>
        <v/>
      </c>
      <c r="C341" s="18">
        <f>INDEX({"Janeiro";"Fevereiro";"Março";"Abril";"Maio";"Junho";"Julho";"Agosto";"Setembro";"Outubro";"Novembro";"Dezembro"},Q341)</f>
        <v/>
      </c>
      <c r="D341" s="24" t="n">
        <v>4</v>
      </c>
      <c r="E341" s="25" t="n">
        <v>46075</v>
      </c>
      <c r="F341" s="23" t="inlineStr">
        <is>
          <t>Iogurte Coco 185g</t>
        </is>
      </c>
      <c r="G341" s="23" t="inlineStr">
        <is>
          <t>IOGURTE</t>
        </is>
      </c>
      <c r="H341" s="26" t="n">
        <v>0.185</v>
      </c>
      <c r="I341" s="36" t="n">
        <v>0</v>
      </c>
      <c r="J341" s="21">
        <f>I341*H341</f>
        <v/>
      </c>
      <c r="K341" s="21">
        <f>IFERROR(IF(J341/P341&gt;1,P341,J341),0)</f>
        <v/>
      </c>
      <c r="L341" s="36" t="n">
        <v>0</v>
      </c>
      <c r="M341" s="21">
        <f>L341*H341</f>
        <v/>
      </c>
      <c r="N341" s="21">
        <f>IFERROR(IF(M341/K341&gt;1,K341,M341),0)</f>
        <v/>
      </c>
      <c r="O341" s="36" t="n">
        <v>520</v>
      </c>
      <c r="P341" s="21">
        <f>O341*H341</f>
        <v/>
      </c>
      <c r="Q341" s="30">
        <f>IF(MONTH(E341+1)=MONTH(E341+6),MONTH(E341+1),IF(MIN(EOMONTH(E341+1,0),E341+6)-(E341+1)+1&gt;=3,MONTH(E341+1),MONTH(E341+6)))</f>
        <v/>
      </c>
      <c r="R341" s="22">
        <f>IFERROR(K341/P341, 0)</f>
        <v/>
      </c>
      <c r="S341" s="38">
        <f>IFERROR(N341/P341,0)</f>
        <v/>
      </c>
      <c r="T341" s="31">
        <f>IFERROR(IF(N341&gt;0,(N341/K341),MIN(1,M341/J341)),0)</f>
        <v/>
      </c>
      <c r="U341" s="33" t="n"/>
    </row>
    <row r="342" hidden="1" s="40">
      <c r="A342" s="18" t="inlineStr">
        <is>
          <t>Semana 4 - fevereiro</t>
        </is>
      </c>
      <c r="B342" s="27">
        <f>YEAR(E342)</f>
        <v/>
      </c>
      <c r="C342" s="18">
        <f>INDEX({"Janeiro";"Fevereiro";"Março";"Abril";"Maio";"Junho";"Julho";"Agosto";"Setembro";"Outubro";"Novembro";"Dezembro"},Q342)</f>
        <v/>
      </c>
      <c r="D342" s="19" t="n">
        <v>4</v>
      </c>
      <c r="E342" s="20" t="n">
        <v>46075</v>
      </c>
      <c r="F342" s="18" t="inlineStr">
        <is>
          <t>Iogurte Coco 900g</t>
        </is>
      </c>
      <c r="G342" s="18" t="inlineStr">
        <is>
          <t>IOGURTE</t>
        </is>
      </c>
      <c r="H342" s="21" t="n">
        <v>0.9</v>
      </c>
      <c r="I342" s="36" t="n">
        <v>0</v>
      </c>
      <c r="J342" s="21">
        <f>I342*H342</f>
        <v/>
      </c>
      <c r="K342" s="21">
        <f>IFERROR(IF(J342/P342&gt;1,P342,J342),0)</f>
        <v/>
      </c>
      <c r="L342" s="36" t="n">
        <v>0</v>
      </c>
      <c r="M342" s="21">
        <f>L342*H342</f>
        <v/>
      </c>
      <c r="N342" s="21">
        <f>IFERROR(IF(M342/K342&gt;1,K342,M342),0)</f>
        <v/>
      </c>
      <c r="O342" s="36" t="n">
        <v>900</v>
      </c>
      <c r="P342" s="21">
        <f>O342*H342</f>
        <v/>
      </c>
      <c r="Q342" s="30">
        <f>IF(MONTH(E342+1)=MONTH(E342+6),MONTH(E342+1),IF(MIN(EOMONTH(E342+1,0),E342+6)-(E342+1)+1&gt;=3,MONTH(E342+1),MONTH(E342+6)))</f>
        <v/>
      </c>
      <c r="R342" s="22">
        <f>IFERROR(K342/P342, 0)</f>
        <v/>
      </c>
      <c r="S342" s="38">
        <f>IFERROR(N342/P342,0)</f>
        <v/>
      </c>
      <c r="T342" s="31">
        <f>IFERROR(IF(N342&gt;0,(N342/K342),MIN(1,M342/J342)),0)</f>
        <v/>
      </c>
      <c r="U342" s="33" t="n"/>
    </row>
    <row r="343" hidden="1" s="40">
      <c r="A343" s="23" t="inlineStr">
        <is>
          <t>Semana 4 - fevereiro</t>
        </is>
      </c>
      <c r="B343" s="27">
        <f>YEAR(E343)</f>
        <v/>
      </c>
      <c r="C343" s="18">
        <f>INDEX({"Janeiro";"Fevereiro";"Março";"Abril";"Maio";"Junho";"Julho";"Agosto";"Setembro";"Outubro";"Novembro";"Dezembro"},Q343)</f>
        <v/>
      </c>
      <c r="D343" s="24" t="n">
        <v>4</v>
      </c>
      <c r="E343" s="25" t="n">
        <v>46075</v>
      </c>
      <c r="F343" s="23" t="inlineStr">
        <is>
          <t>Iogurte Grego Frutas vermelhas 120g</t>
        </is>
      </c>
      <c r="G343" s="23" t="inlineStr">
        <is>
          <t>IOGURTE</t>
        </is>
      </c>
      <c r="H343" s="26" t="n">
        <v>0.17</v>
      </c>
      <c r="I343" s="36" t="n">
        <v>0</v>
      </c>
      <c r="J343" s="21">
        <f>I343*H343</f>
        <v/>
      </c>
      <c r="K343" s="21">
        <f>IFERROR(IF(J343/P343&gt;1,P343,J343),0)</f>
        <v/>
      </c>
      <c r="L343" s="36" t="n">
        <v>0</v>
      </c>
      <c r="M343" s="21">
        <f>L343*H343</f>
        <v/>
      </c>
      <c r="N343" s="21">
        <f>IFERROR(IF(M343/K343&gt;1,K343,M343),0)</f>
        <v/>
      </c>
      <c r="O343" s="36" t="n">
        <v>1400</v>
      </c>
      <c r="P343" s="21">
        <f>O343*H343</f>
        <v/>
      </c>
      <c r="Q343" s="30">
        <f>IF(MONTH(E343+1)=MONTH(E343+6),MONTH(E343+1),IF(MIN(EOMONTH(E343+1,0),E343+6)-(E343+1)+1&gt;=3,MONTH(E343+1),MONTH(E343+6)))</f>
        <v/>
      </c>
      <c r="R343" s="22">
        <f>IFERROR(K343/P343, 0)</f>
        <v/>
      </c>
      <c r="S343" s="38">
        <f>IFERROR(N343/P343,0)</f>
        <v/>
      </c>
      <c r="T343" s="31">
        <f>IFERROR(IF(N343&gt;0,(N343/K343),MIN(1,M343/J343)),0)</f>
        <v/>
      </c>
      <c r="U343" s="33" t="n"/>
    </row>
    <row r="344" hidden="1" s="40">
      <c r="A344" s="23" t="inlineStr">
        <is>
          <t>Semana 4 - fevereiro</t>
        </is>
      </c>
      <c r="B344" s="27">
        <f>YEAR(E344)</f>
        <v/>
      </c>
      <c r="C344" s="18">
        <f>INDEX({"Janeiro";"Fevereiro";"Março";"Abril";"Maio";"Junho";"Julho";"Agosto";"Setembro";"Outubro";"Novembro";"Dezembro"},Q344)</f>
        <v/>
      </c>
      <c r="D344" s="24" t="n">
        <v>4</v>
      </c>
      <c r="E344" s="25" t="n">
        <v>46075</v>
      </c>
      <c r="F344" s="23" t="inlineStr">
        <is>
          <t>Iogurte Morango 120g</t>
        </is>
      </c>
      <c r="G344" s="23" t="inlineStr">
        <is>
          <t>IOGURTE</t>
        </is>
      </c>
      <c r="H344" s="26" t="n">
        <v>0.12</v>
      </c>
      <c r="I344" s="36" t="n">
        <v>0</v>
      </c>
      <c r="J344" s="21">
        <f>I344*H344</f>
        <v/>
      </c>
      <c r="K344" s="21">
        <f>IFERROR(IF(J344/P344&gt;1,P344,J344),0)</f>
        <v/>
      </c>
      <c r="L344" s="36" t="n">
        <v>0</v>
      </c>
      <c r="M344" s="21">
        <f>L344*H344</f>
        <v/>
      </c>
      <c r="N344" s="21">
        <f>IFERROR(IF(M344/K344&gt;1,K344,M344),0)</f>
        <v/>
      </c>
      <c r="O344" s="36" t="n">
        <v>18000</v>
      </c>
      <c r="P344" s="21">
        <f>O344*H344</f>
        <v/>
      </c>
      <c r="Q344" s="30">
        <f>IF(MONTH(E344+1)=MONTH(E344+6),MONTH(E344+1),IF(MIN(EOMONTH(E344+1,0),E344+6)-(E344+1)+1&gt;=3,MONTH(E344+1),MONTH(E344+6)))</f>
        <v/>
      </c>
      <c r="R344" s="22">
        <f>IFERROR(K344/P344, 0)</f>
        <v/>
      </c>
      <c r="S344" s="38">
        <f>IFERROR(N344/P344,0)</f>
        <v/>
      </c>
      <c r="T344" s="31">
        <f>IFERROR(IF(N344&gt;0,(N344/K344),MIN(1,M344/J344)),0)</f>
        <v/>
      </c>
      <c r="U344" s="33" t="n"/>
    </row>
    <row r="345" hidden="1" s="40">
      <c r="A345" s="18" t="inlineStr">
        <is>
          <t>Semana 4 - fevereiro</t>
        </is>
      </c>
      <c r="B345" s="27">
        <f>YEAR(E345)</f>
        <v/>
      </c>
      <c r="C345" s="18">
        <f>INDEX({"Janeiro";"Fevereiro";"Março";"Abril";"Maio";"Junho";"Julho";"Agosto";"Setembro";"Outubro";"Novembro";"Dezembro"},Q345)</f>
        <v/>
      </c>
      <c r="D345" s="19" t="n">
        <v>4</v>
      </c>
      <c r="E345" s="20" t="n">
        <v>46075</v>
      </c>
      <c r="F345" s="18" t="inlineStr">
        <is>
          <t>Iogurte Morango 185g</t>
        </is>
      </c>
      <c r="G345" s="18" t="inlineStr">
        <is>
          <t>IOGURTE</t>
        </is>
      </c>
      <c r="H345" s="21" t="n">
        <v>0.185</v>
      </c>
      <c r="I345" s="36" t="n">
        <v>0</v>
      </c>
      <c r="J345" s="21">
        <f>I345*H345</f>
        <v/>
      </c>
      <c r="K345" s="21">
        <f>IFERROR(IF(J345/P345&gt;1,P345,J345),0)</f>
        <v/>
      </c>
      <c r="L345" s="36" t="n">
        <v>0</v>
      </c>
      <c r="M345" s="21">
        <f>L345*H345</f>
        <v/>
      </c>
      <c r="N345" s="21">
        <f>IFERROR(IF(M345/K345&gt;1,K345,M345),0)</f>
        <v/>
      </c>
      <c r="O345" s="36" t="n">
        <v>1040</v>
      </c>
      <c r="P345" s="21">
        <f>O345*H345</f>
        <v/>
      </c>
      <c r="Q345" s="30">
        <f>IF(MONTH(E345+1)=MONTH(E345+6),MONTH(E345+1),IF(MIN(EOMONTH(E345+1,0),E345+6)-(E345+1)+1&gt;=3,MONTH(E345+1),MONTH(E345+6)))</f>
        <v/>
      </c>
      <c r="R345" s="22">
        <f>IFERROR(K345/P345, 0)</f>
        <v/>
      </c>
      <c r="S345" s="38">
        <f>IFERROR(N345/P345,0)</f>
        <v/>
      </c>
      <c r="T345" s="31">
        <f>IFERROR(IF(N345&gt;0,(N345/K345),MIN(1,M345/J345)),0)</f>
        <v/>
      </c>
      <c r="U345" s="33" t="n"/>
    </row>
    <row r="346" hidden="1" s="40">
      <c r="A346" s="23" t="inlineStr">
        <is>
          <t>Semana 4 - fevereiro</t>
        </is>
      </c>
      <c r="B346" s="27">
        <f>YEAR(E346)</f>
        <v/>
      </c>
      <c r="C346" s="18">
        <f>INDEX({"Janeiro";"Fevereiro";"Março";"Abril";"Maio";"Junho";"Julho";"Agosto";"Setembro";"Outubro";"Novembro";"Dezembro"},Q346)</f>
        <v/>
      </c>
      <c r="D346" s="24" t="n">
        <v>4</v>
      </c>
      <c r="E346" s="25" t="n">
        <v>46075</v>
      </c>
      <c r="F346" s="23" t="inlineStr">
        <is>
          <t>Iogurte Morango 900G</t>
        </is>
      </c>
      <c r="G346" s="23" t="inlineStr">
        <is>
          <t>IOGURTE</t>
        </is>
      </c>
      <c r="H346" s="26" t="n">
        <v>0.9</v>
      </c>
      <c r="I346" s="36" t="n">
        <v>0</v>
      </c>
      <c r="J346" s="21">
        <f>I346*H346</f>
        <v/>
      </c>
      <c r="K346" s="21">
        <f>IFERROR(IF(J346/P346&gt;1,P346,J346),0)</f>
        <v/>
      </c>
      <c r="L346" s="36" t="n">
        <v>0</v>
      </c>
      <c r="M346" s="21">
        <f>L346*H346</f>
        <v/>
      </c>
      <c r="N346" s="21">
        <f>IFERROR(IF(M346/K346&gt;1,K346,M346),0)</f>
        <v/>
      </c>
      <c r="O346" s="36" t="n">
        <v>4500</v>
      </c>
      <c r="P346" s="21">
        <f>O346*H346</f>
        <v/>
      </c>
      <c r="Q346" s="30">
        <f>IF(MONTH(E346+1)=MONTH(E346+6),MONTH(E346+1),IF(MIN(EOMONTH(E346+1,0),E346+6)-(E346+1)+1&gt;=3,MONTH(E346+1),MONTH(E346+6)))</f>
        <v/>
      </c>
      <c r="R346" s="22">
        <f>IFERROR(K346/P346, 0)</f>
        <v/>
      </c>
      <c r="S346" s="38">
        <f>IFERROR(N346/P346,0)</f>
        <v/>
      </c>
      <c r="T346" s="31">
        <f>IFERROR(IF(N346&gt;0,(N346/K346),MIN(1,M346/J346)),0)</f>
        <v/>
      </c>
      <c r="U346" s="33" t="n"/>
    </row>
    <row r="347" hidden="1" s="40">
      <c r="A347" s="18" t="inlineStr">
        <is>
          <t>Semana 4 - fevereiro</t>
        </is>
      </c>
      <c r="B347" s="27">
        <f>YEAR(E347)</f>
        <v/>
      </c>
      <c r="C347" s="18">
        <f>INDEX({"Janeiro";"Fevereiro";"Março";"Abril";"Maio";"Junho";"Julho";"Agosto";"Setembro";"Outubro";"Novembro";"Dezembro"},Q347)</f>
        <v/>
      </c>
      <c r="D347" s="19" t="n">
        <v>4</v>
      </c>
      <c r="E347" s="20" t="n">
        <v>46075</v>
      </c>
      <c r="F347" s="18" t="inlineStr">
        <is>
          <t>Iogurte Natural Integral 170g</t>
        </is>
      </c>
      <c r="G347" s="18" t="inlineStr">
        <is>
          <t>IOGURTE</t>
        </is>
      </c>
      <c r="H347" s="21" t="n">
        <v>0.17</v>
      </c>
      <c r="I347" s="36" t="n">
        <v>0</v>
      </c>
      <c r="J347" s="21">
        <f>I347*H347</f>
        <v/>
      </c>
      <c r="K347" s="21">
        <f>IFERROR(IF(J347/P347&gt;1,P347,J347),0)</f>
        <v/>
      </c>
      <c r="L347" s="36" t="n">
        <v>0</v>
      </c>
      <c r="M347" s="21">
        <f>L347*H347</f>
        <v/>
      </c>
      <c r="N347" s="21">
        <f>IFERROR(IF(M347/K347&gt;1,K347,M347),0)</f>
        <v/>
      </c>
      <c r="O347" s="36" t="n">
        <v>3800</v>
      </c>
      <c r="P347" s="21">
        <f>O347*H347</f>
        <v/>
      </c>
      <c r="Q347" s="30">
        <f>IF(MONTH(E347+1)=MONTH(E347+6),MONTH(E347+1),IF(MIN(EOMONTH(E347+1,0),E347+6)-(E347+1)+1&gt;=3,MONTH(E347+1),MONTH(E347+6)))</f>
        <v/>
      </c>
      <c r="R347" s="22">
        <f>IFERROR(K347/P347, 0)</f>
        <v/>
      </c>
      <c r="S347" s="38">
        <f>IFERROR(N347/P347,0)</f>
        <v/>
      </c>
      <c r="T347" s="31">
        <f>IFERROR(IF(N347&gt;0,(N347/K347),MIN(1,M347/J347)),0)</f>
        <v/>
      </c>
      <c r="U347" s="33" t="n"/>
    </row>
    <row r="348" hidden="1" s="40">
      <c r="A348" s="23" t="inlineStr">
        <is>
          <t>Semana 4 - fevereiro</t>
        </is>
      </c>
      <c r="B348" s="27">
        <f>YEAR(E348)</f>
        <v/>
      </c>
      <c r="C348" s="18">
        <f>INDEX({"Janeiro";"Fevereiro";"Março";"Abril";"Maio";"Junho";"Julho";"Agosto";"Setembro";"Outubro";"Novembro";"Dezembro"},Q348)</f>
        <v/>
      </c>
      <c r="D348" s="24" t="n">
        <v>4</v>
      </c>
      <c r="E348" s="25" t="n">
        <v>46075</v>
      </c>
      <c r="F348" s="23" t="inlineStr">
        <is>
          <t>Iogurte Natural Triplo Zero 170g</t>
        </is>
      </c>
      <c r="G348" s="23" t="inlineStr">
        <is>
          <t>IOGURTE</t>
        </is>
      </c>
      <c r="H348" s="26" t="n">
        <v>0.17</v>
      </c>
      <c r="I348" s="36" t="n">
        <v>0</v>
      </c>
      <c r="J348" s="21">
        <f>I348*H348</f>
        <v/>
      </c>
      <c r="K348" s="21">
        <f>IFERROR(IF(J348/P348&gt;1,P348,J348),0)</f>
        <v/>
      </c>
      <c r="L348" s="36" t="n">
        <v>0</v>
      </c>
      <c r="M348" s="21">
        <f>L348*H348</f>
        <v/>
      </c>
      <c r="N348" s="21">
        <f>IFERROR(IF(M348/K348&gt;1,K348,M348),0)</f>
        <v/>
      </c>
      <c r="O348" s="36" t="n">
        <v>3800</v>
      </c>
      <c r="P348" s="21">
        <f>O348*H348</f>
        <v/>
      </c>
      <c r="Q348" s="30">
        <f>IF(MONTH(E348+1)=MONTH(E348+6),MONTH(E348+1),IF(MIN(EOMONTH(E348+1,0),E348+6)-(E348+1)+1&gt;=3,MONTH(E348+1),MONTH(E348+6)))</f>
        <v/>
      </c>
      <c r="R348" s="22">
        <f>IFERROR(K348/P348, 0)</f>
        <v/>
      </c>
      <c r="S348" s="38">
        <f>IFERROR(N348/P348,0)</f>
        <v/>
      </c>
      <c r="T348" s="31">
        <f>IFERROR(IF(N348&gt;0,(N348/K348),MIN(1,M348/J348)),0)</f>
        <v/>
      </c>
      <c r="U348" s="33" t="n"/>
    </row>
    <row r="349" hidden="1" s="40">
      <c r="A349" s="23" t="inlineStr">
        <is>
          <t>Semana 4 - fevereiro</t>
        </is>
      </c>
      <c r="B349" s="27">
        <f>YEAR(E349)</f>
        <v/>
      </c>
      <c r="C349" s="18">
        <f>INDEX({"Janeiro";"Fevereiro";"Março";"Abril";"Maio";"Junho";"Julho";"Agosto";"Setembro";"Outubro";"Novembro";"Dezembro"},Q349)</f>
        <v/>
      </c>
      <c r="D349" s="24" t="n">
        <v>4</v>
      </c>
      <c r="E349" s="25" t="n">
        <v>46075</v>
      </c>
      <c r="F349" s="23" t="inlineStr">
        <is>
          <t>Iogurte Salada 120g</t>
        </is>
      </c>
      <c r="G349" s="23" t="inlineStr">
        <is>
          <t>IOGURTE</t>
        </is>
      </c>
      <c r="H349" s="26" t="n">
        <v>0.12</v>
      </c>
      <c r="I349" s="36" t="n">
        <v>0</v>
      </c>
      <c r="J349" s="21">
        <f>I349*H349</f>
        <v/>
      </c>
      <c r="K349" s="21">
        <f>IFERROR(IF(J349/P349&gt;1,P349,J349),0)</f>
        <v/>
      </c>
      <c r="L349" s="36" t="n">
        <v>0</v>
      </c>
      <c r="M349" s="21">
        <f>L349*H349</f>
        <v/>
      </c>
      <c r="N349" s="21">
        <f>IFERROR(IF(M349/K349&gt;1,K349,M349),0)</f>
        <v/>
      </c>
      <c r="O349" s="36" t="n">
        <v>2000</v>
      </c>
      <c r="P349" s="21">
        <f>O349*H349</f>
        <v/>
      </c>
      <c r="Q349" s="30">
        <f>IF(MONTH(E349+1)=MONTH(E349+6),MONTH(E349+1),IF(MIN(EOMONTH(E349+1,0),E349+6)-(E349+1)+1&gt;=3,MONTH(E349+1),MONTH(E349+6)))</f>
        <v/>
      </c>
      <c r="R349" s="22">
        <f>IFERROR(K349/P349, 0)</f>
        <v/>
      </c>
      <c r="S349" s="38">
        <f>IFERROR(N349/P349,0)</f>
        <v/>
      </c>
      <c r="T349" s="31">
        <f>IFERROR(IF(N349&gt;0,(N349/K349),MIN(1,M349/J349)),0)</f>
        <v/>
      </c>
      <c r="U349" s="33" t="n"/>
    </row>
    <row r="350" hidden="1" s="40">
      <c r="A350" s="18" t="inlineStr">
        <is>
          <t>Semana 4 - fevereiro</t>
        </is>
      </c>
      <c r="B350" s="27">
        <f>YEAR(E350)</f>
        <v/>
      </c>
      <c r="C350" s="18">
        <f>INDEX({"Janeiro";"Fevereiro";"Março";"Abril";"Maio";"Junho";"Julho";"Agosto";"Setembro";"Outubro";"Novembro";"Dezembro"},Q350)</f>
        <v/>
      </c>
      <c r="D350" s="19" t="n">
        <v>4</v>
      </c>
      <c r="E350" s="20" t="n">
        <v>46075</v>
      </c>
      <c r="F350" s="18" t="inlineStr">
        <is>
          <t>Iogurte Salada 185g</t>
        </is>
      </c>
      <c r="G350" s="18" t="inlineStr">
        <is>
          <t>IOGURTE</t>
        </is>
      </c>
      <c r="H350" s="21" t="n">
        <v>0.185</v>
      </c>
      <c r="I350" s="36" t="n">
        <v>0</v>
      </c>
      <c r="J350" s="21">
        <f>I350*H350</f>
        <v/>
      </c>
      <c r="K350" s="21">
        <f>IFERROR(IF(J350/P350&gt;1,P350,J350),0)</f>
        <v/>
      </c>
      <c r="L350" s="36" t="n">
        <v>0</v>
      </c>
      <c r="M350" s="21">
        <f>L350*H350</f>
        <v/>
      </c>
      <c r="N350" s="21">
        <f>IFERROR(IF(M350/K350&gt;1,K350,M350),0)</f>
        <v/>
      </c>
      <c r="O350" s="36" t="n">
        <v>520</v>
      </c>
      <c r="P350" s="21">
        <f>O350*H350</f>
        <v/>
      </c>
      <c r="Q350" s="30">
        <f>IF(MONTH(E350+1)=MONTH(E350+6),MONTH(E350+1),IF(MIN(EOMONTH(E350+1,0),E350+6)-(E350+1)+1&gt;=3,MONTH(E350+1),MONTH(E350+6)))</f>
        <v/>
      </c>
      <c r="R350" s="22">
        <f>IFERROR(K350/P350, 0)</f>
        <v/>
      </c>
      <c r="S350" s="38">
        <f>IFERROR(N350/P350,0)</f>
        <v/>
      </c>
      <c r="T350" s="31">
        <f>IFERROR(IF(N350&gt;0,(N350/K350),MIN(1,M350/J350)),0)</f>
        <v/>
      </c>
      <c r="U350" s="33" t="n"/>
    </row>
    <row r="351" hidden="1" s="40">
      <c r="A351" s="23" t="inlineStr">
        <is>
          <t>Semana 4 - fevereiro</t>
        </is>
      </c>
      <c r="B351" s="27">
        <f>YEAR(E351)</f>
        <v/>
      </c>
      <c r="C351" s="18">
        <f>INDEX({"Janeiro";"Fevereiro";"Março";"Abril";"Maio";"Junho";"Julho";"Agosto";"Setembro";"Outubro";"Novembro";"Dezembro"},Q351)</f>
        <v/>
      </c>
      <c r="D351" s="24" t="n">
        <v>4</v>
      </c>
      <c r="E351" s="25" t="n">
        <v>46075</v>
      </c>
      <c r="F351" s="23" t="inlineStr">
        <is>
          <t>Iogurte Salada 900g</t>
        </is>
      </c>
      <c r="G351" s="23" t="inlineStr">
        <is>
          <t>IOGURTE</t>
        </is>
      </c>
      <c r="H351" s="26" t="n">
        <v>0.9</v>
      </c>
      <c r="I351" s="36" t="n">
        <v>0</v>
      </c>
      <c r="J351" s="21">
        <f>I351*H351</f>
        <v/>
      </c>
      <c r="K351" s="21">
        <f>IFERROR(IF(J351/P351&gt;1,P351,J351),0)</f>
        <v/>
      </c>
      <c r="L351" s="36" t="n">
        <v>0</v>
      </c>
      <c r="M351" s="21">
        <f>L351*H351</f>
        <v/>
      </c>
      <c r="N351" s="21">
        <f>IFERROR(IF(M351/K351&gt;1,K351,M351),0)</f>
        <v/>
      </c>
      <c r="O351" s="36" t="n">
        <v>900</v>
      </c>
      <c r="P351" s="21">
        <f>O351*H351</f>
        <v/>
      </c>
      <c r="Q351" s="30">
        <f>IF(MONTH(E351+1)=MONTH(E351+6),MONTH(E351+1),IF(MIN(EOMONTH(E351+1,0),E351+6)-(E351+1)+1&gt;=3,MONTH(E351+1),MONTH(E351+6)))</f>
        <v/>
      </c>
      <c r="R351" s="22">
        <f>IFERROR(K351/P351, 0)</f>
        <v/>
      </c>
      <c r="S351" s="38">
        <f>IFERROR(N351/P351,0)</f>
        <v/>
      </c>
      <c r="T351" s="31">
        <f>IFERROR(IF(N351&gt;0,(N351/K351),MIN(1,M351/J351)),0)</f>
        <v/>
      </c>
      <c r="U351" s="33" t="n"/>
    </row>
    <row r="352" hidden="1" s="40">
      <c r="A352" s="18" t="inlineStr">
        <is>
          <t>Semana 4 - fevereiro</t>
        </is>
      </c>
      <c r="B352" s="27">
        <f>YEAR(E352)</f>
        <v/>
      </c>
      <c r="C352" s="18">
        <f>INDEX({"Janeiro";"Fevereiro";"Março";"Abril";"Maio";"Junho";"Julho";"Agosto";"Setembro";"Outubro";"Novembro";"Dezembro"},Q352)</f>
        <v/>
      </c>
      <c r="D352" s="19" t="n">
        <v>4</v>
      </c>
      <c r="E352" s="20" t="n">
        <v>46075</v>
      </c>
      <c r="F352" s="18" t="inlineStr">
        <is>
          <t>Iogurte Vida Leve Ameixa c/ Grãos 180g</t>
        </is>
      </c>
      <c r="G352" s="18" t="inlineStr">
        <is>
          <t>IOGURTE</t>
        </is>
      </c>
      <c r="H352" s="21" t="n">
        <v>0.18</v>
      </c>
      <c r="I352" s="36" t="n">
        <v>0</v>
      </c>
      <c r="J352" s="21">
        <f>I352*H352</f>
        <v/>
      </c>
      <c r="K352" s="21">
        <f>IFERROR(IF(J352/P352&gt;1,P352,J352),0)</f>
        <v/>
      </c>
      <c r="L352" s="36" t="n">
        <v>0</v>
      </c>
      <c r="M352" s="21">
        <f>L352*H352</f>
        <v/>
      </c>
      <c r="N352" s="21">
        <f>IFERROR(IF(M352/K352&gt;1,K352,M352),0)</f>
        <v/>
      </c>
      <c r="O352" s="36" t="n">
        <v>0</v>
      </c>
      <c r="P352" s="21">
        <f>O352*H352</f>
        <v/>
      </c>
      <c r="Q352" s="30">
        <f>IF(MONTH(E352+1)=MONTH(E352+6),MONTH(E352+1),IF(MIN(EOMONTH(E352+1,0),E352+6)-(E352+1)+1&gt;=3,MONTH(E352+1),MONTH(E352+6)))</f>
        <v/>
      </c>
      <c r="R352" s="22">
        <f>IFERROR(K352/P352, 0)</f>
        <v/>
      </c>
      <c r="S352" s="38">
        <f>IFERROR(N352/P352,0)</f>
        <v/>
      </c>
      <c r="T352" s="31">
        <f>IFERROR(IF(N352&gt;0,(N352/K352),MIN(1,M352/J352)),0)</f>
        <v/>
      </c>
      <c r="U352" s="33" t="n"/>
    </row>
    <row r="353" hidden="1" s="40">
      <c r="A353" s="23" t="inlineStr">
        <is>
          <t>Semana 4 - fevereiro</t>
        </is>
      </c>
      <c r="B353" s="27">
        <f>YEAR(E353)</f>
        <v/>
      </c>
      <c r="C353" s="18">
        <f>INDEX({"Janeiro";"Fevereiro";"Março";"Abril";"Maio";"Junho";"Julho";"Agosto";"Setembro";"Outubro";"Novembro";"Dezembro"},Q353)</f>
        <v/>
      </c>
      <c r="D353" s="24" t="n">
        <v>4</v>
      </c>
      <c r="E353" s="25" t="n">
        <v>46075</v>
      </c>
      <c r="F353" s="23" t="inlineStr">
        <is>
          <t>Iogurte Vida Leve Ameixa c/ Grãos 500g</t>
        </is>
      </c>
      <c r="G353" s="23" t="inlineStr">
        <is>
          <t>IOGURTE</t>
        </is>
      </c>
      <c r="H353" s="26" t="n">
        <v>0.5</v>
      </c>
      <c r="I353" s="36" t="n">
        <v>0</v>
      </c>
      <c r="J353" s="21">
        <f>I353*H353</f>
        <v/>
      </c>
      <c r="K353" s="21">
        <f>IFERROR(IF(J353/P353&gt;1,P353,J353),0)</f>
        <v/>
      </c>
      <c r="L353" s="36" t="n">
        <v>0</v>
      </c>
      <c r="M353" s="21">
        <f>L353*H353</f>
        <v/>
      </c>
      <c r="N353" s="21">
        <f>IFERROR(IF(M353/K353&gt;1,K353,M353),0)</f>
        <v/>
      </c>
      <c r="O353" s="36" t="n">
        <v>0</v>
      </c>
      <c r="P353" s="21">
        <f>O353*H353</f>
        <v/>
      </c>
      <c r="Q353" s="30">
        <f>IF(MONTH(E353+1)=MONTH(E353+6),MONTH(E353+1),IF(MIN(EOMONTH(E353+1,0),E353+6)-(E353+1)+1&gt;=3,MONTH(E353+1),MONTH(E353+6)))</f>
        <v/>
      </c>
      <c r="R353" s="22">
        <f>IFERROR(K353/P353, 0)</f>
        <v/>
      </c>
      <c r="S353" s="38">
        <f>IFERROR(N353/P353,0)</f>
        <v/>
      </c>
      <c r="T353" s="31">
        <f>IFERROR(IF(N353&gt;0,(N353/K353),MIN(1,M353/J353)),0)</f>
        <v/>
      </c>
      <c r="U353" s="33" t="n"/>
    </row>
    <row r="354" hidden="1" s="40">
      <c r="A354" s="18" t="inlineStr">
        <is>
          <t>Semana 4 - fevereiro</t>
        </is>
      </c>
      <c r="B354" s="27">
        <f>YEAR(E354)</f>
        <v/>
      </c>
      <c r="C354" s="18">
        <f>INDEX({"Janeiro";"Fevereiro";"Março";"Abril";"Maio";"Junho";"Julho";"Agosto";"Setembro";"Outubro";"Novembro";"Dezembro"},Q354)</f>
        <v/>
      </c>
      <c r="D354" s="19" t="n">
        <v>4</v>
      </c>
      <c r="E354" s="20" t="n">
        <v>46075</v>
      </c>
      <c r="F354" s="18" t="inlineStr">
        <is>
          <t>Iogurte Vida Leve Morango 180g</t>
        </is>
      </c>
      <c r="G354" s="18" t="inlineStr">
        <is>
          <t>IOGURTE</t>
        </is>
      </c>
      <c r="H354" s="21" t="n">
        <v>0.185</v>
      </c>
      <c r="I354" s="36" t="n">
        <v>0</v>
      </c>
      <c r="J354" s="21">
        <f>I354*H354</f>
        <v/>
      </c>
      <c r="K354" s="21">
        <f>IFERROR(IF(J354/P354&gt;1,P354,J354),0)</f>
        <v/>
      </c>
      <c r="L354" s="36" t="n">
        <v>0</v>
      </c>
      <c r="M354" s="21">
        <f>L354*H354</f>
        <v/>
      </c>
      <c r="N354" s="21">
        <f>IFERROR(IF(M354/K354&gt;1,K354,M354),0)</f>
        <v/>
      </c>
      <c r="O354" s="36" t="n">
        <v>0</v>
      </c>
      <c r="P354" s="21">
        <f>O354*H354</f>
        <v/>
      </c>
      <c r="Q354" s="30">
        <f>IF(MONTH(E354+1)=MONTH(E354+6),MONTH(E354+1),IF(MIN(EOMONTH(E354+1,0),E354+6)-(E354+1)+1&gt;=3,MONTH(E354+1),MONTH(E354+6)))</f>
        <v/>
      </c>
      <c r="R354" s="22">
        <f>IFERROR(K354/P354, 0)</f>
        <v/>
      </c>
      <c r="S354" s="38">
        <f>IFERROR(N354/P354,0)</f>
        <v/>
      </c>
      <c r="T354" s="31">
        <f>IFERROR(IF(N354&gt;0,(N354/K354),MIN(1,M354/J354)),0)</f>
        <v/>
      </c>
      <c r="U354" s="33" t="n"/>
    </row>
    <row r="355" hidden="1" s="40">
      <c r="A355" s="23" t="inlineStr">
        <is>
          <t>Semana 4 - fevereiro</t>
        </is>
      </c>
      <c r="B355" s="27">
        <f>YEAR(E355)</f>
        <v/>
      </c>
      <c r="C355" s="18">
        <f>INDEX({"Janeiro";"Fevereiro";"Março";"Abril";"Maio";"Junho";"Julho";"Agosto";"Setembro";"Outubro";"Novembro";"Dezembro"},Q355)</f>
        <v/>
      </c>
      <c r="D355" s="24" t="n">
        <v>4</v>
      </c>
      <c r="E355" s="25" t="n">
        <v>46075</v>
      </c>
      <c r="F355" s="23" t="inlineStr">
        <is>
          <t>Iogurte Vida Leve Morango 500g</t>
        </is>
      </c>
      <c r="G355" s="23" t="inlineStr">
        <is>
          <t>IOGURTE</t>
        </is>
      </c>
      <c r="H355" s="26" t="n">
        <v>0.5</v>
      </c>
      <c r="I355" s="36" t="n">
        <v>0</v>
      </c>
      <c r="J355" s="21">
        <f>I355*H355</f>
        <v/>
      </c>
      <c r="K355" s="21">
        <f>IFERROR(IF(J355/P355&gt;1,P355,J355),0)</f>
        <v/>
      </c>
      <c r="L355" s="36" t="n">
        <v>0</v>
      </c>
      <c r="M355" s="21">
        <f>L355*H355</f>
        <v/>
      </c>
      <c r="N355" s="21">
        <f>IFERROR(IF(M355/K355&gt;1,K355,M355),0)</f>
        <v/>
      </c>
      <c r="O355" s="36" t="n">
        <v>0</v>
      </c>
      <c r="P355" s="21">
        <f>O355*H355</f>
        <v/>
      </c>
      <c r="Q355" s="30">
        <f>IF(MONTH(E355+1)=MONTH(E355+6),MONTH(E355+1),IF(MIN(EOMONTH(E355+1,0),E355+6)-(E355+1)+1&gt;=3,MONTH(E355+1),MONTH(E355+6)))</f>
        <v/>
      </c>
      <c r="R355" s="22">
        <f>IFERROR(K355/P355, 0)</f>
        <v/>
      </c>
      <c r="S355" s="38">
        <f>IFERROR(N355/P355,0)</f>
        <v/>
      </c>
      <c r="T355" s="31">
        <f>IFERROR(IF(N355&gt;0,(N355/K355),MIN(1,M355/J355)),0)</f>
        <v/>
      </c>
      <c r="U355" s="33" t="n"/>
    </row>
    <row r="356" hidden="1" s="40">
      <c r="A356" s="18" t="inlineStr">
        <is>
          <t>Semana 4 - fevereiro</t>
        </is>
      </c>
      <c r="B356" s="27">
        <f>YEAR(E356)</f>
        <v/>
      </c>
      <c r="C356" s="18">
        <f>INDEX({"Janeiro";"Fevereiro";"Março";"Abril";"Maio";"Junho";"Julho";"Agosto";"Setembro";"Outubro";"Novembro";"Dezembro"},Q356)</f>
        <v/>
      </c>
      <c r="D356" s="19" t="n">
        <v>4</v>
      </c>
      <c r="E356" s="20" t="n">
        <v>46075</v>
      </c>
      <c r="F356" s="18" t="inlineStr">
        <is>
          <t>LEITE PASTEURIZADO VIÇOSA DESNATADO</t>
        </is>
      </c>
      <c r="G356" s="18" t="inlineStr">
        <is>
          <t>LEITE PAST.</t>
        </is>
      </c>
      <c r="H356" s="21" t="n">
        <v>1</v>
      </c>
      <c r="I356" s="36" t="n">
        <v>646</v>
      </c>
      <c r="J356" s="21">
        <f>I356*H356</f>
        <v/>
      </c>
      <c r="K356" s="21">
        <f>IFERROR(IF(J356/P356&gt;1,P356,J356),0)</f>
        <v/>
      </c>
      <c r="L356" s="36" t="n">
        <v>646</v>
      </c>
      <c r="M356" s="21">
        <f>L356*H356</f>
        <v/>
      </c>
      <c r="N356" s="21">
        <f>IFERROR(IF(M356/K356&gt;1,K356,M356),0)</f>
        <v/>
      </c>
      <c r="O356" s="36" t="n">
        <v>646</v>
      </c>
      <c r="P356" s="21">
        <f>O356*H356</f>
        <v/>
      </c>
      <c r="Q356" s="30">
        <f>IF(MONTH(E356+1)=MONTH(E356+6),MONTH(E356+1),IF(MIN(EOMONTH(E356+1,0),E356+6)-(E356+1)+1&gt;=3,MONTH(E356+1),MONTH(E356+6)))</f>
        <v/>
      </c>
      <c r="R356" s="22">
        <f>IFERROR(K356/P356, 0)</f>
        <v/>
      </c>
      <c r="S356" s="38">
        <f>IFERROR(N356/P356,0)</f>
        <v/>
      </c>
      <c r="T356" s="31">
        <f>IFERROR(IF(N356&gt;0,(N356/K356),MIN(1,M356/J356)),0)</f>
        <v/>
      </c>
      <c r="U356" s="33" t="n"/>
    </row>
    <row r="357" hidden="1" s="40">
      <c r="A357" s="23" t="inlineStr">
        <is>
          <t>Semana 4 - fevereiro</t>
        </is>
      </c>
      <c r="B357" s="27">
        <f>YEAR(E357)</f>
        <v/>
      </c>
      <c r="C357" s="18">
        <f>INDEX({"Janeiro";"Fevereiro";"Março";"Abril";"Maio";"Junho";"Julho";"Agosto";"Setembro";"Outubro";"Novembro";"Dezembro"},Q357)</f>
        <v/>
      </c>
      <c r="D357" s="24" t="n">
        <v>4</v>
      </c>
      <c r="E357" s="25" t="n">
        <v>46075</v>
      </c>
      <c r="F357" s="23" t="inlineStr">
        <is>
          <t>LEITE PASTEURIZADO VIÇOSA INTEGRAL</t>
        </is>
      </c>
      <c r="G357" s="23" t="inlineStr">
        <is>
          <t>LEITE PAST.</t>
        </is>
      </c>
      <c r="H357" s="26" t="n">
        <v>1</v>
      </c>
      <c r="I357" s="36" t="n">
        <v>17433</v>
      </c>
      <c r="J357" s="21">
        <f>I357*H357</f>
        <v/>
      </c>
      <c r="K357" s="21">
        <f>IFERROR(IF(J357/P357&gt;1,P357,J357),0)</f>
        <v/>
      </c>
      <c r="L357" s="36" t="n">
        <v>17433</v>
      </c>
      <c r="M357" s="21">
        <f>L357*H357</f>
        <v/>
      </c>
      <c r="N357" s="21">
        <f>IFERROR(IF(M357/K357&gt;1,K357,M357),0)</f>
        <v/>
      </c>
      <c r="O357" s="36" t="n">
        <v>17433</v>
      </c>
      <c r="P357" s="21">
        <f>O357*H357</f>
        <v/>
      </c>
      <c r="Q357" s="30">
        <f>IF(MONTH(E357+1)=MONTH(E357+6),MONTH(E357+1),IF(MIN(EOMONTH(E357+1,0),E357+6)-(E357+1)+1&gt;=3,MONTH(E357+1),MONTH(E357+6)))</f>
        <v/>
      </c>
      <c r="R357" s="22">
        <f>IFERROR(K357/P357, 0)</f>
        <v/>
      </c>
      <c r="S357" s="38">
        <f>IFERROR(N357/P357,0)</f>
        <v/>
      </c>
      <c r="T357" s="31">
        <f>IFERROR(IF(N357&gt;0,(N357/K357),MIN(1,M357/J357)),0)</f>
        <v/>
      </c>
      <c r="U357" s="33" t="n"/>
    </row>
    <row r="358" hidden="1" s="40">
      <c r="A358" s="18" t="inlineStr">
        <is>
          <t>Semana 4 - fevereiro</t>
        </is>
      </c>
      <c r="B358" s="27">
        <f>YEAR(E358)</f>
        <v/>
      </c>
      <c r="C358" s="18">
        <f>INDEX({"Janeiro";"Fevereiro";"Março";"Abril";"Maio";"Junho";"Julho";"Agosto";"Setembro";"Outubro";"Novembro";"Dezembro"},Q358)</f>
        <v/>
      </c>
      <c r="D358" s="19" t="n">
        <v>4</v>
      </c>
      <c r="E358" s="20" t="n">
        <v>46075</v>
      </c>
      <c r="F358" s="18" t="inlineStr">
        <is>
          <t>LEITE PASTEURIZADO VIÇOSA ZERO LACTOSE INTEGRAL 1 L</t>
        </is>
      </c>
      <c r="G358" s="18" t="inlineStr">
        <is>
          <t>LEITE PAST.</t>
        </is>
      </c>
      <c r="H358" s="21" t="n">
        <v>1</v>
      </c>
      <c r="I358" s="36" t="n">
        <v>714</v>
      </c>
      <c r="J358" s="21">
        <f>I358*H358</f>
        <v/>
      </c>
      <c r="K358" s="21">
        <f>IFERROR(IF(J358/P358&gt;1,P358,J358),0)</f>
        <v/>
      </c>
      <c r="L358" s="36" t="n">
        <v>714</v>
      </c>
      <c r="M358" s="21">
        <f>L358*H358</f>
        <v/>
      </c>
      <c r="N358" s="21">
        <f>IFERROR(IF(M358/K358&gt;1,K358,M358),0)</f>
        <v/>
      </c>
      <c r="O358" s="36" t="n">
        <v>714</v>
      </c>
      <c r="P358" s="21">
        <f>O358*H358</f>
        <v/>
      </c>
      <c r="Q358" s="30">
        <f>IF(MONTH(E358+1)=MONTH(E358+6),MONTH(E358+1),IF(MIN(EOMONTH(E358+1,0),E358+6)-(E358+1)+1&gt;=3,MONTH(E358+1),MONTH(E358+6)))</f>
        <v/>
      </c>
      <c r="R358" s="22">
        <f>IFERROR(K358/P358, 0)</f>
        <v/>
      </c>
      <c r="S358" s="38">
        <f>IFERROR(N358/P358,0)</f>
        <v/>
      </c>
      <c r="T358" s="31">
        <f>IFERROR(IF(N358&gt;0,(N358/K358),MIN(1,M358/J358)),0)</f>
        <v/>
      </c>
      <c r="U358" s="33" t="n"/>
    </row>
    <row r="359" hidden="1" s="40">
      <c r="A359" s="23" t="inlineStr">
        <is>
          <t>Semana 4 - fevereiro</t>
        </is>
      </c>
      <c r="B359" s="27">
        <f>YEAR(E359)</f>
        <v/>
      </c>
      <c r="C359" s="18">
        <f>INDEX({"Janeiro";"Fevereiro";"Março";"Abril";"Maio";"Junho";"Julho";"Agosto";"Setembro";"Outubro";"Novembro";"Dezembro"},Q359)</f>
        <v/>
      </c>
      <c r="D359" s="24" t="n">
        <v>4</v>
      </c>
      <c r="E359" s="25" t="n">
        <v>46075</v>
      </c>
      <c r="F359" s="23" t="inlineStr">
        <is>
          <t>Manteiga 200g</t>
        </is>
      </c>
      <c r="G359" s="23" t="inlineStr">
        <is>
          <t>MANTEIGA</t>
        </is>
      </c>
      <c r="H359" s="26" t="n">
        <v>0.2</v>
      </c>
      <c r="I359" s="36" t="n">
        <v>2500</v>
      </c>
      <c r="J359" s="21">
        <f>I359*H359</f>
        <v/>
      </c>
      <c r="K359" s="21">
        <f>IFERROR(IF(J359/P359&gt;1,P359,J359),0)</f>
        <v/>
      </c>
      <c r="L359" s="36" t="n">
        <v>2191</v>
      </c>
      <c r="M359" s="21">
        <f>L359*H359</f>
        <v/>
      </c>
      <c r="N359" s="21">
        <f>IFERROR(IF(M359/K359&gt;1,K359,M359),0)</f>
        <v/>
      </c>
      <c r="O359" s="36" t="n">
        <v>0</v>
      </c>
      <c r="P359" s="21">
        <f>O359*H359</f>
        <v/>
      </c>
      <c r="Q359" s="30">
        <f>IF(MONTH(E359+1)=MONTH(E359+6),MONTH(E359+1),IF(MIN(EOMONTH(E359+1,0),E359+6)-(E359+1)+1&gt;=3,MONTH(E359+1),MONTH(E359+6)))</f>
        <v/>
      </c>
      <c r="R359" s="22">
        <f>IFERROR(K359/P359, 0)</f>
        <v/>
      </c>
      <c r="S359" s="38">
        <f>IFERROR(N359/P359,0)</f>
        <v/>
      </c>
      <c r="T359" s="31">
        <f>IFERROR(IF(N359&gt;0,(N359/K359),MIN(1,M359/J359)),0)</f>
        <v/>
      </c>
      <c r="U359" s="33" t="n"/>
    </row>
    <row r="360" hidden="1" s="40">
      <c r="A360" s="18" t="inlineStr">
        <is>
          <t>Semana 4 - fevereiro</t>
        </is>
      </c>
      <c r="B360" s="27">
        <f>YEAR(E360)</f>
        <v/>
      </c>
      <c r="C360" s="18">
        <f>INDEX({"Janeiro";"Fevereiro";"Março";"Abril";"Maio";"Junho";"Julho";"Agosto";"Setembro";"Outubro";"Novembro";"Dezembro"},Q360)</f>
        <v/>
      </c>
      <c r="D360" s="19" t="n">
        <v>4</v>
      </c>
      <c r="E360" s="20" t="n">
        <v>46075</v>
      </c>
      <c r="F360" s="18" t="inlineStr">
        <is>
          <t>Manteiga 500g</t>
        </is>
      </c>
      <c r="G360" s="18" t="inlineStr">
        <is>
          <t>MANTEIGA</t>
        </is>
      </c>
      <c r="H360" s="21" t="n">
        <v>0.5</v>
      </c>
      <c r="I360" s="36" t="n">
        <v>1100</v>
      </c>
      <c r="J360" s="21">
        <f>I360*H360</f>
        <v/>
      </c>
      <c r="K360" s="21">
        <f>IFERROR(IF(J360/P360&gt;1,P360,J360),0)</f>
        <v/>
      </c>
      <c r="L360" s="36" t="n">
        <v>1030</v>
      </c>
      <c r="M360" s="21">
        <f>L360*H360</f>
        <v/>
      </c>
      <c r="N360" s="21">
        <f>IFERROR(IF(M360/K360&gt;1,K360,M360),0)</f>
        <v/>
      </c>
      <c r="O360" s="36" t="n">
        <v>0</v>
      </c>
      <c r="P360" s="21">
        <f>O360*H360</f>
        <v/>
      </c>
      <c r="Q360" s="30">
        <f>IF(MONTH(E360+1)=MONTH(E360+6),MONTH(E360+1),IF(MIN(EOMONTH(E360+1,0),E360+6)-(E360+1)+1&gt;=3,MONTH(E360+1),MONTH(E360+6)))</f>
        <v/>
      </c>
      <c r="R360" s="22">
        <f>IFERROR(K360/P360, 0)</f>
        <v/>
      </c>
      <c r="S360" s="38">
        <f>IFERROR(N360/P360,0)</f>
        <v/>
      </c>
      <c r="T360" s="31">
        <f>IFERROR(IF(N360&gt;0,(N360/K360),MIN(1,M360/J360)),0)</f>
        <v/>
      </c>
      <c r="U360" s="33" t="n"/>
    </row>
    <row r="361" hidden="1" s="40">
      <c r="A361" s="23" t="inlineStr">
        <is>
          <t>Semana 4 - fevereiro</t>
        </is>
      </c>
      <c r="B361" s="27">
        <f>YEAR(E361)</f>
        <v/>
      </c>
      <c r="C361" s="18">
        <f>INDEX({"Janeiro";"Fevereiro";"Março";"Abril";"Maio";"Junho";"Julho";"Agosto";"Setembro";"Outubro";"Novembro";"Dezembro"},Q361)</f>
        <v/>
      </c>
      <c r="D361" s="24" t="n">
        <v>4</v>
      </c>
      <c r="E361" s="25" t="n">
        <v>46075</v>
      </c>
      <c r="F361" s="23" t="inlineStr">
        <is>
          <t>QUEIJO MINAS MEIA CURA (FRACIONADO)</t>
        </is>
      </c>
      <c r="G361" s="23" t="inlineStr">
        <is>
          <t>QUEIJO</t>
        </is>
      </c>
      <c r="H361" s="26" t="n">
        <v>1</v>
      </c>
      <c r="I361" s="36" t="n">
        <v>0</v>
      </c>
      <c r="J361" s="21">
        <f>I361*H361</f>
        <v/>
      </c>
      <c r="K361" s="21">
        <f>IFERROR(IF(J361/P361&gt;1,P361,J361),0)</f>
        <v/>
      </c>
      <c r="L361" s="36" t="n">
        <v>0</v>
      </c>
      <c r="M361" s="21">
        <f>L361*H361</f>
        <v/>
      </c>
      <c r="N361" s="21">
        <f>IFERROR(IF(M361/K361&gt;1,K361,M361),0)</f>
        <v/>
      </c>
      <c r="O361" s="36" t="n">
        <v>200</v>
      </c>
      <c r="P361" s="21">
        <f>O361*H361</f>
        <v/>
      </c>
      <c r="Q361" s="30">
        <f>IF(MONTH(E361+1)=MONTH(E361+6),MONTH(E361+1),IF(MIN(EOMONTH(E361+1,0),E361+6)-(E361+1)+1&gt;=3,MONTH(E361+1),MONTH(E361+6)))</f>
        <v/>
      </c>
      <c r="R361" s="22">
        <f>IFERROR(K361/P361, 0)</f>
        <v/>
      </c>
      <c r="S361" s="38">
        <f>IFERROR(N361/P361,0)</f>
        <v/>
      </c>
      <c r="T361" s="31">
        <f>IFERROR(IF(N361&gt;0,(N361/K361),MIN(1,M361/J361)),0)</f>
        <v/>
      </c>
      <c r="U361" s="33" t="n"/>
    </row>
    <row r="362" hidden="1" s="40">
      <c r="A362" s="18" t="inlineStr">
        <is>
          <t>Semana 4 - fevereiro</t>
        </is>
      </c>
      <c r="B362" s="27">
        <f>YEAR(E362)</f>
        <v/>
      </c>
      <c r="C362" s="18">
        <f>INDEX({"Janeiro";"Fevereiro";"Março";"Abril";"Maio";"Junho";"Julho";"Agosto";"Setembro";"Outubro";"Novembro";"Dezembro"},Q362)</f>
        <v/>
      </c>
      <c r="D362" s="19" t="n">
        <v>4</v>
      </c>
      <c r="E362" s="20" t="n">
        <v>46075</v>
      </c>
      <c r="F362" s="18" t="inlineStr">
        <is>
          <t>QUEIJO MINAS MEIA CURA (INTEIRO)</t>
        </is>
      </c>
      <c r="G362" s="18" t="inlineStr">
        <is>
          <t>QUEIJO</t>
        </is>
      </c>
      <c r="H362" s="21" t="n">
        <v>1</v>
      </c>
      <c r="I362" s="36" t="n">
        <v>200</v>
      </c>
      <c r="J362" s="21">
        <f>I362*H362</f>
        <v/>
      </c>
      <c r="K362" s="21">
        <f>IFERROR(IF(J362/P362&gt;1,P362,J362),0)</f>
        <v/>
      </c>
      <c r="L362" s="36" t="n">
        <v>200</v>
      </c>
      <c r="M362" s="21">
        <f>L362*H362</f>
        <v/>
      </c>
      <c r="N362" s="21">
        <f>IFERROR(IF(M362/K362&gt;1,K362,M362),0)</f>
        <v/>
      </c>
      <c r="O362" s="36" t="n">
        <v>200</v>
      </c>
      <c r="P362" s="21">
        <f>O362*H362</f>
        <v/>
      </c>
      <c r="Q362" s="30">
        <f>IF(MONTH(E362+1)=MONTH(E362+6),MONTH(E362+1),IF(MIN(EOMONTH(E362+1,0),E362+6)-(E362+1)+1&gt;=3,MONTH(E362+1),MONTH(E362+6)))</f>
        <v/>
      </c>
      <c r="R362" s="22">
        <f>IFERROR(K362/P362, 0)</f>
        <v/>
      </c>
      <c r="S362" s="38">
        <f>IFERROR(N362/P362,0)</f>
        <v/>
      </c>
      <c r="T362" s="31">
        <f>IFERROR(IF(N362&gt;0,(N362/K362),MIN(1,M362/J362)),0)</f>
        <v/>
      </c>
      <c r="U362" s="33" t="n"/>
    </row>
    <row r="363" hidden="1" s="40">
      <c r="A363" s="23" t="inlineStr">
        <is>
          <t>Semana 4 - fevereiro</t>
        </is>
      </c>
      <c r="B363" s="27">
        <f>YEAR(E363)</f>
        <v/>
      </c>
      <c r="C363" s="18">
        <f>INDEX({"Janeiro";"Fevereiro";"Março";"Abril";"Maio";"Junho";"Julho";"Agosto";"Setembro";"Outubro";"Novembro";"Dezembro"},Q363)</f>
        <v/>
      </c>
      <c r="D363" s="24" t="n">
        <v>4</v>
      </c>
      <c r="E363" s="25" t="n">
        <v>46075</v>
      </c>
      <c r="F363" s="23" t="inlineStr">
        <is>
          <t xml:space="preserve">QUEIJO MINAS PADRÃO VIÇOSA FRACIONADO </t>
        </is>
      </c>
      <c r="G363" s="23" t="inlineStr">
        <is>
          <t>QUEIJO</t>
        </is>
      </c>
      <c r="H363" s="26" t="n">
        <v>1</v>
      </c>
      <c r="I363" s="36" t="n">
        <v>400</v>
      </c>
      <c r="J363" s="21">
        <f>I363*H363</f>
        <v/>
      </c>
      <c r="K363" s="21">
        <f>IFERROR(IF(J363/P363&gt;1,P363,J363),0)</f>
        <v/>
      </c>
      <c r="L363" s="36" t="n">
        <v>400</v>
      </c>
      <c r="M363" s="21">
        <f>L363*H363</f>
        <v/>
      </c>
      <c r="N363" s="21">
        <f>IFERROR(IF(M363/K363&gt;1,K363,M363),0)</f>
        <v/>
      </c>
      <c r="O363" s="36" t="n">
        <v>200</v>
      </c>
      <c r="P363" s="21">
        <f>O363*H363</f>
        <v/>
      </c>
      <c r="Q363" s="30">
        <f>IF(MONTH(E363+1)=MONTH(E363+6),MONTH(E363+1),IF(MIN(EOMONTH(E363+1,0),E363+6)-(E363+1)+1&gt;=3,MONTH(E363+1),MONTH(E363+6)))</f>
        <v/>
      </c>
      <c r="R363" s="22">
        <f>IFERROR(K363/P363, 0)</f>
        <v/>
      </c>
      <c r="S363" s="38">
        <f>IFERROR(N363/P363,0)</f>
        <v/>
      </c>
      <c r="T363" s="31">
        <f>IFERROR(IF(N363&gt;0,(N363/K363),MIN(1,M363/J363)),0)</f>
        <v/>
      </c>
      <c r="U363" s="33" t="n"/>
    </row>
    <row r="364" hidden="1" s="40">
      <c r="A364" s="18" t="inlineStr">
        <is>
          <t>Semana 4 - fevereiro</t>
        </is>
      </c>
      <c r="B364" s="27">
        <f>YEAR(E364)</f>
        <v/>
      </c>
      <c r="C364" s="18">
        <f>INDEX({"Janeiro";"Fevereiro";"Março";"Abril";"Maio";"Junho";"Julho";"Agosto";"Setembro";"Outubro";"Novembro";"Dezembro"},Q364)</f>
        <v/>
      </c>
      <c r="D364" s="19" t="n">
        <v>4</v>
      </c>
      <c r="E364" s="20" t="n">
        <v>46075</v>
      </c>
      <c r="F364" s="18" t="inlineStr">
        <is>
          <t>QUEIJO MUSSARELA 3KG</t>
        </is>
      </c>
      <c r="G364" s="18" t="inlineStr">
        <is>
          <t>QUEIJO</t>
        </is>
      </c>
      <c r="H364" s="21" t="n">
        <v>1</v>
      </c>
      <c r="I364" s="36" t="n">
        <v>0</v>
      </c>
      <c r="J364" s="21">
        <f>I364*H364</f>
        <v/>
      </c>
      <c r="K364" s="21">
        <f>IFERROR(IF(J364/P364&gt;1,P364,J364),0)</f>
        <v/>
      </c>
      <c r="L364" s="36" t="n">
        <v>0</v>
      </c>
      <c r="M364" s="21">
        <f>L364*H364</f>
        <v/>
      </c>
      <c r="N364" s="21">
        <f>IFERROR(IF(M364/K364&gt;1,K364,M364),0)</f>
        <v/>
      </c>
      <c r="O364" s="36" t="n">
        <v>500</v>
      </c>
      <c r="P364" s="21">
        <f>O364*H364</f>
        <v/>
      </c>
      <c r="Q364" s="30">
        <f>IF(MONTH(E364+1)=MONTH(E364+6),MONTH(E364+1),IF(MIN(EOMONTH(E364+1,0),E364+6)-(E364+1)+1&gt;=3,MONTH(E364+1),MONTH(E364+6)))</f>
        <v/>
      </c>
      <c r="R364" s="22">
        <f>IFERROR(K364/P364, 0)</f>
        <v/>
      </c>
      <c r="S364" s="38">
        <f>IFERROR(N364/P364,0)</f>
        <v/>
      </c>
      <c r="T364" s="31">
        <f>IFERROR(IF(N364&gt;0,(N364/K364),MIN(1,M364/J364)),0)</f>
        <v/>
      </c>
      <c r="U364" s="33" t="n"/>
    </row>
    <row r="365" hidden="1" s="40">
      <c r="A365" s="23" t="inlineStr">
        <is>
          <t>Semana 4 - fevereiro</t>
        </is>
      </c>
      <c r="B365" s="27">
        <f>YEAR(E365)</f>
        <v/>
      </c>
      <c r="C365" s="18">
        <f>INDEX({"Janeiro";"Fevereiro";"Março";"Abril";"Maio";"Junho";"Julho";"Agosto";"Setembro";"Outubro";"Novembro";"Dezembro"},Q365)</f>
        <v/>
      </c>
      <c r="D365" s="24" t="n">
        <v>4</v>
      </c>
      <c r="E365" s="25" t="n">
        <v>46075</v>
      </c>
      <c r="F365" s="23" t="inlineStr">
        <is>
          <t>QUEIJO MUSSARELA LANCHE</t>
        </is>
      </c>
      <c r="G365" s="23" t="inlineStr">
        <is>
          <t>QUEIJO</t>
        </is>
      </c>
      <c r="H365" s="26" t="n">
        <v>1</v>
      </c>
      <c r="I365" s="36" t="n">
        <v>0</v>
      </c>
      <c r="J365" s="21">
        <f>I365*H365</f>
        <v/>
      </c>
      <c r="K365" s="21">
        <f>IFERROR(IF(J365/P365&gt;1,P365,J365),0)</f>
        <v/>
      </c>
      <c r="L365" s="36" t="n">
        <v>0</v>
      </c>
      <c r="M365" s="21">
        <f>L365*H365</f>
        <v/>
      </c>
      <c r="N365" s="21">
        <f>IFERROR(IF(M365/K365&gt;1,K365,M365),0)</f>
        <v/>
      </c>
      <c r="O365" s="36" t="n">
        <v>200</v>
      </c>
      <c r="P365" s="21">
        <f>O365*H365</f>
        <v/>
      </c>
      <c r="Q365" s="30">
        <f>IF(MONTH(E365+1)=MONTH(E365+6),MONTH(E365+1),IF(MIN(EOMONTH(E365+1,0),E365+6)-(E365+1)+1&gt;=3,MONTH(E365+1),MONTH(E365+6)))</f>
        <v/>
      </c>
      <c r="R365" s="22">
        <f>IFERROR(K365/P365, 0)</f>
        <v/>
      </c>
      <c r="S365" s="38">
        <f>IFERROR(N365/P365,0)</f>
        <v/>
      </c>
      <c r="T365" s="31">
        <f>IFERROR(IF(N365&gt;0,(N365/K365),MIN(1,M365/J365)),0)</f>
        <v/>
      </c>
      <c r="U365" s="33" t="n"/>
    </row>
    <row r="366" hidden="1" s="40">
      <c r="A366" s="18" t="inlineStr">
        <is>
          <t>Semana 4 - fevereiro</t>
        </is>
      </c>
      <c r="B366" s="27">
        <f>YEAR(E366)</f>
        <v/>
      </c>
      <c r="C366" s="18">
        <f>INDEX({"Janeiro";"Fevereiro";"Março";"Abril";"Maio";"Junho";"Julho";"Agosto";"Setembro";"Outubro";"Novembro";"Dezembro"},Q366)</f>
        <v/>
      </c>
      <c r="D366" s="19" t="n">
        <v>4</v>
      </c>
      <c r="E366" s="20" t="n">
        <v>46075</v>
      </c>
      <c r="F366" s="18" t="inlineStr">
        <is>
          <t>REQUEIJÃO VIÇOSA 200g</t>
        </is>
      </c>
      <c r="G366" s="18" t="inlineStr">
        <is>
          <t>REQUEIJÃO</t>
        </is>
      </c>
      <c r="H366" s="21" t="n">
        <v>0.2</v>
      </c>
      <c r="I366" s="36" t="n">
        <v>0</v>
      </c>
      <c r="J366" s="21">
        <f>I366*H366</f>
        <v/>
      </c>
      <c r="K366" s="21">
        <f>IFERROR(IF(J366/P366&gt;1,P366,J366),0)</f>
        <v/>
      </c>
      <c r="L366" s="36" t="n">
        <v>0</v>
      </c>
      <c r="M366" s="21">
        <f>L366*H366</f>
        <v/>
      </c>
      <c r="N366" s="21">
        <f>IFERROR(IF(M366/K366&gt;1,K366,M366),0)</f>
        <v/>
      </c>
      <c r="O366" s="36" t="n">
        <v>3200</v>
      </c>
      <c r="P366" s="21">
        <f>O366*H366</f>
        <v/>
      </c>
      <c r="Q366" s="30">
        <f>IF(MONTH(E366+1)=MONTH(E366+6),MONTH(E366+1),IF(MIN(EOMONTH(E366+1,0),E366+6)-(E366+1)+1&gt;=3,MONTH(E366+1),MONTH(E366+6)))</f>
        <v/>
      </c>
      <c r="R366" s="22">
        <f>IFERROR(K366/P366, 0)</f>
        <v/>
      </c>
      <c r="S366" s="38">
        <f>IFERROR(N366/P366,0)</f>
        <v/>
      </c>
      <c r="T366" s="31">
        <f>IFERROR(IF(N366&gt;0,(N366/K366),MIN(1,M366/J366)),0)</f>
        <v/>
      </c>
      <c r="U366" s="33" t="n"/>
    </row>
    <row r="367" hidden="1" s="40">
      <c r="A367" s="23" t="inlineStr">
        <is>
          <t>Semana 4 - fevereiro</t>
        </is>
      </c>
      <c r="B367" s="27">
        <f>YEAR(E367)</f>
        <v/>
      </c>
      <c r="C367" s="18">
        <f>INDEX({"Janeiro";"Fevereiro";"Março";"Abril";"Maio";"Junho";"Julho";"Agosto";"Setembro";"Outubro";"Novembro";"Dezembro"},Q367)</f>
        <v/>
      </c>
      <c r="D367" s="24" t="n">
        <v>4</v>
      </c>
      <c r="E367" s="25" t="n">
        <v>46075</v>
      </c>
      <c r="F367" s="23" t="inlineStr">
        <is>
          <t>REQUEIJÃO VIÇOSA 400g</t>
        </is>
      </c>
      <c r="G367" s="23" t="inlineStr">
        <is>
          <t>REQUEIJÃO</t>
        </is>
      </c>
      <c r="H367" s="26" t="n">
        <v>0.4</v>
      </c>
      <c r="I367" s="36" t="n">
        <v>0</v>
      </c>
      <c r="J367" s="21">
        <f>I367*H367</f>
        <v/>
      </c>
      <c r="K367" s="21">
        <f>IFERROR(IF(J367/P367&gt;1,P367,J367),0)</f>
        <v/>
      </c>
      <c r="L367" s="36" t="n">
        <v>0</v>
      </c>
      <c r="M367" s="21">
        <f>L367*H367</f>
        <v/>
      </c>
      <c r="N367" s="21">
        <f>IFERROR(IF(M367/K367&gt;1,K367,M367),0)</f>
        <v/>
      </c>
      <c r="O367" s="36" t="n">
        <v>2800</v>
      </c>
      <c r="P367" s="21">
        <f>O367*H367</f>
        <v/>
      </c>
      <c r="Q367" s="30">
        <f>IF(MONTH(E367+1)=MONTH(E367+6),MONTH(E367+1),IF(MIN(EOMONTH(E367+1,0),E367+6)-(E367+1)+1&gt;=3,MONTH(E367+1),MONTH(E367+6)))</f>
        <v/>
      </c>
      <c r="R367" s="22">
        <f>IFERROR(K367/P367, 0)</f>
        <v/>
      </c>
      <c r="S367" s="38">
        <f>IFERROR(N367/P367,0)</f>
        <v/>
      </c>
      <c r="T367" s="31">
        <f>IFERROR(IF(N367&gt;0,(N367/K367),MIN(1,M367/J367)),0)</f>
        <v/>
      </c>
      <c r="U367" s="33" t="n"/>
    </row>
    <row r="368" hidden="1" s="40">
      <c r="A368" s="18" t="inlineStr">
        <is>
          <t>Semana 4 - fevereiro</t>
        </is>
      </c>
      <c r="B368" s="27">
        <f>YEAR(E368)</f>
        <v/>
      </c>
      <c r="C368" s="18">
        <f>INDEX({"Janeiro";"Fevereiro";"Março";"Abril";"Maio";"Junho";"Julho";"Agosto";"Setembro";"Outubro";"Novembro";"Dezembro"},Q368)</f>
        <v/>
      </c>
      <c r="D368" s="19" t="n">
        <v>4</v>
      </c>
      <c r="E368" s="20" t="n">
        <v>46075</v>
      </c>
      <c r="F368" s="18" t="inlineStr">
        <is>
          <t>Requeijão Light 200g</t>
        </is>
      </c>
      <c r="G368" s="18" t="inlineStr">
        <is>
          <t>REQUEIJÃO</t>
        </is>
      </c>
      <c r="H368" s="21" t="n">
        <v>0.2</v>
      </c>
      <c r="I368" s="36" t="n">
        <v>0</v>
      </c>
      <c r="J368" s="21">
        <f>I368*H368</f>
        <v/>
      </c>
      <c r="K368" s="21">
        <f>IFERROR(IF(J368/P368&gt;1,P368,J368),0)</f>
        <v/>
      </c>
      <c r="L368" s="36" t="n">
        <v>0</v>
      </c>
      <c r="M368" s="21">
        <f>L368*H368</f>
        <v/>
      </c>
      <c r="N368" s="21">
        <f>IFERROR(IF(M368/K368&gt;1,K368,M368),0)</f>
        <v/>
      </c>
      <c r="O368" s="36" t="n">
        <v>1200</v>
      </c>
      <c r="P368" s="21">
        <f>O368*H368</f>
        <v/>
      </c>
      <c r="Q368" s="30">
        <f>IF(MONTH(E368+1)=MONTH(E368+6),MONTH(E368+1),IF(MIN(EOMONTH(E368+1,0),E368+6)-(E368+1)+1&gt;=3,MONTH(E368+1),MONTH(E368+6)))</f>
        <v/>
      </c>
      <c r="R368" s="22">
        <f>IFERROR(K368/P368, 0)</f>
        <v/>
      </c>
      <c r="S368" s="38">
        <f>IFERROR(N368/P368,0)</f>
        <v/>
      </c>
      <c r="T368" s="31">
        <f>IFERROR(IF(N368&gt;0,(N368/K368),MIN(1,M368/J368)),0)</f>
        <v/>
      </c>
      <c r="U368" s="33" t="n"/>
    </row>
    <row r="369" hidden="1" s="40">
      <c r="A369" s="23" t="inlineStr">
        <is>
          <t>Semana 4 - fevereiro</t>
        </is>
      </c>
      <c r="B369" s="27">
        <f>YEAR(E369)</f>
        <v/>
      </c>
      <c r="C369" s="18">
        <f>INDEX({"Janeiro";"Fevereiro";"Março";"Abril";"Maio";"Junho";"Julho";"Agosto";"Setembro";"Outubro";"Novembro";"Dezembro"},Q369)</f>
        <v/>
      </c>
      <c r="D369" s="24" t="n">
        <v>4</v>
      </c>
      <c r="E369" s="25" t="n">
        <v>46075</v>
      </c>
      <c r="F369" s="23" t="inlineStr">
        <is>
          <t>Creme de Ricota 200g</t>
        </is>
      </c>
      <c r="G369" s="23" t="inlineStr">
        <is>
          <t>RICOTA</t>
        </is>
      </c>
      <c r="H369" s="26" t="n">
        <v>0.2</v>
      </c>
      <c r="I369" s="36" t="n">
        <v>0</v>
      </c>
      <c r="J369" s="21">
        <f>I369*H369</f>
        <v/>
      </c>
      <c r="K369" s="21">
        <f>IFERROR(IF(J369/P369&gt;1,P369,J369),0)</f>
        <v/>
      </c>
      <c r="L369" s="36" t="n">
        <v>0</v>
      </c>
      <c r="M369" s="21">
        <f>L369*H369</f>
        <v/>
      </c>
      <c r="N369" s="21">
        <f>IFERROR(IF(M369/K369&gt;1,K369,M369),0)</f>
        <v/>
      </c>
      <c r="O369" s="36" t="n">
        <v>1200</v>
      </c>
      <c r="P369" s="21">
        <f>O369*H369</f>
        <v/>
      </c>
      <c r="Q369" s="30">
        <f>IF(MONTH(E369+1)=MONTH(E369+6),MONTH(E369+1),IF(MIN(EOMONTH(E369+1,0),E369+6)-(E369+1)+1&gt;=3,MONTH(E369+1),MONTH(E369+6)))</f>
        <v/>
      </c>
      <c r="R369" s="22">
        <f>IFERROR(K369/P369, 0)</f>
        <v/>
      </c>
      <c r="S369" s="38">
        <f>IFERROR(N369/P369,0)</f>
        <v/>
      </c>
      <c r="T369" s="31">
        <f>IFERROR(IF(N369&gt;0,(N369/K369),MIN(1,M369/J369)),0)</f>
        <v/>
      </c>
      <c r="U369" s="33" t="n"/>
    </row>
    <row r="370" hidden="1" s="40">
      <c r="A370" s="18" t="inlineStr">
        <is>
          <t>Semana 1 - março</t>
        </is>
      </c>
      <c r="B370" s="27">
        <f>YEAR(E370)</f>
        <v/>
      </c>
      <c r="C370" s="18">
        <f>INDEX({"Janeiro";"Fevereiro";"Março";"Abril";"Maio";"Junho";"Julho";"Agosto";"Setembro";"Outubro";"Novembro";"Dezembro"},Q370)</f>
        <v/>
      </c>
      <c r="D370" s="19" t="n">
        <v>1</v>
      </c>
      <c r="E370" s="20" t="n">
        <v>46082</v>
      </c>
      <c r="F370" s="18" t="inlineStr">
        <is>
          <t>Doce de Leite 400g</t>
        </is>
      </c>
      <c r="G370" s="18" t="inlineStr">
        <is>
          <t>DOCE</t>
        </is>
      </c>
      <c r="H370" s="21" t="n">
        <v>0.4</v>
      </c>
      <c r="I370" s="36" t="n">
        <v>18000</v>
      </c>
      <c r="J370" s="21">
        <f>I370*H370</f>
        <v/>
      </c>
      <c r="K370" s="21">
        <f>IFERROR(IF(J370/P370&gt;1,P370,J370),0)</f>
        <v/>
      </c>
      <c r="L370" s="36" t="n">
        <v>18950</v>
      </c>
      <c r="M370" s="21">
        <f>L370*H370</f>
        <v/>
      </c>
      <c r="N370" s="21">
        <f>IFERROR(IF(M370/K370&gt;1,K370,M370),0)</f>
        <v/>
      </c>
      <c r="O370" s="36" t="n">
        <v>18000</v>
      </c>
      <c r="P370" s="21">
        <f>O370*H370</f>
        <v/>
      </c>
      <c r="Q370" s="30">
        <f>IF(MONTH(E370+1)=MONTH(E370+6),MONTH(E370+1),IF(MIN(EOMONTH(E370+1,0),E370+6)-(E370+1)+1&gt;=3,MONTH(E370+1),MONTH(E370+6)))</f>
        <v/>
      </c>
      <c r="R370" s="22">
        <f>IFERROR(K370/P370, 0)</f>
        <v/>
      </c>
      <c r="S370" s="38">
        <f>IFERROR(N370/P370,0)</f>
        <v/>
      </c>
      <c r="T370" s="31">
        <f>IFERROR(IF(N370&gt;0,(N370/K370),MIN(1,M370/J370)),0)</f>
        <v/>
      </c>
      <c r="U370" s="33" t="n"/>
    </row>
    <row r="371" hidden="1" s="40">
      <c r="A371" s="23" t="inlineStr">
        <is>
          <t>Semana 1 - março</t>
        </is>
      </c>
      <c r="B371" s="27">
        <f>YEAR(E371)</f>
        <v/>
      </c>
      <c r="C371" s="18">
        <f>INDEX({"Janeiro";"Fevereiro";"Março";"Abril";"Maio";"Junho";"Julho";"Agosto";"Setembro";"Outubro";"Novembro";"Dezembro"},Q371)</f>
        <v/>
      </c>
      <c r="D371" s="24" t="n">
        <v>1</v>
      </c>
      <c r="E371" s="25" t="n">
        <v>46082</v>
      </c>
      <c r="F371" s="23" t="inlineStr">
        <is>
          <t>Doce de Leite 5kg</t>
        </is>
      </c>
      <c r="G371" s="23" t="inlineStr">
        <is>
          <t>DOCE</t>
        </is>
      </c>
      <c r="H371" s="26" t="n">
        <v>5</v>
      </c>
      <c r="I371" s="36" t="n">
        <v>2790</v>
      </c>
      <c r="J371" s="21">
        <f>I371*H371</f>
        <v/>
      </c>
      <c r="K371" s="21">
        <f>IFERROR(IF(J371/P371&gt;1,P371,J371),0)</f>
        <v/>
      </c>
      <c r="L371" s="36" t="n">
        <v>3912</v>
      </c>
      <c r="M371" s="21">
        <f>L371*H371</f>
        <v/>
      </c>
      <c r="N371" s="21">
        <f>IFERROR(IF(M371/K371&gt;1,K371,M371),0)</f>
        <v/>
      </c>
      <c r="O371" s="36" t="n">
        <v>2790</v>
      </c>
      <c r="P371" s="21">
        <f>O371*H371</f>
        <v/>
      </c>
      <c r="Q371" s="30">
        <f>IF(MONTH(E371+1)=MONTH(E371+6),MONTH(E371+1),IF(MIN(EOMONTH(E371+1,0),E371+6)-(E371+1)+1&gt;=3,MONTH(E371+1),MONTH(E371+6)))</f>
        <v/>
      </c>
      <c r="R371" s="22">
        <f>IFERROR(K371/P371, 0)</f>
        <v/>
      </c>
      <c r="S371" s="38">
        <f>IFERROR(N371/P371,0)</f>
        <v/>
      </c>
      <c r="T371" s="31">
        <f>IFERROR(IF(N371&gt;0,(N371/K371),MIN(1,M371/J371)),0)</f>
        <v/>
      </c>
      <c r="U371" s="33" t="n"/>
    </row>
    <row r="372" hidden="1" s="40">
      <c r="A372" s="18" t="inlineStr">
        <is>
          <t>Semana 1 - março</t>
        </is>
      </c>
      <c r="B372" s="27">
        <f>YEAR(E372)</f>
        <v/>
      </c>
      <c r="C372" s="18">
        <f>INDEX({"Janeiro";"Fevereiro";"Março";"Abril";"Maio";"Junho";"Julho";"Agosto";"Setembro";"Outubro";"Novembro";"Dezembro"},Q372)</f>
        <v/>
      </c>
      <c r="D372" s="19" t="n">
        <v>1</v>
      </c>
      <c r="E372" s="20" t="n">
        <v>46082</v>
      </c>
      <c r="F372" s="18" t="inlineStr">
        <is>
          <t>Doce de Leite 5kg - Bombeável</t>
        </is>
      </c>
      <c r="G372" s="18" t="inlineStr">
        <is>
          <t>DOCE</t>
        </is>
      </c>
      <c r="H372" s="21" t="n">
        <v>5</v>
      </c>
      <c r="I372" s="36" t="n">
        <v>0</v>
      </c>
      <c r="J372" s="21">
        <f>I372*H372</f>
        <v/>
      </c>
      <c r="K372" s="21">
        <f>IFERROR(IF(J372/P372&gt;1,P372,J372),0)</f>
        <v/>
      </c>
      <c r="L372" s="36" t="n">
        <v>0</v>
      </c>
      <c r="M372" s="21">
        <f>L372*H372</f>
        <v/>
      </c>
      <c r="N372" s="21">
        <f>IFERROR(IF(M372/K372&gt;1,K372,M372),0)</f>
        <v/>
      </c>
      <c r="O372" s="36" t="n">
        <v>0</v>
      </c>
      <c r="P372" s="21">
        <f>O372*H372</f>
        <v/>
      </c>
      <c r="Q372" s="30">
        <f>IF(MONTH(E372+1)=MONTH(E372+6),MONTH(E372+1),IF(MIN(EOMONTH(E372+1,0),E372+6)-(E372+1)+1&gt;=3,MONTH(E372+1),MONTH(E372+6)))</f>
        <v/>
      </c>
      <c r="R372" s="22">
        <f>IFERROR(K372/P372, 0)</f>
        <v/>
      </c>
      <c r="S372" s="38">
        <f>IFERROR(N372/P372,0)</f>
        <v/>
      </c>
      <c r="T372" s="31">
        <f>IFERROR(IF(N372&gt;0,(N372/K372),MIN(1,M372/J372)),0)</f>
        <v/>
      </c>
      <c r="U372" s="33" t="n"/>
    </row>
    <row r="373" hidden="1" s="40">
      <c r="A373" s="23" t="inlineStr">
        <is>
          <t>Semana 1 - março</t>
        </is>
      </c>
      <c r="B373" s="27">
        <f>YEAR(E373)</f>
        <v/>
      </c>
      <c r="C373" s="18">
        <f>INDEX({"Janeiro";"Fevereiro";"Março";"Abril";"Maio";"Junho";"Julho";"Agosto";"Setembro";"Outubro";"Novembro";"Dezembro"},Q373)</f>
        <v/>
      </c>
      <c r="D373" s="24" t="n">
        <v>1</v>
      </c>
      <c r="E373" s="25" t="n">
        <v>46082</v>
      </c>
      <c r="F373" s="23" t="inlineStr">
        <is>
          <t>Doce de Leite 5kg - Forneável</t>
        </is>
      </c>
      <c r="G373" s="23" t="inlineStr">
        <is>
          <t>DOCE</t>
        </is>
      </c>
      <c r="H373" s="26" t="n">
        <v>5</v>
      </c>
      <c r="I373" s="36" t="n">
        <v>0</v>
      </c>
      <c r="J373" s="21">
        <f>I373*H373</f>
        <v/>
      </c>
      <c r="K373" s="21">
        <f>IFERROR(IF(J373/P373&gt;1,P373,J373),0)</f>
        <v/>
      </c>
      <c r="L373" s="36" t="n">
        <v>0</v>
      </c>
      <c r="M373" s="21">
        <f>L373*H373</f>
        <v/>
      </c>
      <c r="N373" s="21">
        <f>IFERROR(IF(M373/K373&gt;1,K373,M373),0)</f>
        <v/>
      </c>
      <c r="O373" s="36" t="n">
        <v>0</v>
      </c>
      <c r="P373" s="21">
        <f>O373*H373</f>
        <v/>
      </c>
      <c r="Q373" s="30">
        <f>IF(MONTH(E373+1)=MONTH(E373+6),MONTH(E373+1),IF(MIN(EOMONTH(E373+1,0),E373+6)-(E373+1)+1&gt;=3,MONTH(E373+1),MONTH(E373+6)))</f>
        <v/>
      </c>
      <c r="R373" s="22">
        <f>IFERROR(K373/P373, 0)</f>
        <v/>
      </c>
      <c r="S373" s="38">
        <f>IFERROR(N373/P373,0)</f>
        <v/>
      </c>
      <c r="T373" s="31">
        <f>IFERROR(IF(N373&gt;0,(N373/K373),MIN(1,M373/J373)),0)</f>
        <v/>
      </c>
      <c r="U373" s="33" t="n"/>
    </row>
    <row r="374" hidden="1" s="40">
      <c r="A374" s="18" t="inlineStr">
        <is>
          <t>Semana 1 - março</t>
        </is>
      </c>
      <c r="B374" s="27">
        <f>YEAR(E374)</f>
        <v/>
      </c>
      <c r="C374" s="18">
        <f>INDEX({"Janeiro";"Fevereiro";"Março";"Abril";"Maio";"Junho";"Julho";"Agosto";"Setembro";"Outubro";"Novembro";"Dezembro"},Q374)</f>
        <v/>
      </c>
      <c r="D374" s="19" t="n">
        <v>1</v>
      </c>
      <c r="E374" s="20" t="n">
        <v>46082</v>
      </c>
      <c r="F374" s="18" t="inlineStr">
        <is>
          <t>Doce de Leite 800g</t>
        </is>
      </c>
      <c r="G374" s="18" t="inlineStr">
        <is>
          <t>DOCE</t>
        </is>
      </c>
      <c r="H374" s="21" t="n">
        <v>0.8</v>
      </c>
      <c r="I374" s="36" t="n">
        <v>27000</v>
      </c>
      <c r="J374" s="21">
        <f>I374*H374</f>
        <v/>
      </c>
      <c r="K374" s="21">
        <f>IFERROR(IF(J374/P374&gt;1,P374,J374),0)</f>
        <v/>
      </c>
      <c r="L374" s="36" t="n">
        <v>26681</v>
      </c>
      <c r="M374" s="21">
        <f>L374*H374</f>
        <v/>
      </c>
      <c r="N374" s="21">
        <f>IFERROR(IF(M374/K374&gt;1,K374,M374),0)</f>
        <v/>
      </c>
      <c r="O374" s="36" t="n">
        <v>24000</v>
      </c>
      <c r="P374" s="21">
        <f>O374*H374</f>
        <v/>
      </c>
      <c r="Q374" s="30">
        <f>IF(MONTH(E374+1)=MONTH(E374+6),MONTH(E374+1),IF(MIN(EOMONTH(E374+1,0),E374+6)-(E374+1)+1&gt;=3,MONTH(E374+1),MONTH(E374+6)))</f>
        <v/>
      </c>
      <c r="R374" s="22">
        <f>IFERROR(K374/P374, 0)</f>
        <v/>
      </c>
      <c r="S374" s="38">
        <f>IFERROR(N374/P374,0)</f>
        <v/>
      </c>
      <c r="T374" s="31">
        <f>IFERROR(IF(N374&gt;0,(N374/K374),MIN(1,M374/J374)),0)</f>
        <v/>
      </c>
      <c r="U374" s="33" t="n"/>
    </row>
    <row r="375" hidden="1" s="40">
      <c r="A375" s="23" t="inlineStr">
        <is>
          <t>Semana 1 - março</t>
        </is>
      </c>
      <c r="B375" s="27">
        <f>YEAR(E375)</f>
        <v/>
      </c>
      <c r="C375" s="18">
        <f>INDEX({"Janeiro";"Fevereiro";"Março";"Abril";"Maio";"Junho";"Julho";"Agosto";"Setembro";"Outubro";"Novembro";"Dezembro"},Q375)</f>
        <v/>
      </c>
      <c r="D375" s="24" t="n">
        <v>1</v>
      </c>
      <c r="E375" s="25" t="n">
        <v>46082</v>
      </c>
      <c r="F375" s="23" t="inlineStr">
        <is>
          <t>Doce de Leite Cacau 400g</t>
        </is>
      </c>
      <c r="G375" s="23" t="inlineStr">
        <is>
          <t>DOCE</t>
        </is>
      </c>
      <c r="H375" s="26" t="n">
        <v>0.4</v>
      </c>
      <c r="I375" s="36" t="n">
        <v>0</v>
      </c>
      <c r="J375" s="21">
        <f>I375*H375</f>
        <v/>
      </c>
      <c r="K375" s="21">
        <f>IFERROR(IF(J375/P375&gt;1,P375,J375),0)</f>
        <v/>
      </c>
      <c r="L375" s="36" t="n">
        <v>0</v>
      </c>
      <c r="M375" s="21">
        <f>L375*H375</f>
        <v/>
      </c>
      <c r="N375" s="21">
        <f>IFERROR(IF(M375/K375&gt;1,K375,M375),0)</f>
        <v/>
      </c>
      <c r="O375" s="36" t="n">
        <v>0</v>
      </c>
      <c r="P375" s="21">
        <f>O375*H375</f>
        <v/>
      </c>
      <c r="Q375" s="30">
        <f>IF(MONTH(E375+1)=MONTH(E375+6),MONTH(E375+1),IF(MIN(EOMONTH(E375+1,0),E375+6)-(E375+1)+1&gt;=3,MONTH(E375+1),MONTH(E375+6)))</f>
        <v/>
      </c>
      <c r="R375" s="22">
        <f>IFERROR(K375/P375, 0)</f>
        <v/>
      </c>
      <c r="S375" s="38">
        <f>IFERROR(N375/P375,0)</f>
        <v/>
      </c>
      <c r="T375" s="31">
        <f>IFERROR(IF(N375&gt;0,(N375/K375),MIN(1,M375/J375)),0)</f>
        <v/>
      </c>
      <c r="U375" s="33" t="n"/>
    </row>
    <row r="376" hidden="1" s="40">
      <c r="A376" s="18" t="inlineStr">
        <is>
          <t>Semana 1 - março</t>
        </is>
      </c>
      <c r="B376" s="27">
        <f>YEAR(E376)</f>
        <v/>
      </c>
      <c r="C376" s="18">
        <f>INDEX({"Janeiro";"Fevereiro";"Março";"Abril";"Maio";"Junho";"Julho";"Agosto";"Setembro";"Outubro";"Novembro";"Dezembro"},Q376)</f>
        <v/>
      </c>
      <c r="D376" s="19" t="n">
        <v>1</v>
      </c>
      <c r="E376" s="20" t="n">
        <v>46082</v>
      </c>
      <c r="F376" s="18" t="inlineStr">
        <is>
          <t>Doce de Leite Cacau 5kg - Bombeável</t>
        </is>
      </c>
      <c r="G376" s="18" t="inlineStr">
        <is>
          <t>DOCE</t>
        </is>
      </c>
      <c r="H376" s="21" t="n">
        <v>5</v>
      </c>
      <c r="I376" s="36" t="n">
        <v>0</v>
      </c>
      <c r="J376" s="21">
        <f>I376*H376</f>
        <v/>
      </c>
      <c r="K376" s="21">
        <f>IFERROR(IF(J376/P376&gt;1,P376,J376),0)</f>
        <v/>
      </c>
      <c r="L376" s="36" t="n">
        <v>0</v>
      </c>
      <c r="M376" s="21">
        <f>L376*H376</f>
        <v/>
      </c>
      <c r="N376" s="21">
        <f>IFERROR(IF(M376/K376&gt;1,K376,M376),0)</f>
        <v/>
      </c>
      <c r="O376" s="36" t="n">
        <v>0</v>
      </c>
      <c r="P376" s="21">
        <f>O376*H376</f>
        <v/>
      </c>
      <c r="Q376" s="30">
        <f>IF(MONTH(E376+1)=MONTH(E376+6),MONTH(E376+1),IF(MIN(EOMONTH(E376+1,0),E376+6)-(E376+1)+1&gt;=3,MONTH(E376+1),MONTH(E376+6)))</f>
        <v/>
      </c>
      <c r="R376" s="22">
        <f>IFERROR(K376/P376, 0)</f>
        <v/>
      </c>
      <c r="S376" s="38">
        <f>IFERROR(N376/P376,0)</f>
        <v/>
      </c>
      <c r="T376" s="31">
        <f>IFERROR(IF(N376&gt;0,(N376/K376),MIN(1,M376/J376)),0)</f>
        <v/>
      </c>
      <c r="U376" s="33" t="n"/>
    </row>
    <row r="377" hidden="1" s="40">
      <c r="A377" s="23" t="inlineStr">
        <is>
          <t>Semana 1 - março</t>
        </is>
      </c>
      <c r="B377" s="27">
        <f>YEAR(E377)</f>
        <v/>
      </c>
      <c r="C377" s="18">
        <f>INDEX({"Janeiro";"Fevereiro";"Março";"Abril";"Maio";"Junho";"Julho";"Agosto";"Setembro";"Outubro";"Novembro";"Dezembro"},Q377)</f>
        <v/>
      </c>
      <c r="D377" s="24" t="n">
        <v>1</v>
      </c>
      <c r="E377" s="25" t="n">
        <v>46082</v>
      </c>
      <c r="F377" s="23" t="inlineStr">
        <is>
          <t>Doce de Leite Cacau 5kg - FOOD</t>
        </is>
      </c>
      <c r="G377" s="23" t="inlineStr">
        <is>
          <t>DOCE</t>
        </is>
      </c>
      <c r="H377" s="26" t="n">
        <v>5</v>
      </c>
      <c r="I377" s="36" t="n">
        <v>465</v>
      </c>
      <c r="J377" s="21">
        <f>I377*H377</f>
        <v/>
      </c>
      <c r="K377" s="21">
        <f>IFERROR(IF(J377/P377&gt;1,P377,J377),0)</f>
        <v/>
      </c>
      <c r="L377" s="36" t="n">
        <v>492</v>
      </c>
      <c r="M377" s="21">
        <f>L377*H377</f>
        <v/>
      </c>
      <c r="N377" s="21">
        <f>IFERROR(IF(M377/K377&gt;1,K377,M377),0)</f>
        <v/>
      </c>
      <c r="O377" s="36" t="n">
        <v>465</v>
      </c>
      <c r="P377" s="21">
        <f>O377*H377</f>
        <v/>
      </c>
      <c r="Q377" s="30">
        <f>IF(MONTH(E377+1)=MONTH(E377+6),MONTH(E377+1),IF(MIN(EOMONTH(E377+1,0),E377+6)-(E377+1)+1&gt;=3,MONTH(E377+1),MONTH(E377+6)))</f>
        <v/>
      </c>
      <c r="R377" s="22">
        <f>IFERROR(K377/P377, 0)</f>
        <v/>
      </c>
      <c r="S377" s="38">
        <f>IFERROR(N377/P377,0)</f>
        <v/>
      </c>
      <c r="T377" s="31">
        <f>IFERROR(IF(N377&gt;0,(N377/K377),MIN(1,M377/J377)),0)</f>
        <v/>
      </c>
      <c r="U377" s="33" t="n"/>
    </row>
    <row r="378" hidden="1" s="40">
      <c r="A378" s="18" t="inlineStr">
        <is>
          <t>Semana 1 - março</t>
        </is>
      </c>
      <c r="B378" s="27">
        <f>YEAR(E378)</f>
        <v/>
      </c>
      <c r="C378" s="18">
        <f>INDEX({"Janeiro";"Fevereiro";"Março";"Abril";"Maio";"Junho";"Julho";"Agosto";"Setembro";"Outubro";"Novembro";"Dezembro"},Q378)</f>
        <v/>
      </c>
      <c r="D378" s="19" t="n">
        <v>1</v>
      </c>
      <c r="E378" s="20" t="n">
        <v>46082</v>
      </c>
      <c r="F378" s="18" t="inlineStr">
        <is>
          <t>Doce de Leite c/ Café 400</t>
        </is>
      </c>
      <c r="G378" s="18" t="inlineStr">
        <is>
          <t>DOCE</t>
        </is>
      </c>
      <c r="H378" s="21" t="n">
        <v>0.4</v>
      </c>
      <c r="I378" s="36" t="n">
        <v>0</v>
      </c>
      <c r="J378" s="21">
        <f>I378*H378</f>
        <v/>
      </c>
      <c r="K378" s="21">
        <f>IFERROR(IF(J378/P378&gt;1,P378,J378),0)</f>
        <v/>
      </c>
      <c r="L378" s="36" t="n">
        <v>5937</v>
      </c>
      <c r="M378" s="21">
        <f>L378*H378</f>
        <v/>
      </c>
      <c r="N378" s="21">
        <f>IFERROR(IF(M378/K378&gt;1,K378,M378),0)</f>
        <v/>
      </c>
      <c r="O378" s="36" t="n">
        <v>6000</v>
      </c>
      <c r="P378" s="21">
        <f>O378*H378</f>
        <v/>
      </c>
      <c r="Q378" s="30">
        <f>IF(MONTH(E378+1)=MONTH(E378+6),MONTH(E378+1),IF(MIN(EOMONTH(E378+1,0),E378+6)-(E378+1)+1&gt;=3,MONTH(E378+1),MONTH(E378+6)))</f>
        <v/>
      </c>
      <c r="R378" s="22">
        <f>IFERROR(K378/P378, 0)</f>
        <v/>
      </c>
      <c r="S378" s="38">
        <f>IFERROR(N378/P378,0)</f>
        <v/>
      </c>
      <c r="T378" s="31">
        <f>IFERROR(IF(N378&gt;0,(N378/K378),MIN(1,M378/J378)),0)</f>
        <v/>
      </c>
      <c r="U378" s="33" t="n"/>
    </row>
    <row r="379" hidden="1" s="40">
      <c r="A379" s="23" t="inlineStr">
        <is>
          <t>Semana 1 - março</t>
        </is>
      </c>
      <c r="B379" s="27">
        <f>YEAR(E379)</f>
        <v/>
      </c>
      <c r="C379" s="18">
        <f>INDEX({"Janeiro";"Fevereiro";"Março";"Abril";"Maio";"Junho";"Julho";"Agosto";"Setembro";"Outubro";"Novembro";"Dezembro"},Q379)</f>
        <v/>
      </c>
      <c r="D379" s="24" t="n">
        <v>1</v>
      </c>
      <c r="E379" s="25" t="n">
        <v>46082</v>
      </c>
      <c r="F379" s="23" t="inlineStr">
        <is>
          <t>Doce de Leite c/ Café 5kg</t>
        </is>
      </c>
      <c r="G379" s="23" t="inlineStr">
        <is>
          <t>DOCE</t>
        </is>
      </c>
      <c r="H379" s="26" t="n">
        <v>5</v>
      </c>
      <c r="I379" s="36" t="n">
        <v>0</v>
      </c>
      <c r="J379" s="21">
        <f>I379*H379</f>
        <v/>
      </c>
      <c r="K379" s="21">
        <f>IFERROR(IF(J379/P379&gt;1,P379,J379),0)</f>
        <v/>
      </c>
      <c r="L379" s="36" t="n">
        <v>0</v>
      </c>
      <c r="M379" s="21">
        <f>L379*H379</f>
        <v/>
      </c>
      <c r="N379" s="21">
        <f>IFERROR(IF(M379/K379&gt;1,K379,M379),0)</f>
        <v/>
      </c>
      <c r="O379" s="36" t="n">
        <v>0</v>
      </c>
      <c r="P379" s="21">
        <f>O379*H379</f>
        <v/>
      </c>
      <c r="Q379" s="30">
        <f>IF(MONTH(E379+1)=MONTH(E379+6),MONTH(E379+1),IF(MIN(EOMONTH(E379+1,0),E379+6)-(E379+1)+1&gt;=3,MONTH(E379+1),MONTH(E379+6)))</f>
        <v/>
      </c>
      <c r="R379" s="22">
        <f>IFERROR(K379/P379, 0)</f>
        <v/>
      </c>
      <c r="S379" s="38">
        <f>IFERROR(N379/P379,0)</f>
        <v/>
      </c>
      <c r="T379" s="31">
        <f>IFERROR(IF(N379&gt;0,(N379/K379),MIN(1,M379/J379)),0)</f>
        <v/>
      </c>
      <c r="U379" s="33" t="n"/>
    </row>
    <row r="380" hidden="1" s="40">
      <c r="A380" s="18" t="inlineStr">
        <is>
          <t>Semana 1 - março</t>
        </is>
      </c>
      <c r="B380" s="27">
        <f>YEAR(E380)</f>
        <v/>
      </c>
      <c r="C380" s="18">
        <f>INDEX({"Janeiro";"Fevereiro";"Março";"Abril";"Maio";"Junho";"Julho";"Agosto";"Setembro";"Outubro";"Novembro";"Dezembro"},Q380)</f>
        <v/>
      </c>
      <c r="D380" s="19" t="n">
        <v>1</v>
      </c>
      <c r="E380" s="20" t="n">
        <v>46082</v>
      </c>
      <c r="F380" s="18" t="inlineStr">
        <is>
          <t>Doce de Leite c/ coco 400</t>
        </is>
      </c>
      <c r="G380" s="18" t="inlineStr">
        <is>
          <t>DOCE</t>
        </is>
      </c>
      <c r="H380" s="21" t="n">
        <v>0.4</v>
      </c>
      <c r="I380" s="36" t="n">
        <v>0</v>
      </c>
      <c r="J380" s="21">
        <f>I380*H380</f>
        <v/>
      </c>
      <c r="K380" s="21">
        <f>IFERROR(IF(J380/P380&gt;1,P380,J380),0)</f>
        <v/>
      </c>
      <c r="L380" s="36" t="n">
        <v>0</v>
      </c>
      <c r="M380" s="21">
        <f>L380*H380</f>
        <v/>
      </c>
      <c r="N380" s="21">
        <f>IFERROR(IF(M380/K380&gt;1,K380,M380),0)</f>
        <v/>
      </c>
      <c r="O380" s="36" t="n">
        <v>0</v>
      </c>
      <c r="P380" s="21">
        <f>O380*H380</f>
        <v/>
      </c>
      <c r="Q380" s="30">
        <f>IF(MONTH(E380+1)=MONTH(E380+6),MONTH(E380+1),IF(MIN(EOMONTH(E380+1,0),E380+6)-(E380+1)+1&gt;=3,MONTH(E380+1),MONTH(E380+6)))</f>
        <v/>
      </c>
      <c r="R380" s="22">
        <f>IFERROR(K380/P380, 0)</f>
        <v/>
      </c>
      <c r="S380" s="38">
        <f>IFERROR(N380/P380,0)</f>
        <v/>
      </c>
      <c r="T380" s="31">
        <f>IFERROR(IF(N380&gt;0,(N380/K380),MIN(1,M380/J380)),0)</f>
        <v/>
      </c>
      <c r="U380" s="33" t="n"/>
    </row>
    <row r="381" hidden="1" s="40">
      <c r="A381" s="23" t="inlineStr">
        <is>
          <t>Semana 1 - março</t>
        </is>
      </c>
      <c r="B381" s="27">
        <f>YEAR(E381)</f>
        <v/>
      </c>
      <c r="C381" s="18">
        <f>INDEX({"Janeiro";"Fevereiro";"Março";"Abril";"Maio";"Junho";"Julho";"Agosto";"Setembro";"Outubro";"Novembro";"Dezembro"},Q381)</f>
        <v/>
      </c>
      <c r="D381" s="24" t="n">
        <v>1</v>
      </c>
      <c r="E381" s="25" t="n">
        <v>46082</v>
      </c>
      <c r="F381" s="23" t="inlineStr">
        <is>
          <t>IOGURTE VIÇOSA MORANGO LIGHT 180g</t>
        </is>
      </c>
      <c r="G381" s="23" t="inlineStr">
        <is>
          <t>IOGURTE</t>
        </is>
      </c>
      <c r="H381" s="26" t="n">
        <v>0.18</v>
      </c>
      <c r="I381" s="36" t="n">
        <v>0</v>
      </c>
      <c r="J381" s="21">
        <f>I381*H381</f>
        <v/>
      </c>
      <c r="K381" s="21">
        <f>IFERROR(IF(J381/P381&gt;1,P381,J381),0)</f>
        <v/>
      </c>
      <c r="L381" s="36" t="n">
        <v>0</v>
      </c>
      <c r="M381" s="21">
        <f>L381*H381</f>
        <v/>
      </c>
      <c r="N381" s="21">
        <f>IFERROR(IF(M381/K381&gt;1,K381,M381),0)</f>
        <v/>
      </c>
      <c r="O381" s="36" t="n">
        <v>0</v>
      </c>
      <c r="P381" s="21">
        <f>O381*H381</f>
        <v/>
      </c>
      <c r="Q381" s="30">
        <f>IF(MONTH(E381+1)=MONTH(E381+6),MONTH(E381+1),IF(MIN(EOMONTH(E381+1,0),E381+6)-(E381+1)+1&gt;=3,MONTH(E381+1),MONTH(E381+6)))</f>
        <v/>
      </c>
      <c r="R381" s="22">
        <f>IFERROR(K381/P381, 0)</f>
        <v/>
      </c>
      <c r="S381" s="38">
        <f>IFERROR(N381/P381,0)</f>
        <v/>
      </c>
      <c r="T381" s="31">
        <f>IFERROR(IF(N381&gt;0,(N381/K381),MIN(1,M381/J381)),0)</f>
        <v/>
      </c>
      <c r="U381" s="33" t="n"/>
    </row>
    <row r="382" hidden="1" s="40">
      <c r="A382" s="18" t="inlineStr">
        <is>
          <t>Semana 1 - março</t>
        </is>
      </c>
      <c r="B382" s="27">
        <f>YEAR(E382)</f>
        <v/>
      </c>
      <c r="C382" s="18">
        <f>INDEX({"Janeiro";"Fevereiro";"Março";"Abril";"Maio";"Junho";"Julho";"Agosto";"Setembro";"Outubro";"Novembro";"Dezembro"},Q382)</f>
        <v/>
      </c>
      <c r="D382" s="19" t="n">
        <v>1</v>
      </c>
      <c r="E382" s="20" t="n">
        <v>46082</v>
      </c>
      <c r="F382" s="18" t="inlineStr">
        <is>
          <t>IOGURTE VIÇOSA MORANGO LIGHT 800g</t>
        </is>
      </c>
      <c r="G382" s="18" t="inlineStr">
        <is>
          <t>IOGURTE</t>
        </is>
      </c>
      <c r="H382" s="21" t="n">
        <v>0.8</v>
      </c>
      <c r="I382" s="36" t="n">
        <v>0</v>
      </c>
      <c r="J382" s="21">
        <f>I382*H382</f>
        <v/>
      </c>
      <c r="K382" s="21">
        <f>IFERROR(IF(J382/P382&gt;1,P382,J382),0)</f>
        <v/>
      </c>
      <c r="L382" s="36" t="n">
        <v>0</v>
      </c>
      <c r="M382" s="21">
        <f>L382*H382</f>
        <v/>
      </c>
      <c r="N382" s="21">
        <f>IFERROR(IF(M382/K382&gt;1,K382,M382),0)</f>
        <v/>
      </c>
      <c r="O382" s="36" t="n">
        <v>0</v>
      </c>
      <c r="P382" s="21">
        <f>O382*H382</f>
        <v/>
      </c>
      <c r="Q382" s="30">
        <f>IF(MONTH(E382+1)=MONTH(E382+6),MONTH(E382+1),IF(MIN(EOMONTH(E382+1,0),E382+6)-(E382+1)+1&gt;=3,MONTH(E382+1),MONTH(E382+6)))</f>
        <v/>
      </c>
      <c r="R382" s="22">
        <f>IFERROR(K382/P382, 0)</f>
        <v/>
      </c>
      <c r="S382" s="38">
        <f>IFERROR(N382/P382,0)</f>
        <v/>
      </c>
      <c r="T382" s="31">
        <f>IFERROR(IF(N382&gt;0,(N382/K382),MIN(1,M382/J382)),0)</f>
        <v/>
      </c>
      <c r="U382" s="33" t="n"/>
    </row>
    <row r="383" hidden="1" s="40">
      <c r="A383" s="18" t="inlineStr">
        <is>
          <t>Semana 1 - março</t>
        </is>
      </c>
      <c r="B383" s="27">
        <f>YEAR(E383)</f>
        <v/>
      </c>
      <c r="C383" s="18">
        <f>INDEX({"Janeiro";"Fevereiro";"Março";"Abril";"Maio";"Junho";"Julho";"Agosto";"Setembro";"Outubro";"Novembro";"Dezembro"},Q383)</f>
        <v/>
      </c>
      <c r="D383" s="19" t="n">
        <v>1</v>
      </c>
      <c r="E383" s="20" t="n">
        <v>46082</v>
      </c>
      <c r="F383" s="18" t="inlineStr">
        <is>
          <t>Iogurte Abacaxi c/ Coco 120g</t>
        </is>
      </c>
      <c r="G383" s="18" t="inlineStr">
        <is>
          <t>IOGURTE</t>
        </is>
      </c>
      <c r="H383" s="21" t="n">
        <v>0.12</v>
      </c>
      <c r="I383" s="36" t="n">
        <v>4000</v>
      </c>
      <c r="J383" s="21">
        <f>I383*H383</f>
        <v/>
      </c>
      <c r="K383" s="21">
        <f>IFERROR(IF(J383/P383&gt;1,P383,J383),0)</f>
        <v/>
      </c>
      <c r="L383" s="36" t="n">
        <v>2160</v>
      </c>
      <c r="M383" s="21">
        <f>L383*H383</f>
        <v/>
      </c>
      <c r="N383" s="21">
        <f>IFERROR(IF(M383/K383&gt;1,K383,M383),0)</f>
        <v/>
      </c>
      <c r="O383" s="36" t="n">
        <v>4000</v>
      </c>
      <c r="P383" s="21">
        <f>O383*H383</f>
        <v/>
      </c>
      <c r="Q383" s="30">
        <f>IF(MONTH(E383+1)=MONTH(E383+6),MONTH(E383+1),IF(MIN(EOMONTH(E383+1,0),E383+6)-(E383+1)+1&gt;=3,MONTH(E383+1),MONTH(E383+6)))</f>
        <v/>
      </c>
      <c r="R383" s="22">
        <f>IFERROR(K383/P383, 0)</f>
        <v/>
      </c>
      <c r="S383" s="38">
        <f>IFERROR(N383/P383,0)</f>
        <v/>
      </c>
      <c r="T383" s="31">
        <f>IFERROR(IF(N383&gt;0,(N383/K383),MIN(1,M383/J383)),0)</f>
        <v/>
      </c>
      <c r="U383" s="33" t="n"/>
    </row>
    <row r="384" hidden="1" s="40">
      <c r="A384" s="23" t="inlineStr">
        <is>
          <t>Semana 1 - março</t>
        </is>
      </c>
      <c r="B384" s="27">
        <f>YEAR(E384)</f>
        <v/>
      </c>
      <c r="C384" s="18">
        <f>INDEX({"Janeiro";"Fevereiro";"Março";"Abril";"Maio";"Junho";"Julho";"Agosto";"Setembro";"Outubro";"Novembro";"Dezembro"},Q384)</f>
        <v/>
      </c>
      <c r="D384" s="24" t="n">
        <v>1</v>
      </c>
      <c r="E384" s="25" t="n">
        <v>46082</v>
      </c>
      <c r="F384" s="23" t="inlineStr">
        <is>
          <t>Iogurte Abacaxi c/ Coco 185g</t>
        </is>
      </c>
      <c r="G384" s="23" t="inlineStr">
        <is>
          <t>IOGURTE</t>
        </is>
      </c>
      <c r="H384" s="26" t="n">
        <v>0.185</v>
      </c>
      <c r="I384" s="36" t="n">
        <v>520</v>
      </c>
      <c r="J384" s="21">
        <f>I384*H384</f>
        <v/>
      </c>
      <c r="K384" s="21">
        <f>IFERROR(IF(J384/P384&gt;1,P384,J384),0)</f>
        <v/>
      </c>
      <c r="L384" s="36" t="n">
        <v>256</v>
      </c>
      <c r="M384" s="21">
        <f>L384*H384</f>
        <v/>
      </c>
      <c r="N384" s="21">
        <f>IFERROR(IF(M384/K384&gt;1,K384,M384),0)</f>
        <v/>
      </c>
      <c r="O384" s="36" t="n">
        <v>520</v>
      </c>
      <c r="P384" s="21">
        <f>O384*H384</f>
        <v/>
      </c>
      <c r="Q384" s="30">
        <f>IF(MONTH(E384+1)=MONTH(E384+6),MONTH(E384+1),IF(MIN(EOMONTH(E384+1,0),E384+6)-(E384+1)+1&gt;=3,MONTH(E384+1),MONTH(E384+6)))</f>
        <v/>
      </c>
      <c r="R384" s="22">
        <f>IFERROR(K384/P384, 0)</f>
        <v/>
      </c>
      <c r="S384" s="38">
        <f>IFERROR(N384/P384,0)</f>
        <v/>
      </c>
      <c r="T384" s="31">
        <f>IFERROR(IF(N384&gt;0,(N384/K384),MIN(1,M384/J384)),0)</f>
        <v/>
      </c>
      <c r="U384" s="33" t="n"/>
    </row>
    <row r="385" hidden="1" s="40">
      <c r="A385" s="18" t="inlineStr">
        <is>
          <t>Semana 1 - março</t>
        </is>
      </c>
      <c r="B385" s="27">
        <f>YEAR(E385)</f>
        <v/>
      </c>
      <c r="C385" s="18">
        <f>INDEX({"Janeiro";"Fevereiro";"Março";"Abril";"Maio";"Junho";"Julho";"Agosto";"Setembro";"Outubro";"Novembro";"Dezembro"},Q385)</f>
        <v/>
      </c>
      <c r="D385" s="19" t="n">
        <v>1</v>
      </c>
      <c r="E385" s="20" t="n">
        <v>46082</v>
      </c>
      <c r="F385" s="18" t="inlineStr">
        <is>
          <t>Iogurte Abacaxi c/ Coco 900g</t>
        </is>
      </c>
      <c r="G385" s="18" t="inlineStr">
        <is>
          <t>IOGURTE</t>
        </is>
      </c>
      <c r="H385" s="21" t="n">
        <v>0.9</v>
      </c>
      <c r="I385" s="36" t="n">
        <v>2700</v>
      </c>
      <c r="J385" s="21">
        <f>I385*H385</f>
        <v/>
      </c>
      <c r="K385" s="21">
        <f>IFERROR(IF(J385/P385&gt;1,P385,J385),0)</f>
        <v/>
      </c>
      <c r="L385" s="36" t="n">
        <v>1336</v>
      </c>
      <c r="M385" s="21">
        <f>L385*H385</f>
        <v/>
      </c>
      <c r="N385" s="21">
        <f>IFERROR(IF(M385/K385&gt;1,K385,M385),0)</f>
        <v/>
      </c>
      <c r="O385" s="36" t="n">
        <v>2700</v>
      </c>
      <c r="P385" s="21">
        <f>O385*H385</f>
        <v/>
      </c>
      <c r="Q385" s="30">
        <f>IF(MONTH(E385+1)=MONTH(E385+6),MONTH(E385+1),IF(MIN(EOMONTH(E385+1,0),E385+6)-(E385+1)+1&gt;=3,MONTH(E385+1),MONTH(E385+6)))</f>
        <v/>
      </c>
      <c r="R385" s="22">
        <f>IFERROR(K385/P385, 0)</f>
        <v/>
      </c>
      <c r="S385" s="38">
        <f>IFERROR(N385/P385,0)</f>
        <v/>
      </c>
      <c r="T385" s="31">
        <f>IFERROR(IF(N385&gt;0,(N385/K385),MIN(1,M385/J385)),0)</f>
        <v/>
      </c>
      <c r="U385" s="33" t="n"/>
    </row>
    <row r="386" hidden="1" s="40">
      <c r="A386" s="18" t="inlineStr">
        <is>
          <t>Semana 1 - março</t>
        </is>
      </c>
      <c r="B386" s="27">
        <f>YEAR(E386)</f>
        <v/>
      </c>
      <c r="C386" s="18">
        <f>INDEX({"Janeiro";"Fevereiro";"Março";"Abril";"Maio";"Junho";"Julho";"Agosto";"Setembro";"Outubro";"Novembro";"Dezembro"},Q386)</f>
        <v/>
      </c>
      <c r="D386" s="19" t="n">
        <v>1</v>
      </c>
      <c r="E386" s="20" t="n">
        <v>46082</v>
      </c>
      <c r="F386" s="18" t="inlineStr">
        <is>
          <t>Iogurte Coco 120g</t>
        </is>
      </c>
      <c r="G386" s="18" t="inlineStr">
        <is>
          <t>IOGURTE</t>
        </is>
      </c>
      <c r="H386" s="21" t="n">
        <v>0.12</v>
      </c>
      <c r="I386" s="36" t="n">
        <v>11000</v>
      </c>
      <c r="J386" s="21">
        <f>I386*H386</f>
        <v/>
      </c>
      <c r="K386" s="21">
        <f>IFERROR(IF(J386/P386&gt;1,P386,J386),0)</f>
        <v/>
      </c>
      <c r="L386" s="36" t="n">
        <v>9672</v>
      </c>
      <c r="M386" s="21">
        <f>L386*H386</f>
        <v/>
      </c>
      <c r="N386" s="21">
        <f>IFERROR(IF(M386/K386&gt;1,K386,M386),0)</f>
        <v/>
      </c>
      <c r="O386" s="36" t="n">
        <v>8000</v>
      </c>
      <c r="P386" s="21">
        <f>O386*H386</f>
        <v/>
      </c>
      <c r="Q386" s="30">
        <f>IF(MONTH(E386+1)=MONTH(E386+6),MONTH(E386+1),IF(MIN(EOMONTH(E386+1,0),E386+6)-(E386+1)+1&gt;=3,MONTH(E386+1),MONTH(E386+6)))</f>
        <v/>
      </c>
      <c r="R386" s="22">
        <f>IFERROR(K386/P386, 0)</f>
        <v/>
      </c>
      <c r="S386" s="38">
        <f>IFERROR(N386/P386,0)</f>
        <v/>
      </c>
      <c r="T386" s="31">
        <f>IFERROR(IF(N386&gt;0,(N386/K386),MIN(1,M386/J386)),0)</f>
        <v/>
      </c>
      <c r="U386" s="33" t="n"/>
    </row>
    <row r="387" hidden="1" s="40">
      <c r="A387" s="23" t="inlineStr">
        <is>
          <t>Semana 1 - março</t>
        </is>
      </c>
      <c r="B387" s="27">
        <f>YEAR(E387)</f>
        <v/>
      </c>
      <c r="C387" s="18">
        <f>INDEX({"Janeiro";"Fevereiro";"Março";"Abril";"Maio";"Junho";"Julho";"Agosto";"Setembro";"Outubro";"Novembro";"Dezembro"},Q387)</f>
        <v/>
      </c>
      <c r="D387" s="24" t="n">
        <v>1</v>
      </c>
      <c r="E387" s="25" t="n">
        <v>46082</v>
      </c>
      <c r="F387" s="23" t="inlineStr">
        <is>
          <t>Iogurte Coco 185g</t>
        </is>
      </c>
      <c r="G387" s="23" t="inlineStr">
        <is>
          <t>IOGURTE</t>
        </is>
      </c>
      <c r="H387" s="26" t="n">
        <v>0.185</v>
      </c>
      <c r="I387" s="36" t="n">
        <v>1560</v>
      </c>
      <c r="J387" s="21">
        <f>I387*H387</f>
        <v/>
      </c>
      <c r="K387" s="21">
        <f>IFERROR(IF(J387/P387&gt;1,P387,J387),0)</f>
        <v/>
      </c>
      <c r="L387" s="36" t="n">
        <v>1523</v>
      </c>
      <c r="M387" s="21">
        <f>L387*H387</f>
        <v/>
      </c>
      <c r="N387" s="21">
        <f>IFERROR(IF(M387/K387&gt;1,K387,M387),0)</f>
        <v/>
      </c>
      <c r="O387" s="36" t="n">
        <v>1040</v>
      </c>
      <c r="P387" s="21">
        <f>O387*H387</f>
        <v/>
      </c>
      <c r="Q387" s="30">
        <f>IF(MONTH(E387+1)=MONTH(E387+6),MONTH(E387+1),IF(MIN(EOMONTH(E387+1,0),E387+6)-(E387+1)+1&gt;=3,MONTH(E387+1),MONTH(E387+6)))</f>
        <v/>
      </c>
      <c r="R387" s="22">
        <f>IFERROR(K387/P387, 0)</f>
        <v/>
      </c>
      <c r="S387" s="38">
        <f>IFERROR(N387/P387,0)</f>
        <v/>
      </c>
      <c r="T387" s="31">
        <f>IFERROR(IF(N387&gt;0,(N387/K387),MIN(1,M387/J387)),0)</f>
        <v/>
      </c>
      <c r="U387" s="33" t="n"/>
    </row>
    <row r="388" hidden="1" s="40">
      <c r="A388" s="18" t="inlineStr">
        <is>
          <t>Semana 1 - março</t>
        </is>
      </c>
      <c r="B388" s="27">
        <f>YEAR(E388)</f>
        <v/>
      </c>
      <c r="C388" s="18">
        <f>INDEX({"Janeiro";"Fevereiro";"Março";"Abril";"Maio";"Junho";"Julho";"Agosto";"Setembro";"Outubro";"Novembro";"Dezembro"},Q388)</f>
        <v/>
      </c>
      <c r="D388" s="19" t="n">
        <v>1</v>
      </c>
      <c r="E388" s="20" t="n">
        <v>46082</v>
      </c>
      <c r="F388" s="18" t="inlineStr">
        <is>
          <t>Iogurte Coco 900g</t>
        </is>
      </c>
      <c r="G388" s="18" t="inlineStr">
        <is>
          <t>IOGURTE</t>
        </is>
      </c>
      <c r="H388" s="21" t="n">
        <v>0.9</v>
      </c>
      <c r="I388" s="36" t="n">
        <v>3510</v>
      </c>
      <c r="J388" s="21">
        <f>I388*H388</f>
        <v/>
      </c>
      <c r="K388" s="21">
        <f>IFERROR(IF(J388/P388&gt;1,P388,J388),0)</f>
        <v/>
      </c>
      <c r="L388" s="36" t="n">
        <v>3527</v>
      </c>
      <c r="M388" s="21">
        <f>L388*H388</f>
        <v/>
      </c>
      <c r="N388" s="21">
        <f>IFERROR(IF(M388/K388&gt;1,K388,M388),0)</f>
        <v/>
      </c>
      <c r="O388" s="36" t="n">
        <v>3400</v>
      </c>
      <c r="P388" s="21">
        <f>O388*H388</f>
        <v/>
      </c>
      <c r="Q388" s="30">
        <f>IF(MONTH(E388+1)=MONTH(E388+6),MONTH(E388+1),IF(MIN(EOMONTH(E388+1,0),E388+6)-(E388+1)+1&gt;=3,MONTH(E388+1),MONTH(E388+6)))</f>
        <v/>
      </c>
      <c r="R388" s="22">
        <f>IFERROR(K388/P388, 0)</f>
        <v/>
      </c>
      <c r="S388" s="38">
        <f>IFERROR(N388/P388,0)</f>
        <v/>
      </c>
      <c r="T388" s="31">
        <f>IFERROR(IF(N388&gt;0,(N388/K388),MIN(1,M388/J388)),0)</f>
        <v/>
      </c>
      <c r="U388" s="33" t="n"/>
    </row>
    <row r="389" hidden="1" s="40">
      <c r="A389" s="23" t="inlineStr">
        <is>
          <t>Semana 1 - março</t>
        </is>
      </c>
      <c r="B389" s="27">
        <f>YEAR(E389)</f>
        <v/>
      </c>
      <c r="C389" s="18">
        <f>INDEX({"Janeiro";"Fevereiro";"Março";"Abril";"Maio";"Junho";"Julho";"Agosto";"Setembro";"Outubro";"Novembro";"Dezembro"},Q389)</f>
        <v/>
      </c>
      <c r="D389" s="24" t="n">
        <v>1</v>
      </c>
      <c r="E389" s="25" t="n">
        <v>46082</v>
      </c>
      <c r="F389" s="23" t="inlineStr">
        <is>
          <t>Iogurte Grego Frutas vermelhas 120g</t>
        </is>
      </c>
      <c r="G389" s="23" t="inlineStr">
        <is>
          <t>IOGURTE</t>
        </is>
      </c>
      <c r="H389" s="26" t="n">
        <v>0.17</v>
      </c>
      <c r="I389" s="36" t="n">
        <v>1400</v>
      </c>
      <c r="J389" s="21">
        <f>I389*H389</f>
        <v/>
      </c>
      <c r="K389" s="21">
        <f>IFERROR(IF(J389/P389&gt;1,P389,J389),0)</f>
        <v/>
      </c>
      <c r="L389" s="36" t="n">
        <v>1309</v>
      </c>
      <c r="M389" s="21">
        <f>L389*H389</f>
        <v/>
      </c>
      <c r="N389" s="21">
        <f>IFERROR(IF(M389/K389&gt;1,K389,M389),0)</f>
        <v/>
      </c>
      <c r="O389" s="36" t="n">
        <v>1400</v>
      </c>
      <c r="P389" s="21">
        <f>O389*H389</f>
        <v/>
      </c>
      <c r="Q389" s="30">
        <f>IF(MONTH(E389+1)=MONTH(E389+6),MONTH(E389+1),IF(MIN(EOMONTH(E389+1,0),E389+6)-(E389+1)+1&gt;=3,MONTH(E389+1),MONTH(E389+6)))</f>
        <v/>
      </c>
      <c r="R389" s="22">
        <f>IFERROR(K389/P389, 0)</f>
        <v/>
      </c>
      <c r="S389" s="38">
        <f>IFERROR(N389/P389,0)</f>
        <v/>
      </c>
      <c r="T389" s="31">
        <f>IFERROR(IF(N389&gt;0,(N389/K389),MIN(1,M389/J389)),0)</f>
        <v/>
      </c>
      <c r="U389" s="33" t="n"/>
    </row>
    <row r="390" hidden="1" s="40">
      <c r="A390" s="23" t="inlineStr">
        <is>
          <t>Semana 1 - março</t>
        </is>
      </c>
      <c r="B390" s="27">
        <f>YEAR(E390)</f>
        <v/>
      </c>
      <c r="C390" s="18">
        <f>INDEX({"Janeiro";"Fevereiro";"Março";"Abril";"Maio";"Junho";"Julho";"Agosto";"Setembro";"Outubro";"Novembro";"Dezembro"},Q390)</f>
        <v/>
      </c>
      <c r="D390" s="24" t="n">
        <v>1</v>
      </c>
      <c r="E390" s="25" t="n">
        <v>46082</v>
      </c>
      <c r="F390" s="23" t="inlineStr">
        <is>
          <t>Iogurte Morango 120g</t>
        </is>
      </c>
      <c r="G390" s="23" t="inlineStr">
        <is>
          <t>IOGURTE</t>
        </is>
      </c>
      <c r="H390" s="26" t="n">
        <v>0.12</v>
      </c>
      <c r="I390" s="36" t="n">
        <v>28000</v>
      </c>
      <c r="J390" s="21">
        <f>I390*H390</f>
        <v/>
      </c>
      <c r="K390" s="21">
        <f>IFERROR(IF(J390/P390&gt;1,P390,J390),0)</f>
        <v/>
      </c>
      <c r="L390" s="36" t="n">
        <v>25735</v>
      </c>
      <c r="M390" s="21">
        <f>L390*H390</f>
        <v/>
      </c>
      <c r="N390" s="21">
        <f>IFERROR(IF(M390/K390&gt;1,K390,M390),0)</f>
        <v/>
      </c>
      <c r="O390" s="36" t="n">
        <v>32000</v>
      </c>
      <c r="P390" s="21">
        <f>O390*H390</f>
        <v/>
      </c>
      <c r="Q390" s="30">
        <f>IF(MONTH(E390+1)=MONTH(E390+6),MONTH(E390+1),IF(MIN(EOMONTH(E390+1,0),E390+6)-(E390+1)+1&gt;=3,MONTH(E390+1),MONTH(E390+6)))</f>
        <v/>
      </c>
      <c r="R390" s="22">
        <f>IFERROR(K390/P390, 0)</f>
        <v/>
      </c>
      <c r="S390" s="38">
        <f>IFERROR(N390/P390,0)</f>
        <v/>
      </c>
      <c r="T390" s="31">
        <f>IFERROR(IF(N390&gt;0,(N390/K390),MIN(1,M390/J390)),0)</f>
        <v/>
      </c>
      <c r="U390" s="33" t="n"/>
    </row>
    <row r="391" hidden="1" s="40">
      <c r="A391" s="18" t="inlineStr">
        <is>
          <t>Semana 1 - março</t>
        </is>
      </c>
      <c r="B391" s="27">
        <f>YEAR(E391)</f>
        <v/>
      </c>
      <c r="C391" s="18">
        <f>INDEX({"Janeiro";"Fevereiro";"Março";"Abril";"Maio";"Junho";"Julho";"Agosto";"Setembro";"Outubro";"Novembro";"Dezembro"},Q391)</f>
        <v/>
      </c>
      <c r="D391" s="19" t="n">
        <v>1</v>
      </c>
      <c r="E391" s="20" t="n">
        <v>46082</v>
      </c>
      <c r="F391" s="18" t="inlineStr">
        <is>
          <t>Iogurte Morango 185g</t>
        </is>
      </c>
      <c r="G391" s="18" t="inlineStr">
        <is>
          <t>IOGURTE</t>
        </is>
      </c>
      <c r="H391" s="21" t="n">
        <v>0.185</v>
      </c>
      <c r="I391" s="36" t="n">
        <v>1560</v>
      </c>
      <c r="J391" s="21">
        <f>I391*H391</f>
        <v/>
      </c>
      <c r="K391" s="21">
        <f>IFERROR(IF(J391/P391&gt;1,P391,J391),0)</f>
        <v/>
      </c>
      <c r="L391" s="36" t="n">
        <v>1574</v>
      </c>
      <c r="M391" s="21">
        <f>L391*H391</f>
        <v/>
      </c>
      <c r="N391" s="21">
        <f>IFERROR(IF(M391/K391&gt;1,K391,M391),0)</f>
        <v/>
      </c>
      <c r="O391" s="36" t="n">
        <v>1820</v>
      </c>
      <c r="P391" s="21">
        <f>O391*H391</f>
        <v/>
      </c>
      <c r="Q391" s="30">
        <f>IF(MONTH(E391+1)=MONTH(E391+6),MONTH(E391+1),IF(MIN(EOMONTH(E391+1,0),E391+6)-(E391+1)+1&gt;=3,MONTH(E391+1),MONTH(E391+6)))</f>
        <v/>
      </c>
      <c r="R391" s="22">
        <f>IFERROR(K391/P391, 0)</f>
        <v/>
      </c>
      <c r="S391" s="38">
        <f>IFERROR(N391/P391,0)</f>
        <v/>
      </c>
      <c r="T391" s="31">
        <f>IFERROR(IF(N391&gt;0,(N391/K391),MIN(1,M391/J391)),0)</f>
        <v/>
      </c>
      <c r="U391" s="33" t="n"/>
    </row>
    <row r="392" hidden="1" s="40">
      <c r="A392" s="23" t="inlineStr">
        <is>
          <t>Semana 1 - março</t>
        </is>
      </c>
      <c r="B392" s="27">
        <f>YEAR(E392)</f>
        <v/>
      </c>
      <c r="C392" s="18">
        <f>INDEX({"Janeiro";"Fevereiro";"Março";"Abril";"Maio";"Junho";"Julho";"Agosto";"Setembro";"Outubro";"Novembro";"Dezembro"},Q392)</f>
        <v/>
      </c>
      <c r="D392" s="24" t="n">
        <v>1</v>
      </c>
      <c r="E392" s="25" t="n">
        <v>46082</v>
      </c>
      <c r="F392" s="23" t="inlineStr">
        <is>
          <t>Iogurte Morango 900G</t>
        </is>
      </c>
      <c r="G392" s="23" t="inlineStr">
        <is>
          <t>IOGURTE</t>
        </is>
      </c>
      <c r="H392" s="26" t="n">
        <v>0.9</v>
      </c>
      <c r="I392" s="36" t="n">
        <v>4580</v>
      </c>
      <c r="J392" s="21">
        <f>I392*H392</f>
        <v/>
      </c>
      <c r="K392" s="21">
        <f>IFERROR(IF(J392/P392&gt;1,P392,J392),0)</f>
        <v/>
      </c>
      <c r="L392" s="36" t="n">
        <v>4561</v>
      </c>
      <c r="M392" s="21">
        <f>L392*H392</f>
        <v/>
      </c>
      <c r="N392" s="21">
        <f>IFERROR(IF(M392/K392&gt;1,K392,M392),0)</f>
        <v/>
      </c>
      <c r="O392" s="36" t="n">
        <v>6300</v>
      </c>
      <c r="P392" s="21">
        <f>O392*H392</f>
        <v/>
      </c>
      <c r="Q392" s="30">
        <f>IF(MONTH(E392+1)=MONTH(E392+6),MONTH(E392+1),IF(MIN(EOMONTH(E392+1,0),E392+6)-(E392+1)+1&gt;=3,MONTH(E392+1),MONTH(E392+6)))</f>
        <v/>
      </c>
      <c r="R392" s="22">
        <f>IFERROR(K392/P392, 0)</f>
        <v/>
      </c>
      <c r="S392" s="38">
        <f>IFERROR(N392/P392,0)</f>
        <v/>
      </c>
      <c r="T392" s="31">
        <f>IFERROR(IF(N392&gt;0,(N392/K392),MIN(1,M392/J392)),0)</f>
        <v/>
      </c>
      <c r="U392" s="33" t="n"/>
    </row>
    <row r="393" hidden="1" s="40">
      <c r="A393" s="18" t="inlineStr">
        <is>
          <t>Semana 1 - março</t>
        </is>
      </c>
      <c r="B393" s="27">
        <f>YEAR(E393)</f>
        <v/>
      </c>
      <c r="C393" s="18">
        <f>INDEX({"Janeiro";"Fevereiro";"Março";"Abril";"Maio";"Junho";"Julho";"Agosto";"Setembro";"Outubro";"Novembro";"Dezembro"},Q393)</f>
        <v/>
      </c>
      <c r="D393" s="19" t="n">
        <v>1</v>
      </c>
      <c r="E393" s="20" t="n">
        <v>46082</v>
      </c>
      <c r="F393" s="18" t="inlineStr">
        <is>
          <t>Iogurte Natural Integral 170g</t>
        </is>
      </c>
      <c r="G393" s="18" t="inlineStr">
        <is>
          <t>IOGURTE</t>
        </is>
      </c>
      <c r="H393" s="21" t="n">
        <v>0.17</v>
      </c>
      <c r="I393" s="36" t="n">
        <v>3820</v>
      </c>
      <c r="J393" s="21">
        <f>I393*H393</f>
        <v/>
      </c>
      <c r="K393" s="21">
        <f>IFERROR(IF(J393/P393&gt;1,P393,J393),0)</f>
        <v/>
      </c>
      <c r="L393" s="36" t="n">
        <v>2212</v>
      </c>
      <c r="M393" s="21">
        <f>L393*H393</f>
        <v/>
      </c>
      <c r="N393" s="21">
        <f>IFERROR(IF(M393/K393&gt;1,K393,M393),0)</f>
        <v/>
      </c>
      <c r="O393" s="36" t="n">
        <v>3800</v>
      </c>
      <c r="P393" s="21">
        <f>O393*H393</f>
        <v/>
      </c>
      <c r="Q393" s="30">
        <f>IF(MONTH(E393+1)=MONTH(E393+6),MONTH(E393+1),IF(MIN(EOMONTH(E393+1,0),E393+6)-(E393+1)+1&gt;=3,MONTH(E393+1),MONTH(E393+6)))</f>
        <v/>
      </c>
      <c r="R393" s="22">
        <f>IFERROR(K393/P393, 0)</f>
        <v/>
      </c>
      <c r="S393" s="38">
        <f>IFERROR(N393/P393,0)</f>
        <v/>
      </c>
      <c r="T393" s="31">
        <f>IFERROR(IF(N393&gt;0,(N393/K393),MIN(1,M393/J393)),0)</f>
        <v/>
      </c>
      <c r="U393" s="33" t="n"/>
    </row>
    <row r="394" hidden="1" s="40">
      <c r="A394" s="23" t="inlineStr">
        <is>
          <t>Semana 1 - março</t>
        </is>
      </c>
      <c r="B394" s="27">
        <f>YEAR(E394)</f>
        <v/>
      </c>
      <c r="C394" s="18">
        <f>INDEX({"Janeiro";"Fevereiro";"Março";"Abril";"Maio";"Junho";"Julho";"Agosto";"Setembro";"Outubro";"Novembro";"Dezembro"},Q394)</f>
        <v/>
      </c>
      <c r="D394" s="24" t="n">
        <v>1</v>
      </c>
      <c r="E394" s="25" t="n">
        <v>46082</v>
      </c>
      <c r="F394" s="23" t="inlineStr">
        <is>
          <t>Iogurte Natural Triplo Zero 170g</t>
        </is>
      </c>
      <c r="G394" s="23" t="inlineStr">
        <is>
          <t>IOGURTE</t>
        </is>
      </c>
      <c r="H394" s="26" t="n">
        <v>0.17</v>
      </c>
      <c r="I394" s="36" t="n">
        <v>3820</v>
      </c>
      <c r="J394" s="21">
        <f>I394*H394</f>
        <v/>
      </c>
      <c r="K394" s="21">
        <f>IFERROR(IF(J394/P394&gt;1,P394,J394),0)</f>
        <v/>
      </c>
      <c r="L394" s="36" t="n">
        <v>3580</v>
      </c>
      <c r="M394" s="21">
        <f>L394*H394</f>
        <v/>
      </c>
      <c r="N394" s="21">
        <f>IFERROR(IF(M394/K394&gt;1,K394,M394),0)</f>
        <v/>
      </c>
      <c r="O394" s="36" t="n">
        <v>3800</v>
      </c>
      <c r="P394" s="21">
        <f>O394*H394</f>
        <v/>
      </c>
      <c r="Q394" s="30">
        <f>IF(MONTH(E394+1)=MONTH(E394+6),MONTH(E394+1),IF(MIN(EOMONTH(E394+1,0),E394+6)-(E394+1)+1&gt;=3,MONTH(E394+1),MONTH(E394+6)))</f>
        <v/>
      </c>
      <c r="R394" s="22">
        <f>IFERROR(K394/P394, 0)</f>
        <v/>
      </c>
      <c r="S394" s="38">
        <f>IFERROR(N394/P394,0)</f>
        <v/>
      </c>
      <c r="T394" s="31">
        <f>IFERROR(IF(N394&gt;0,(N394/K394),MIN(1,M394/J394)),0)</f>
        <v/>
      </c>
      <c r="U394" s="33" t="n"/>
    </row>
    <row r="395" hidden="1" s="40">
      <c r="A395" s="23" t="inlineStr">
        <is>
          <t>Semana 1 - março</t>
        </is>
      </c>
      <c r="B395" s="27">
        <f>YEAR(E395)</f>
        <v/>
      </c>
      <c r="C395" s="18">
        <f>INDEX({"Janeiro";"Fevereiro";"Março";"Abril";"Maio";"Junho";"Julho";"Agosto";"Setembro";"Outubro";"Novembro";"Dezembro"},Q395)</f>
        <v/>
      </c>
      <c r="D395" s="24" t="n">
        <v>1</v>
      </c>
      <c r="E395" s="25" t="n">
        <v>46082</v>
      </c>
      <c r="F395" s="23" t="inlineStr">
        <is>
          <t>Iogurte Salada 120g</t>
        </is>
      </c>
      <c r="G395" s="23" t="inlineStr">
        <is>
          <t>IOGURTE</t>
        </is>
      </c>
      <c r="H395" s="26" t="n">
        <v>0.12</v>
      </c>
      <c r="I395" s="36" t="n">
        <v>5000</v>
      </c>
      <c r="J395" s="21">
        <f>I395*H395</f>
        <v/>
      </c>
      <c r="K395" s="21">
        <f>IFERROR(IF(J395/P395&gt;1,P395,J395),0)</f>
        <v/>
      </c>
      <c r="L395" s="36" t="n">
        <v>3600</v>
      </c>
      <c r="M395" s="21">
        <f>L395*H395</f>
        <v/>
      </c>
      <c r="N395" s="21">
        <f>IFERROR(IF(M395/K395&gt;1,K395,M395),0)</f>
        <v/>
      </c>
      <c r="O395" s="36" t="n">
        <v>7000</v>
      </c>
      <c r="P395" s="21">
        <f>O395*H395</f>
        <v/>
      </c>
      <c r="Q395" s="30">
        <f>IF(MONTH(E395+1)=MONTH(E395+6),MONTH(E395+1),IF(MIN(EOMONTH(E395+1,0),E395+6)-(E395+1)+1&gt;=3,MONTH(E395+1),MONTH(E395+6)))</f>
        <v/>
      </c>
      <c r="R395" s="22">
        <f>IFERROR(K395/P395, 0)</f>
        <v/>
      </c>
      <c r="S395" s="38">
        <f>IFERROR(N395/P395,0)</f>
        <v/>
      </c>
      <c r="T395" s="31">
        <f>IFERROR(IF(N395&gt;0,(N395/K395),MIN(1,M395/J395)),0)</f>
        <v/>
      </c>
      <c r="U395" s="33" t="n"/>
    </row>
    <row r="396" hidden="1" s="40">
      <c r="A396" s="18" t="inlineStr">
        <is>
          <t>Semana 1 - março</t>
        </is>
      </c>
      <c r="B396" s="27">
        <f>YEAR(E396)</f>
        <v/>
      </c>
      <c r="C396" s="18">
        <f>INDEX({"Janeiro";"Fevereiro";"Março";"Abril";"Maio";"Junho";"Julho";"Agosto";"Setembro";"Outubro";"Novembro";"Dezembro"},Q396)</f>
        <v/>
      </c>
      <c r="D396" s="19" t="n">
        <v>1</v>
      </c>
      <c r="E396" s="20" t="n">
        <v>46082</v>
      </c>
      <c r="F396" s="18" t="inlineStr">
        <is>
          <t>Iogurte Salada 185g</t>
        </is>
      </c>
      <c r="G396" s="18" t="inlineStr">
        <is>
          <t>IOGURTE</t>
        </is>
      </c>
      <c r="H396" s="21" t="n">
        <v>0.185</v>
      </c>
      <c r="I396" s="36" t="n">
        <v>1300</v>
      </c>
      <c r="J396" s="21">
        <f>I396*H396</f>
        <v/>
      </c>
      <c r="K396" s="21">
        <f>IFERROR(IF(J396/P396&gt;1,P396,J396),0)</f>
        <v/>
      </c>
      <c r="L396" s="36" t="n">
        <v>445</v>
      </c>
      <c r="M396" s="21">
        <f>L396*H396</f>
        <v/>
      </c>
      <c r="N396" s="21">
        <f>IFERROR(IF(M396/K396&gt;1,K396,M396),0)</f>
        <v/>
      </c>
      <c r="O396" s="36" t="n">
        <v>780</v>
      </c>
      <c r="P396" s="21">
        <f>O396*H396</f>
        <v/>
      </c>
      <c r="Q396" s="30">
        <f>IF(MONTH(E396+1)=MONTH(E396+6),MONTH(E396+1),IF(MIN(EOMONTH(E396+1,0),E396+6)-(E396+1)+1&gt;=3,MONTH(E396+1),MONTH(E396+6)))</f>
        <v/>
      </c>
      <c r="R396" s="22">
        <f>IFERROR(K396/P396, 0)</f>
        <v/>
      </c>
      <c r="S396" s="38">
        <f>IFERROR(N396/P396,0)</f>
        <v/>
      </c>
      <c r="T396" s="31">
        <f>IFERROR(IF(N396&gt;0,(N396/K396),MIN(1,M396/J396)),0)</f>
        <v/>
      </c>
      <c r="U396" s="33" t="n"/>
    </row>
    <row r="397" hidden="1" s="40">
      <c r="A397" s="23" t="inlineStr">
        <is>
          <t>Semana 1 - março</t>
        </is>
      </c>
      <c r="B397" s="27">
        <f>YEAR(E397)</f>
        <v/>
      </c>
      <c r="C397" s="18">
        <f>INDEX({"Janeiro";"Fevereiro";"Março";"Abril";"Maio";"Junho";"Julho";"Agosto";"Setembro";"Outubro";"Novembro";"Dezembro"},Q397)</f>
        <v/>
      </c>
      <c r="D397" s="24" t="n">
        <v>1</v>
      </c>
      <c r="E397" s="25" t="n">
        <v>46082</v>
      </c>
      <c r="F397" s="23" t="inlineStr">
        <is>
          <t>Iogurte Salada 900g</t>
        </is>
      </c>
      <c r="G397" s="23" t="inlineStr">
        <is>
          <t>IOGURTE</t>
        </is>
      </c>
      <c r="H397" s="26" t="n">
        <v>0.9</v>
      </c>
      <c r="I397" s="36" t="n">
        <v>3240</v>
      </c>
      <c r="J397" s="21">
        <f>I397*H397</f>
        <v/>
      </c>
      <c r="K397" s="21">
        <f>IFERROR(IF(J397/P397&gt;1,P397,J397),0)</f>
        <v/>
      </c>
      <c r="L397" s="36" t="n">
        <v>1091</v>
      </c>
      <c r="M397" s="21">
        <f>L397*H397</f>
        <v/>
      </c>
      <c r="N397" s="21">
        <f>IFERROR(IF(M397/K397&gt;1,K397,M397),0)</f>
        <v/>
      </c>
      <c r="O397" s="36" t="n">
        <v>3400</v>
      </c>
      <c r="P397" s="21">
        <f>O397*H397</f>
        <v/>
      </c>
      <c r="Q397" s="30">
        <f>IF(MONTH(E397+1)=MONTH(E397+6),MONTH(E397+1),IF(MIN(EOMONTH(E397+1,0),E397+6)-(E397+1)+1&gt;=3,MONTH(E397+1),MONTH(E397+6)))</f>
        <v/>
      </c>
      <c r="R397" s="22">
        <f>IFERROR(K397/P397, 0)</f>
        <v/>
      </c>
      <c r="S397" s="38">
        <f>IFERROR(N397/P397,0)</f>
        <v/>
      </c>
      <c r="T397" s="31">
        <f>IFERROR(IF(N397&gt;0,(N397/K397),MIN(1,M397/J397)),0)</f>
        <v/>
      </c>
      <c r="U397" s="33" t="n"/>
    </row>
    <row r="398" hidden="1" s="40">
      <c r="A398" s="18" t="inlineStr">
        <is>
          <t>Semana 1 - março</t>
        </is>
      </c>
      <c r="B398" s="27">
        <f>YEAR(E398)</f>
        <v/>
      </c>
      <c r="C398" s="18">
        <f>INDEX({"Janeiro";"Fevereiro";"Março";"Abril";"Maio";"Junho";"Julho";"Agosto";"Setembro";"Outubro";"Novembro";"Dezembro"},Q398)</f>
        <v/>
      </c>
      <c r="D398" s="19" t="n">
        <v>1</v>
      </c>
      <c r="E398" s="20" t="n">
        <v>46082</v>
      </c>
      <c r="F398" s="18" t="inlineStr">
        <is>
          <t>Iogurte Vida Leve Ameixa c/ Grãos 180g</t>
        </is>
      </c>
      <c r="G398" s="18" t="inlineStr">
        <is>
          <t>IOGURTE</t>
        </is>
      </c>
      <c r="H398" s="21" t="n">
        <v>0.18</v>
      </c>
      <c r="I398" s="36" t="n">
        <v>0</v>
      </c>
      <c r="J398" s="21">
        <f>I398*H398</f>
        <v/>
      </c>
      <c r="K398" s="21">
        <f>IFERROR(IF(J398/P398&gt;1,P398,J398),0)</f>
        <v/>
      </c>
      <c r="L398" s="36" t="n">
        <v>0</v>
      </c>
      <c r="M398" s="21">
        <f>L398*H398</f>
        <v/>
      </c>
      <c r="N398" s="21">
        <f>IFERROR(IF(M398/K398&gt;1,K398,M398),0)</f>
        <v/>
      </c>
      <c r="O398" s="36" t="n">
        <v>0</v>
      </c>
      <c r="P398" s="21">
        <f>O398*H398</f>
        <v/>
      </c>
      <c r="Q398" s="30">
        <f>IF(MONTH(E398+1)=MONTH(E398+6),MONTH(E398+1),IF(MIN(EOMONTH(E398+1,0),E398+6)-(E398+1)+1&gt;=3,MONTH(E398+1),MONTH(E398+6)))</f>
        <v/>
      </c>
      <c r="R398" s="22">
        <f>IFERROR(K398/P398, 0)</f>
        <v/>
      </c>
      <c r="S398" s="38">
        <f>IFERROR(N398/P398,0)</f>
        <v/>
      </c>
      <c r="T398" s="31">
        <f>IFERROR(IF(N398&gt;0,(N398/K398),MIN(1,M398/J398)),0)</f>
        <v/>
      </c>
      <c r="U398" s="33" t="n"/>
    </row>
    <row r="399" hidden="1" s="40">
      <c r="A399" s="23" t="inlineStr">
        <is>
          <t>Semana 1 - março</t>
        </is>
      </c>
      <c r="B399" s="27">
        <f>YEAR(E399)</f>
        <v/>
      </c>
      <c r="C399" s="18">
        <f>INDEX({"Janeiro";"Fevereiro";"Março";"Abril";"Maio";"Junho";"Julho";"Agosto";"Setembro";"Outubro";"Novembro";"Dezembro"},Q399)</f>
        <v/>
      </c>
      <c r="D399" s="24" t="n">
        <v>1</v>
      </c>
      <c r="E399" s="25" t="n">
        <v>46082</v>
      </c>
      <c r="F399" s="23" t="inlineStr">
        <is>
          <t>Iogurte Vida Leve Ameixa c/ Grãos 500g</t>
        </is>
      </c>
      <c r="G399" s="23" t="inlineStr">
        <is>
          <t>IOGURTE</t>
        </is>
      </c>
      <c r="H399" s="26" t="n">
        <v>0.5</v>
      </c>
      <c r="I399" s="36" t="n">
        <v>0</v>
      </c>
      <c r="J399" s="21">
        <f>I399*H399</f>
        <v/>
      </c>
      <c r="K399" s="21">
        <f>IFERROR(IF(J399/P399&gt;1,P399,J399),0)</f>
        <v/>
      </c>
      <c r="L399" s="36" t="n">
        <v>0</v>
      </c>
      <c r="M399" s="21">
        <f>L399*H399</f>
        <v/>
      </c>
      <c r="N399" s="21">
        <f>IFERROR(IF(M399/K399&gt;1,K399,M399),0)</f>
        <v/>
      </c>
      <c r="O399" s="36" t="n">
        <v>0</v>
      </c>
      <c r="P399" s="21">
        <f>O399*H399</f>
        <v/>
      </c>
      <c r="Q399" s="30">
        <f>IF(MONTH(E399+1)=MONTH(E399+6),MONTH(E399+1),IF(MIN(EOMONTH(E399+1,0),E399+6)-(E399+1)+1&gt;=3,MONTH(E399+1),MONTH(E399+6)))</f>
        <v/>
      </c>
      <c r="R399" s="22">
        <f>IFERROR(K399/P399, 0)</f>
        <v/>
      </c>
      <c r="S399" s="38">
        <f>IFERROR(N399/P399,0)</f>
        <v/>
      </c>
      <c r="T399" s="31">
        <f>IFERROR(IF(N399&gt;0,(N399/K399),MIN(1,M399/J399)),0)</f>
        <v/>
      </c>
      <c r="U399" s="33" t="n"/>
    </row>
    <row r="400" hidden="1" s="40">
      <c r="A400" s="18" t="inlineStr">
        <is>
          <t>Semana 1 - março</t>
        </is>
      </c>
      <c r="B400" s="27">
        <f>YEAR(E400)</f>
        <v/>
      </c>
      <c r="C400" s="18">
        <f>INDEX({"Janeiro";"Fevereiro";"Março";"Abril";"Maio";"Junho";"Julho";"Agosto";"Setembro";"Outubro";"Novembro";"Dezembro"},Q400)</f>
        <v/>
      </c>
      <c r="D400" s="19" t="n">
        <v>1</v>
      </c>
      <c r="E400" s="20" t="n">
        <v>46082</v>
      </c>
      <c r="F400" s="18" t="inlineStr">
        <is>
          <t>Iogurte Vida Leve Morango 180g</t>
        </is>
      </c>
      <c r="G400" s="18" t="inlineStr">
        <is>
          <t>IOGURTE</t>
        </is>
      </c>
      <c r="H400" s="21" t="n">
        <v>0.185</v>
      </c>
      <c r="I400" s="36" t="n">
        <v>0</v>
      </c>
      <c r="J400" s="21">
        <f>I400*H400</f>
        <v/>
      </c>
      <c r="K400" s="21">
        <f>IFERROR(IF(J400/P400&gt;1,P400,J400),0)</f>
        <v/>
      </c>
      <c r="L400" s="36" t="n">
        <v>0</v>
      </c>
      <c r="M400" s="21">
        <f>L400*H400</f>
        <v/>
      </c>
      <c r="N400" s="21">
        <f>IFERROR(IF(M400/K400&gt;1,K400,M400),0)</f>
        <v/>
      </c>
      <c r="O400" s="36" t="n">
        <v>0</v>
      </c>
      <c r="P400" s="21">
        <f>O400*H400</f>
        <v/>
      </c>
      <c r="Q400" s="30">
        <f>IF(MONTH(E400+1)=MONTH(E400+6),MONTH(E400+1),IF(MIN(EOMONTH(E400+1,0),E400+6)-(E400+1)+1&gt;=3,MONTH(E400+1),MONTH(E400+6)))</f>
        <v/>
      </c>
      <c r="R400" s="22">
        <f>IFERROR(K400/P400, 0)</f>
        <v/>
      </c>
      <c r="S400" s="38">
        <f>IFERROR(N400/P400,0)</f>
        <v/>
      </c>
      <c r="T400" s="31">
        <f>IFERROR(IF(N400&gt;0,(N400/K400),MIN(1,M400/J400)),0)</f>
        <v/>
      </c>
      <c r="U400" s="33" t="n"/>
    </row>
    <row r="401" hidden="1" s="40">
      <c r="A401" s="23" t="inlineStr">
        <is>
          <t>Semana 1 - março</t>
        </is>
      </c>
      <c r="B401" s="27">
        <f>YEAR(E401)</f>
        <v/>
      </c>
      <c r="C401" s="18">
        <f>INDEX({"Janeiro";"Fevereiro";"Março";"Abril";"Maio";"Junho";"Julho";"Agosto";"Setembro";"Outubro";"Novembro";"Dezembro"},Q401)</f>
        <v/>
      </c>
      <c r="D401" s="24" t="n">
        <v>1</v>
      </c>
      <c r="E401" s="25" t="n">
        <v>46082</v>
      </c>
      <c r="F401" s="23" t="inlineStr">
        <is>
          <t>Iogurte Vida Leve Morango 500g</t>
        </is>
      </c>
      <c r="G401" s="23" t="inlineStr">
        <is>
          <t>IOGURTE</t>
        </is>
      </c>
      <c r="H401" s="26" t="n">
        <v>0.5</v>
      </c>
      <c r="I401" s="36" t="n">
        <v>0</v>
      </c>
      <c r="J401" s="21">
        <f>I401*H401</f>
        <v/>
      </c>
      <c r="K401" s="21">
        <f>IFERROR(IF(J401/P401&gt;1,P401,J401),0)</f>
        <v/>
      </c>
      <c r="L401" s="36" t="n">
        <v>0</v>
      </c>
      <c r="M401" s="21">
        <f>L401*H401</f>
        <v/>
      </c>
      <c r="N401" s="21">
        <f>IFERROR(IF(M401/K401&gt;1,K401,M401),0)</f>
        <v/>
      </c>
      <c r="O401" s="36" t="n">
        <v>0</v>
      </c>
      <c r="P401" s="21">
        <f>O401*H401</f>
        <v/>
      </c>
      <c r="Q401" s="30">
        <f>IF(MONTH(E401+1)=MONTH(E401+6),MONTH(E401+1),IF(MIN(EOMONTH(E401+1,0),E401+6)-(E401+1)+1&gt;=3,MONTH(E401+1),MONTH(E401+6)))</f>
        <v/>
      </c>
      <c r="R401" s="22">
        <f>IFERROR(K401/P401, 0)</f>
        <v/>
      </c>
      <c r="S401" s="38">
        <f>IFERROR(N401/P401,0)</f>
        <v/>
      </c>
      <c r="T401" s="31">
        <f>IFERROR(IF(N401&gt;0,(N401/K401),MIN(1,M401/J401)),0)</f>
        <v/>
      </c>
      <c r="U401" s="33" t="n"/>
    </row>
    <row r="402" hidden="1" s="40">
      <c r="A402" s="18" t="inlineStr">
        <is>
          <t>Semana 1 - março</t>
        </is>
      </c>
      <c r="B402" s="27">
        <f>YEAR(E402)</f>
        <v/>
      </c>
      <c r="C402" s="18">
        <f>INDEX({"Janeiro";"Fevereiro";"Março";"Abril";"Maio";"Junho";"Julho";"Agosto";"Setembro";"Outubro";"Novembro";"Dezembro"},Q402)</f>
        <v/>
      </c>
      <c r="D402" s="19" t="n">
        <v>1</v>
      </c>
      <c r="E402" s="20" t="n">
        <v>46082</v>
      </c>
      <c r="F402" s="18" t="inlineStr">
        <is>
          <t>LEITE PASTEURIZADO VIÇOSA DESNATADO</t>
        </is>
      </c>
      <c r="G402" s="18" t="inlineStr">
        <is>
          <t>LEITE PAST.</t>
        </is>
      </c>
      <c r="H402" s="21" t="n">
        <v>1</v>
      </c>
      <c r="I402" s="36" t="n">
        <v>761</v>
      </c>
      <c r="J402" s="21">
        <f>I402*H402</f>
        <v/>
      </c>
      <c r="K402" s="21">
        <f>IFERROR(IF(J402/P402&gt;1,P402,J402),0)</f>
        <v/>
      </c>
      <c r="L402" s="36" t="n">
        <v>761</v>
      </c>
      <c r="M402" s="21">
        <f>L402*H402</f>
        <v/>
      </c>
      <c r="N402" s="21">
        <f>IFERROR(IF(M402/K402&gt;1,K402,M402),0)</f>
        <v/>
      </c>
      <c r="O402" s="36" t="n">
        <v>761</v>
      </c>
      <c r="P402" s="21">
        <f>O402*H402</f>
        <v/>
      </c>
      <c r="Q402" s="30">
        <f>IF(MONTH(E402+1)=MONTH(E402+6),MONTH(E402+1),IF(MIN(EOMONTH(E402+1,0),E402+6)-(E402+1)+1&gt;=3,MONTH(E402+1),MONTH(E402+6)))</f>
        <v/>
      </c>
      <c r="R402" s="22">
        <f>IFERROR(K402/P402, 0)</f>
        <v/>
      </c>
      <c r="S402" s="38">
        <f>IFERROR(N402/P402,0)</f>
        <v/>
      </c>
      <c r="T402" s="31">
        <f>IFERROR(IF(N402&gt;0,(N402/K402),MIN(1,M402/J402)),0)</f>
        <v/>
      </c>
      <c r="U402" s="33" t="n"/>
    </row>
    <row r="403" hidden="1" s="40">
      <c r="A403" s="23" t="inlineStr">
        <is>
          <t>Semana 1 - março</t>
        </is>
      </c>
      <c r="B403" s="27">
        <f>YEAR(E403)</f>
        <v/>
      </c>
      <c r="C403" s="18">
        <f>INDEX({"Janeiro";"Fevereiro";"Março";"Abril";"Maio";"Junho";"Julho";"Agosto";"Setembro";"Outubro";"Novembro";"Dezembro"},Q403)</f>
        <v/>
      </c>
      <c r="D403" s="24" t="n">
        <v>1</v>
      </c>
      <c r="E403" s="25" t="n">
        <v>46082</v>
      </c>
      <c r="F403" s="23" t="inlineStr">
        <is>
          <t>LEITE PASTEURIZADO VIÇOSA INTEGRAL</t>
        </is>
      </c>
      <c r="G403" s="23" t="inlineStr">
        <is>
          <t>LEITE PAST.</t>
        </is>
      </c>
      <c r="H403" s="26" t="n">
        <v>1</v>
      </c>
      <c r="I403" s="36" t="n">
        <v>18563</v>
      </c>
      <c r="J403" s="21">
        <f>I403*H403</f>
        <v/>
      </c>
      <c r="K403" s="21">
        <f>IFERROR(IF(J403/P403&gt;1,P403,J403),0)</f>
        <v/>
      </c>
      <c r="L403" s="36" t="n">
        <v>18563</v>
      </c>
      <c r="M403" s="21">
        <f>L403*H403</f>
        <v/>
      </c>
      <c r="N403" s="21">
        <f>IFERROR(IF(M403/K403&gt;1,K403,M403),0)</f>
        <v/>
      </c>
      <c r="O403" s="36" t="n">
        <v>18563</v>
      </c>
      <c r="P403" s="21">
        <f>O403*H403</f>
        <v/>
      </c>
      <c r="Q403" s="30">
        <f>IF(MONTH(E403+1)=MONTH(E403+6),MONTH(E403+1),IF(MIN(EOMONTH(E403+1,0),E403+6)-(E403+1)+1&gt;=3,MONTH(E403+1),MONTH(E403+6)))</f>
        <v/>
      </c>
      <c r="R403" s="22">
        <f>IFERROR(K403/P403, 0)</f>
        <v/>
      </c>
      <c r="S403" s="38">
        <f>IFERROR(N403/P403,0)</f>
        <v/>
      </c>
      <c r="T403" s="31">
        <f>IFERROR(IF(N403&gt;0,(N403/K403),MIN(1,M403/J403)),0)</f>
        <v/>
      </c>
      <c r="U403" s="33" t="n"/>
    </row>
    <row r="404" hidden="1" s="40">
      <c r="A404" s="18" t="inlineStr">
        <is>
          <t>Semana 1 - março</t>
        </is>
      </c>
      <c r="B404" s="27">
        <f>YEAR(E404)</f>
        <v/>
      </c>
      <c r="C404" s="18">
        <f>INDEX({"Janeiro";"Fevereiro";"Março";"Abril";"Maio";"Junho";"Julho";"Agosto";"Setembro";"Outubro";"Novembro";"Dezembro"},Q404)</f>
        <v/>
      </c>
      <c r="D404" s="19" t="n">
        <v>1</v>
      </c>
      <c r="E404" s="20" t="n">
        <v>46082</v>
      </c>
      <c r="F404" s="18" t="inlineStr">
        <is>
          <t>LEITE PASTEURIZADO VIÇOSA ZERO LACTOSE INTEGRAL 1 L</t>
        </is>
      </c>
      <c r="G404" s="18" t="inlineStr">
        <is>
          <t>LEITE PAST.</t>
        </is>
      </c>
      <c r="H404" s="21" t="n">
        <v>1</v>
      </c>
      <c r="I404" s="36" t="n">
        <v>759</v>
      </c>
      <c r="J404" s="21">
        <f>I404*H404</f>
        <v/>
      </c>
      <c r="K404" s="21">
        <f>IFERROR(IF(J404/P404&gt;1,P404,J404),0)</f>
        <v/>
      </c>
      <c r="L404" s="36" t="n">
        <v>759</v>
      </c>
      <c r="M404" s="21">
        <f>L404*H404</f>
        <v/>
      </c>
      <c r="N404" s="21">
        <f>IFERROR(IF(M404/K404&gt;1,K404,M404),0)</f>
        <v/>
      </c>
      <c r="O404" s="36" t="n">
        <v>759</v>
      </c>
      <c r="P404" s="21">
        <f>O404*H404</f>
        <v/>
      </c>
      <c r="Q404" s="30">
        <f>IF(MONTH(E404+1)=MONTH(E404+6),MONTH(E404+1),IF(MIN(EOMONTH(E404+1,0),E404+6)-(E404+1)+1&gt;=3,MONTH(E404+1),MONTH(E404+6)))</f>
        <v/>
      </c>
      <c r="R404" s="22">
        <f>IFERROR(K404/P404, 0)</f>
        <v/>
      </c>
      <c r="S404" s="38">
        <f>IFERROR(N404/P404,0)</f>
        <v/>
      </c>
      <c r="T404" s="31">
        <f>IFERROR(IF(N404&gt;0,(N404/K404),MIN(1,M404/J404)),0)</f>
        <v/>
      </c>
      <c r="U404" s="33" t="n"/>
    </row>
    <row r="405" hidden="1" s="40">
      <c r="A405" s="23" t="inlineStr">
        <is>
          <t>Semana 1 - março</t>
        </is>
      </c>
      <c r="B405" s="27">
        <f>YEAR(E405)</f>
        <v/>
      </c>
      <c r="C405" s="18">
        <f>INDEX({"Janeiro";"Fevereiro";"Março";"Abril";"Maio";"Junho";"Julho";"Agosto";"Setembro";"Outubro";"Novembro";"Dezembro"},Q405)</f>
        <v/>
      </c>
      <c r="D405" s="24" t="n">
        <v>1</v>
      </c>
      <c r="E405" s="25" t="n">
        <v>46082</v>
      </c>
      <c r="F405" s="23" t="inlineStr">
        <is>
          <t>Manteiga 200g</t>
        </is>
      </c>
      <c r="G405" s="23" t="inlineStr">
        <is>
          <t>MANTEIGA</t>
        </is>
      </c>
      <c r="H405" s="26" t="n">
        <v>0.2</v>
      </c>
      <c r="I405" s="36" t="n">
        <v>2500</v>
      </c>
      <c r="J405" s="21">
        <f>I405*H405</f>
        <v/>
      </c>
      <c r="K405" s="21">
        <f>IFERROR(IF(J405/P405&gt;1,P405,J405),0)</f>
        <v/>
      </c>
      <c r="L405" s="36" t="n">
        <v>958</v>
      </c>
      <c r="M405" s="21">
        <f>L405*H405</f>
        <v/>
      </c>
      <c r="N405" s="21">
        <f>IFERROR(IF(M405/K405&gt;1,K405,M405),0)</f>
        <v/>
      </c>
      <c r="O405" s="36" t="n">
        <v>0</v>
      </c>
      <c r="P405" s="21">
        <f>O405*H405</f>
        <v/>
      </c>
      <c r="Q405" s="30">
        <f>IF(MONTH(E405+1)=MONTH(E405+6),MONTH(E405+1),IF(MIN(EOMONTH(E405+1,0),E405+6)-(E405+1)+1&gt;=3,MONTH(E405+1),MONTH(E405+6)))</f>
        <v/>
      </c>
      <c r="R405" s="22">
        <f>IFERROR(K405/P405, 0)</f>
        <v/>
      </c>
      <c r="S405" s="38">
        <f>IFERROR(N405/P405,0)</f>
        <v/>
      </c>
      <c r="T405" s="31">
        <f>IFERROR(IF(N405&gt;0,(N405/K405),MIN(1,M405/J405)),0)</f>
        <v/>
      </c>
      <c r="U405" s="33" t="n"/>
    </row>
    <row r="406" hidden="1" s="40">
      <c r="A406" s="18" t="inlineStr">
        <is>
          <t>Semana 1 - março</t>
        </is>
      </c>
      <c r="B406" s="27">
        <f>YEAR(E406)</f>
        <v/>
      </c>
      <c r="C406" s="18">
        <f>INDEX({"Janeiro";"Fevereiro";"Março";"Abril";"Maio";"Junho";"Julho";"Agosto";"Setembro";"Outubro";"Novembro";"Dezembro"},Q406)</f>
        <v/>
      </c>
      <c r="D406" s="19" t="n">
        <v>1</v>
      </c>
      <c r="E406" s="20" t="n">
        <v>46082</v>
      </c>
      <c r="F406" s="18" t="inlineStr">
        <is>
          <t>Manteiga 500g</t>
        </is>
      </c>
      <c r="G406" s="18" t="inlineStr">
        <is>
          <t>MANTEIGA</t>
        </is>
      </c>
      <c r="H406" s="21" t="n">
        <v>0.5</v>
      </c>
      <c r="I406" s="36" t="n">
        <v>1100</v>
      </c>
      <c r="J406" s="21">
        <f>I406*H406</f>
        <v/>
      </c>
      <c r="K406" s="21">
        <f>IFERROR(IF(J406/P406&gt;1,P406,J406),0)</f>
        <v/>
      </c>
      <c r="L406" s="36" t="n">
        <v>569</v>
      </c>
      <c r="M406" s="21">
        <f>L406*H406</f>
        <v/>
      </c>
      <c r="N406" s="21">
        <f>IFERROR(IF(M406/K406&gt;1,K406,M406),0)</f>
        <v/>
      </c>
      <c r="O406" s="36" t="n">
        <v>0</v>
      </c>
      <c r="P406" s="21">
        <f>O406*H406</f>
        <v/>
      </c>
      <c r="Q406" s="30">
        <f>IF(MONTH(E406+1)=MONTH(E406+6),MONTH(E406+1),IF(MIN(EOMONTH(E406+1,0),E406+6)-(E406+1)+1&gt;=3,MONTH(E406+1),MONTH(E406+6)))</f>
        <v/>
      </c>
      <c r="R406" s="22">
        <f>IFERROR(K406/P406, 0)</f>
        <v/>
      </c>
      <c r="S406" s="38">
        <f>IFERROR(N406/P406,0)</f>
        <v/>
      </c>
      <c r="T406" s="31">
        <f>IFERROR(IF(N406&gt;0,(N406/K406),MIN(1,M406/J406)),0)</f>
        <v/>
      </c>
      <c r="U406" s="33" t="n"/>
    </row>
    <row r="407" hidden="1" s="40">
      <c r="A407" s="23" t="inlineStr">
        <is>
          <t>Semana 1 - março</t>
        </is>
      </c>
      <c r="B407" s="27">
        <f>YEAR(E407)</f>
        <v/>
      </c>
      <c r="C407" s="18">
        <f>INDEX({"Janeiro";"Fevereiro";"Março";"Abril";"Maio";"Junho";"Julho";"Agosto";"Setembro";"Outubro";"Novembro";"Dezembro"},Q407)</f>
        <v/>
      </c>
      <c r="D407" s="24" t="n">
        <v>1</v>
      </c>
      <c r="E407" s="25" t="n">
        <v>46082</v>
      </c>
      <c r="F407" s="23" t="inlineStr">
        <is>
          <t>QUEIJO MINAS MEIA CURA (FRACIONADO)</t>
        </is>
      </c>
      <c r="G407" s="23" t="inlineStr">
        <is>
          <t>QUEIJO</t>
        </is>
      </c>
      <c r="H407" s="26" t="n">
        <v>1</v>
      </c>
      <c r="I407" s="36" t="n">
        <v>400</v>
      </c>
      <c r="J407" s="21">
        <f>I407*H407</f>
        <v/>
      </c>
      <c r="K407" s="21">
        <f>IFERROR(IF(J407/P407&gt;1,P407,J407),0)</f>
        <v/>
      </c>
      <c r="L407" s="36" t="n">
        <v>362.52</v>
      </c>
      <c r="M407" s="21">
        <f>L407*H407</f>
        <v/>
      </c>
      <c r="N407" s="21">
        <f>IFERROR(IF(M407/K407&gt;1,K407,M407),0)</f>
        <v/>
      </c>
      <c r="O407" s="36" t="n">
        <v>0</v>
      </c>
      <c r="P407" s="21">
        <f>O407*H407</f>
        <v/>
      </c>
      <c r="Q407" s="30">
        <f>IF(MONTH(E407+1)=MONTH(E407+6),MONTH(E407+1),IF(MIN(EOMONTH(E407+1,0),E407+6)-(E407+1)+1&gt;=3,MONTH(E407+1),MONTH(E407+6)))</f>
        <v/>
      </c>
      <c r="R407" s="22">
        <f>IFERROR(K407/P407, 0)</f>
        <v/>
      </c>
      <c r="S407" s="38">
        <f>IFERROR(N407/P407,0)</f>
        <v/>
      </c>
      <c r="T407" s="31">
        <f>IFERROR(IF(N407&gt;0,(N407/K407),MIN(1,M407/J407)),0)</f>
        <v/>
      </c>
      <c r="U407" s="33" t="n"/>
    </row>
    <row r="408" hidden="1" s="40">
      <c r="A408" s="18" t="inlineStr">
        <is>
          <t>Semana 1 - março</t>
        </is>
      </c>
      <c r="B408" s="27">
        <f>YEAR(E408)</f>
        <v/>
      </c>
      <c r="C408" s="18">
        <f>INDEX({"Janeiro";"Fevereiro";"Março";"Abril";"Maio";"Junho";"Julho";"Agosto";"Setembro";"Outubro";"Novembro";"Dezembro"},Q408)</f>
        <v/>
      </c>
      <c r="D408" s="19" t="n">
        <v>1</v>
      </c>
      <c r="E408" s="20" t="n">
        <v>46082</v>
      </c>
      <c r="F408" s="18" t="inlineStr">
        <is>
          <t>QUEIJO MINAS MEIA CURA (INTEIRO)</t>
        </is>
      </c>
      <c r="G408" s="18" t="inlineStr">
        <is>
          <t>QUEIJO</t>
        </is>
      </c>
      <c r="H408" s="21" t="n">
        <v>1</v>
      </c>
      <c r="I408" s="36" t="n">
        <v>0</v>
      </c>
      <c r="J408" s="21">
        <f>I408*H408</f>
        <v/>
      </c>
      <c r="K408" s="21">
        <f>IFERROR(IF(J408/P408&gt;1,P408,J408),0)</f>
        <v/>
      </c>
      <c r="L408" s="36" t="n">
        <v>0</v>
      </c>
      <c r="M408" s="21">
        <f>L408*H408</f>
        <v/>
      </c>
      <c r="N408" s="21">
        <f>IFERROR(IF(M408/K408&gt;1,K408,M408),0)</f>
        <v/>
      </c>
      <c r="O408" s="36" t="n">
        <v>0</v>
      </c>
      <c r="P408" s="21">
        <f>O408*H408</f>
        <v/>
      </c>
      <c r="Q408" s="30">
        <f>IF(MONTH(E408+1)=MONTH(E408+6),MONTH(E408+1),IF(MIN(EOMONTH(E408+1,0),E408+6)-(E408+1)+1&gt;=3,MONTH(E408+1),MONTH(E408+6)))</f>
        <v/>
      </c>
      <c r="R408" s="22">
        <f>IFERROR(K408/P408, 0)</f>
        <v/>
      </c>
      <c r="S408" s="38">
        <f>IFERROR(N408/P408,0)</f>
        <v/>
      </c>
      <c r="T408" s="31">
        <f>IFERROR(IF(N408&gt;0,(N408/K408),MIN(1,M408/J408)),0)</f>
        <v/>
      </c>
      <c r="U408" s="33" t="n"/>
    </row>
    <row r="409" hidden="1" s="40">
      <c r="A409" s="23" t="inlineStr">
        <is>
          <t>Semana 1 - março</t>
        </is>
      </c>
      <c r="B409" s="27">
        <f>YEAR(E409)</f>
        <v/>
      </c>
      <c r="C409" s="18">
        <f>INDEX({"Janeiro";"Fevereiro";"Março";"Abril";"Maio";"Junho";"Julho";"Agosto";"Setembro";"Outubro";"Novembro";"Dezembro"},Q409)</f>
        <v/>
      </c>
      <c r="D409" s="24" t="n">
        <v>1</v>
      </c>
      <c r="E409" s="25" t="n">
        <v>46082</v>
      </c>
      <c r="F409" s="23" t="inlineStr">
        <is>
          <t xml:space="preserve">QUEIJO MINAS PADRÃO VIÇOSA FRACIONADO </t>
        </is>
      </c>
      <c r="G409" s="23" t="inlineStr">
        <is>
          <t>QUEIJO</t>
        </is>
      </c>
      <c r="H409" s="26" t="n">
        <v>1</v>
      </c>
      <c r="I409" s="36" t="n">
        <v>0</v>
      </c>
      <c r="J409" s="21">
        <f>I409*H409</f>
        <v/>
      </c>
      <c r="K409" s="21">
        <f>IFERROR(IF(J409/P409&gt;1,P409,J409),0)</f>
        <v/>
      </c>
      <c r="L409" s="36" t="n">
        <v>0</v>
      </c>
      <c r="M409" s="21">
        <f>L409*H409</f>
        <v/>
      </c>
      <c r="N409" s="21">
        <f>IFERROR(IF(M409/K409&gt;1,K409,M409),0)</f>
        <v/>
      </c>
      <c r="O409" s="36" t="n">
        <v>0</v>
      </c>
      <c r="P409" s="21">
        <f>O409*H409</f>
        <v/>
      </c>
      <c r="Q409" s="30">
        <f>IF(MONTH(E409+1)=MONTH(E409+6),MONTH(E409+1),IF(MIN(EOMONTH(E409+1,0),E409+6)-(E409+1)+1&gt;=3,MONTH(E409+1),MONTH(E409+6)))</f>
        <v/>
      </c>
      <c r="R409" s="22">
        <f>IFERROR(K409/P409, 0)</f>
        <v/>
      </c>
      <c r="S409" s="38">
        <f>IFERROR(N409/P409,0)</f>
        <v/>
      </c>
      <c r="T409" s="31">
        <f>IFERROR(IF(N409&gt;0,(N409/K409),MIN(1,M409/J409)),0)</f>
        <v/>
      </c>
      <c r="U409" s="33" t="n"/>
    </row>
    <row r="410" hidden="1" s="40">
      <c r="A410" s="18" t="inlineStr">
        <is>
          <t>Semana 1 - março</t>
        </is>
      </c>
      <c r="B410" s="27">
        <f>YEAR(E410)</f>
        <v/>
      </c>
      <c r="C410" s="18">
        <f>INDEX({"Janeiro";"Fevereiro";"Março";"Abril";"Maio";"Junho";"Julho";"Agosto";"Setembro";"Outubro";"Novembro";"Dezembro"},Q410)</f>
        <v/>
      </c>
      <c r="D410" s="19" t="n">
        <v>1</v>
      </c>
      <c r="E410" s="20" t="n">
        <v>46082</v>
      </c>
      <c r="F410" s="18" t="inlineStr">
        <is>
          <t>QUEIJO MUSSARELA 3KG</t>
        </is>
      </c>
      <c r="G410" s="18" t="inlineStr">
        <is>
          <t>QUEIJO</t>
        </is>
      </c>
      <c r="H410" s="21" t="n">
        <v>1</v>
      </c>
      <c r="I410" s="36" t="n">
        <v>167</v>
      </c>
      <c r="J410" s="21">
        <f>I410*H410</f>
        <v/>
      </c>
      <c r="K410" s="21">
        <f>IFERROR(IF(J410/P410&gt;1,P410,J410),0)</f>
        <v/>
      </c>
      <c r="L410" s="36" t="n">
        <v>167</v>
      </c>
      <c r="M410" s="21">
        <f>L410*H410</f>
        <v/>
      </c>
      <c r="N410" s="21">
        <f>IFERROR(IF(M410/K410&gt;1,K410,M410),0)</f>
        <v/>
      </c>
      <c r="O410" s="36" t="n">
        <v>167</v>
      </c>
      <c r="P410" s="21">
        <f>O410*H410</f>
        <v/>
      </c>
      <c r="Q410" s="30">
        <f>IF(MONTH(E410+1)=MONTH(E410+6),MONTH(E410+1),IF(MIN(EOMONTH(E410+1,0),E410+6)-(E410+1)+1&gt;=3,MONTH(E410+1),MONTH(E410+6)))</f>
        <v/>
      </c>
      <c r="R410" s="22">
        <f>IFERROR(K410/P410, 0)</f>
        <v/>
      </c>
      <c r="S410" s="38">
        <f>IFERROR(N410/P410,0)</f>
        <v/>
      </c>
      <c r="T410" s="31">
        <f>IFERROR(IF(N410&gt;0,(N410/K410),MIN(1,M410/J410)),0)</f>
        <v/>
      </c>
      <c r="U410" s="33" t="n"/>
    </row>
    <row r="411" hidden="1" s="40">
      <c r="A411" s="23" t="inlineStr">
        <is>
          <t>Semana 1 - março</t>
        </is>
      </c>
      <c r="B411" s="27">
        <f>YEAR(E411)</f>
        <v/>
      </c>
      <c r="C411" s="18">
        <f>INDEX({"Janeiro";"Fevereiro";"Março";"Abril";"Maio";"Junho";"Julho";"Agosto";"Setembro";"Outubro";"Novembro";"Dezembro"},Q411)</f>
        <v/>
      </c>
      <c r="D411" s="24" t="n">
        <v>1</v>
      </c>
      <c r="E411" s="25" t="n">
        <v>46082</v>
      </c>
      <c r="F411" s="23" t="inlineStr">
        <is>
          <t>QUEIJO MUSSARELA LANCHE</t>
        </is>
      </c>
      <c r="G411" s="23" t="inlineStr">
        <is>
          <t>QUEIJO</t>
        </is>
      </c>
      <c r="H411" s="26" t="n">
        <v>1</v>
      </c>
      <c r="I411" s="36" t="n">
        <v>0</v>
      </c>
      <c r="J411" s="21">
        <f>I411*H411</f>
        <v/>
      </c>
      <c r="K411" s="21">
        <f>IFERROR(IF(J411/P411&gt;1,P411,J411),0)</f>
        <v/>
      </c>
      <c r="L411" s="36" t="n">
        <v>0</v>
      </c>
      <c r="M411" s="21">
        <f>L411*H411</f>
        <v/>
      </c>
      <c r="N411" s="21">
        <f>IFERROR(IF(M411/K411&gt;1,K411,M411),0)</f>
        <v/>
      </c>
      <c r="O411" s="36" t="n">
        <v>0</v>
      </c>
      <c r="P411" s="21">
        <f>O411*H411</f>
        <v/>
      </c>
      <c r="Q411" s="30">
        <f>IF(MONTH(E411+1)=MONTH(E411+6),MONTH(E411+1),IF(MIN(EOMONTH(E411+1,0),E411+6)-(E411+1)+1&gt;=3,MONTH(E411+1),MONTH(E411+6)))</f>
        <v/>
      </c>
      <c r="R411" s="22">
        <f>IFERROR(K411/P411, 0)</f>
        <v/>
      </c>
      <c r="S411" s="38">
        <f>IFERROR(N411/P411,0)</f>
        <v/>
      </c>
      <c r="T411" s="31">
        <f>IFERROR(IF(N411&gt;0,(N411/K411),MIN(1,M411/J411)),0)</f>
        <v/>
      </c>
      <c r="U411" s="33" t="n"/>
    </row>
    <row r="412" hidden="1" s="40">
      <c r="A412" s="18" t="inlineStr">
        <is>
          <t>Semana 1 - março</t>
        </is>
      </c>
      <c r="B412" s="27">
        <f>YEAR(E412)</f>
        <v/>
      </c>
      <c r="C412" s="18">
        <f>INDEX({"Janeiro";"Fevereiro";"Março";"Abril";"Maio";"Junho";"Julho";"Agosto";"Setembro";"Outubro";"Novembro";"Dezembro"},Q412)</f>
        <v/>
      </c>
      <c r="D412" s="19" t="n">
        <v>1</v>
      </c>
      <c r="E412" s="20" t="n">
        <v>46082</v>
      </c>
      <c r="F412" s="18" t="inlineStr">
        <is>
          <t>REQUEIJÃO VIÇOSA 200g</t>
        </is>
      </c>
      <c r="G412" s="18" t="inlineStr">
        <is>
          <t>REQUEIJÃO</t>
        </is>
      </c>
      <c r="H412" s="21" t="n">
        <v>0.2</v>
      </c>
      <c r="I412" s="36" t="n">
        <v>2000</v>
      </c>
      <c r="J412" s="21">
        <f>I412*H412</f>
        <v/>
      </c>
      <c r="K412" s="21">
        <f>IFERROR(IF(J412/P412&gt;1,P412,J412),0)</f>
        <v/>
      </c>
      <c r="L412" s="36" t="n">
        <v>2738</v>
      </c>
      <c r="M412" s="21">
        <f>L412*H412</f>
        <v/>
      </c>
      <c r="N412" s="21">
        <f>IFERROR(IF(M412/K412&gt;1,K412,M412),0)</f>
        <v/>
      </c>
      <c r="O412" s="36" t="n">
        <v>1200</v>
      </c>
      <c r="P412" s="21">
        <f>O412*H412</f>
        <v/>
      </c>
      <c r="Q412" s="30">
        <f>IF(MONTH(E412+1)=MONTH(E412+6),MONTH(E412+1),IF(MIN(EOMONTH(E412+1,0),E412+6)-(E412+1)+1&gt;=3,MONTH(E412+1),MONTH(E412+6)))</f>
        <v/>
      </c>
      <c r="R412" s="22">
        <f>IFERROR(K412/P412, 0)</f>
        <v/>
      </c>
      <c r="S412" s="38">
        <f>IFERROR(N412/P412,0)</f>
        <v/>
      </c>
      <c r="T412" s="31">
        <f>IFERROR(IF(N412&gt;0,(N412/K412),MIN(1,M412/J412)),0)</f>
        <v/>
      </c>
      <c r="U412" s="33" t="n"/>
    </row>
    <row r="413" hidden="1" s="40">
      <c r="A413" s="23" t="inlineStr">
        <is>
          <t>Semana 1 - março</t>
        </is>
      </c>
      <c r="B413" s="27">
        <f>YEAR(E413)</f>
        <v/>
      </c>
      <c r="C413" s="18">
        <f>INDEX({"Janeiro";"Fevereiro";"Março";"Abril";"Maio";"Junho";"Julho";"Agosto";"Setembro";"Outubro";"Novembro";"Dezembro"},Q413)</f>
        <v/>
      </c>
      <c r="D413" s="24" t="n">
        <v>1</v>
      </c>
      <c r="E413" s="25" t="n">
        <v>46082</v>
      </c>
      <c r="F413" s="23" t="inlineStr">
        <is>
          <t>REQUEIJÃO VIÇOSA 400g</t>
        </is>
      </c>
      <c r="G413" s="23" t="inlineStr">
        <is>
          <t>REQUEIJÃO</t>
        </is>
      </c>
      <c r="H413" s="26" t="n">
        <v>0.4</v>
      </c>
      <c r="I413" s="36" t="n">
        <v>4620</v>
      </c>
      <c r="J413" s="21">
        <f>I413*H413</f>
        <v/>
      </c>
      <c r="K413" s="21">
        <f>IFERROR(IF(J413/P413&gt;1,P413,J413),0)</f>
        <v/>
      </c>
      <c r="L413" s="36" t="n">
        <v>3800</v>
      </c>
      <c r="M413" s="21">
        <f>L413*H413</f>
        <v/>
      </c>
      <c r="N413" s="21">
        <f>IFERROR(IF(M413/K413&gt;1,K413,M413),0)</f>
        <v/>
      </c>
      <c r="O413" s="36" t="n">
        <v>2800</v>
      </c>
      <c r="P413" s="21">
        <f>O413*H413</f>
        <v/>
      </c>
      <c r="Q413" s="30">
        <f>IF(MONTH(E413+1)=MONTH(E413+6),MONTH(E413+1),IF(MIN(EOMONTH(E413+1,0),E413+6)-(E413+1)+1&gt;=3,MONTH(E413+1),MONTH(E413+6)))</f>
        <v/>
      </c>
      <c r="R413" s="22">
        <f>IFERROR(K413/P413, 0)</f>
        <v/>
      </c>
      <c r="S413" s="38">
        <f>IFERROR(N413/P413,0)</f>
        <v/>
      </c>
      <c r="T413" s="31">
        <f>IFERROR(IF(N413&gt;0,(N413/K413),MIN(1,M413/J413)),0)</f>
        <v/>
      </c>
      <c r="U413" s="33" t="n"/>
    </row>
    <row r="414" hidden="1" s="40">
      <c r="A414" s="18" t="inlineStr">
        <is>
          <t>Semana 1 - março</t>
        </is>
      </c>
      <c r="B414" s="27">
        <f>YEAR(E414)</f>
        <v/>
      </c>
      <c r="C414" s="18">
        <f>INDEX({"Janeiro";"Fevereiro";"Março";"Abril";"Maio";"Junho";"Julho";"Agosto";"Setembro";"Outubro";"Novembro";"Dezembro"},Q414)</f>
        <v/>
      </c>
      <c r="D414" s="19" t="n">
        <v>1</v>
      </c>
      <c r="E414" s="20" t="n">
        <v>46082</v>
      </c>
      <c r="F414" s="18" t="inlineStr">
        <is>
          <t>Requeijão Light 200g</t>
        </is>
      </c>
      <c r="G414" s="18" t="inlineStr">
        <is>
          <t>REQUEIJÃO</t>
        </is>
      </c>
      <c r="H414" s="21" t="n">
        <v>0.2</v>
      </c>
      <c r="I414" s="36" t="n">
        <v>1200</v>
      </c>
      <c r="J414" s="21">
        <f>I414*H414</f>
        <v/>
      </c>
      <c r="K414" s="21">
        <f>IFERROR(IF(J414/P414&gt;1,P414,J414),0)</f>
        <v/>
      </c>
      <c r="L414" s="36" t="n">
        <v>1540</v>
      </c>
      <c r="M414" s="21">
        <f>L414*H414</f>
        <v/>
      </c>
      <c r="N414" s="21">
        <f>IFERROR(IF(M414/K414&gt;1,K414,M414),0)</f>
        <v/>
      </c>
      <c r="O414" s="36" t="n">
        <v>2800</v>
      </c>
      <c r="P414" s="21">
        <f>O414*H414</f>
        <v/>
      </c>
      <c r="Q414" s="30">
        <f>IF(MONTH(E414+1)=MONTH(E414+6),MONTH(E414+1),IF(MIN(EOMONTH(E414+1,0),E414+6)-(E414+1)+1&gt;=3,MONTH(E414+1),MONTH(E414+6)))</f>
        <v/>
      </c>
      <c r="R414" s="22">
        <f>IFERROR(K414/P414, 0)</f>
        <v/>
      </c>
      <c r="S414" s="38">
        <f>IFERROR(N414/P414,0)</f>
        <v/>
      </c>
      <c r="T414" s="31">
        <f>IFERROR(IF(N414&gt;0,(N414/K414),MIN(1,M414/J414)),0)</f>
        <v/>
      </c>
      <c r="U414" s="33" t="n"/>
    </row>
    <row r="415" hidden="1" s="40">
      <c r="A415" s="23" t="inlineStr">
        <is>
          <t>Semana 1 - março</t>
        </is>
      </c>
      <c r="B415" s="27">
        <f>YEAR(E415)</f>
        <v/>
      </c>
      <c r="C415" s="18">
        <f>INDEX({"Janeiro";"Fevereiro";"Março";"Abril";"Maio";"Junho";"Julho";"Agosto";"Setembro";"Outubro";"Novembro";"Dezembro"},Q415)</f>
        <v/>
      </c>
      <c r="D415" s="24" t="n">
        <v>1</v>
      </c>
      <c r="E415" s="25" t="n">
        <v>46082</v>
      </c>
      <c r="F415" s="23" t="inlineStr">
        <is>
          <t>Creme de Ricota 200g</t>
        </is>
      </c>
      <c r="G415" s="23" t="inlineStr">
        <is>
          <t>RICOTA</t>
        </is>
      </c>
      <c r="H415" s="26" t="n">
        <v>0.2</v>
      </c>
      <c r="I415" s="36" t="n">
        <v>1200</v>
      </c>
      <c r="J415" s="21">
        <f>I415*H415</f>
        <v/>
      </c>
      <c r="K415" s="21">
        <f>IFERROR(IF(J415/P415&gt;1,P415,J415),0)</f>
        <v/>
      </c>
      <c r="L415" s="36" t="n">
        <v>0</v>
      </c>
      <c r="M415" s="21">
        <f>L415*H415</f>
        <v/>
      </c>
      <c r="N415" s="21">
        <f>IFERROR(IF(M415/K415&gt;1,K415,M415),0)</f>
        <v/>
      </c>
      <c r="O415" s="36" t="n">
        <v>1200</v>
      </c>
      <c r="P415" s="21">
        <f>O415*H415</f>
        <v/>
      </c>
      <c r="Q415" s="30">
        <f>IF(MONTH(E415+1)=MONTH(E415+6),MONTH(E415+1),IF(MIN(EOMONTH(E415+1,0),E415+6)-(E415+1)+1&gt;=3,MONTH(E415+1),MONTH(E415+6)))</f>
        <v/>
      </c>
      <c r="R415" s="22">
        <f>IFERROR(K415/P415, 0)</f>
        <v/>
      </c>
      <c r="S415" s="38">
        <f>IFERROR(N415/P415,0)</f>
        <v/>
      </c>
      <c r="T415" s="31">
        <f>IFERROR(IF(N415&gt;0,(N415/K415),MIN(1,M415/J415)),0)</f>
        <v/>
      </c>
      <c r="U415" s="33" t="n"/>
    </row>
    <row r="416" hidden="1" s="40">
      <c r="A416" s="18" t="inlineStr">
        <is>
          <t>Semana 2 - março</t>
        </is>
      </c>
      <c r="B416" s="27">
        <f>YEAR(E416)</f>
        <v/>
      </c>
      <c r="C416" s="18">
        <f>INDEX({"Janeiro";"Fevereiro";"Março";"Abril";"Maio";"Junho";"Julho";"Agosto";"Setembro";"Outubro";"Novembro";"Dezembro"},Q416)</f>
        <v/>
      </c>
      <c r="D416" s="19" t="n">
        <v>2</v>
      </c>
      <c r="E416" s="20" t="n">
        <v>46090</v>
      </c>
      <c r="F416" s="18" t="inlineStr">
        <is>
          <t>Doce de Leite 400g</t>
        </is>
      </c>
      <c r="G416" s="18" t="inlineStr">
        <is>
          <t>DOCE</t>
        </is>
      </c>
      <c r="H416" s="21" t="n">
        <v>0.4</v>
      </c>
      <c r="I416" s="36" t="n">
        <v>24000</v>
      </c>
      <c r="J416" s="21">
        <f>I416*H416</f>
        <v/>
      </c>
      <c r="K416" s="21">
        <f>IFERROR(IF(J416/P416&gt;1,P416,J416),0)</f>
        <v/>
      </c>
      <c r="L416" s="36" t="n">
        <v>25048</v>
      </c>
      <c r="M416" s="21">
        <f>L416*H416</f>
        <v/>
      </c>
      <c r="N416" s="21">
        <f>IFERROR(IF(M416/K416&gt;1,K416,M416),0)</f>
        <v/>
      </c>
      <c r="O416" s="36" t="n">
        <v>24000</v>
      </c>
      <c r="P416" s="21">
        <f>O416*H416</f>
        <v/>
      </c>
      <c r="Q416" s="30">
        <f>IF(MONTH(E416+1)=MONTH(E416+6),MONTH(E416+1),IF(MIN(EOMONTH(E416+1,0),E416+6)-(E416+1)+1&gt;=3,MONTH(E416+1),MONTH(E416+6)))</f>
        <v/>
      </c>
      <c r="R416" s="22">
        <f>IFERROR(K416/P416, 0)</f>
        <v/>
      </c>
      <c r="S416" s="38">
        <f>IFERROR(N416/P416,0)</f>
        <v/>
      </c>
      <c r="T416" s="31">
        <f>IFERROR(IF(N416&gt;0,(N416/K416),MIN(1,M416/J416)),0)</f>
        <v/>
      </c>
      <c r="U416" s="33" t="n"/>
    </row>
    <row r="417" hidden="1" s="40">
      <c r="A417" s="23" t="inlineStr">
        <is>
          <t>Semana 2 - março</t>
        </is>
      </c>
      <c r="B417" s="27">
        <f>YEAR(E417)</f>
        <v/>
      </c>
      <c r="C417" s="18">
        <f>INDEX({"Janeiro";"Fevereiro";"Março";"Abril";"Maio";"Junho";"Julho";"Agosto";"Setembro";"Outubro";"Novembro";"Dezembro"},Q417)</f>
        <v/>
      </c>
      <c r="D417" s="24" t="n">
        <v>2</v>
      </c>
      <c r="E417" s="25" t="n">
        <v>46090</v>
      </c>
      <c r="F417" s="23" t="inlineStr">
        <is>
          <t>Doce de Leite 5kg</t>
        </is>
      </c>
      <c r="G417" s="23" t="inlineStr">
        <is>
          <t>DOCE</t>
        </is>
      </c>
      <c r="H417" s="26" t="n">
        <v>5</v>
      </c>
      <c r="I417" s="36" t="n">
        <v>3255</v>
      </c>
      <c r="J417" s="21">
        <f>I417*H417</f>
        <v/>
      </c>
      <c r="K417" s="21">
        <f>IFERROR(IF(J417/P417&gt;1,P417,J417),0)</f>
        <v/>
      </c>
      <c r="L417" s="36" t="n">
        <v>3305</v>
      </c>
      <c r="M417" s="21">
        <f>L417*H417</f>
        <v/>
      </c>
      <c r="N417" s="21">
        <f>IFERROR(IF(M417/K417&gt;1,K417,M417),0)</f>
        <v/>
      </c>
      <c r="O417" s="36" t="n">
        <v>2325</v>
      </c>
      <c r="P417" s="21">
        <f>O417*H417</f>
        <v/>
      </c>
      <c r="Q417" s="30">
        <f>IF(MONTH(E417+1)=MONTH(E417+6),MONTH(E417+1),IF(MIN(EOMONTH(E417+1,0),E417+6)-(E417+1)+1&gt;=3,MONTH(E417+1),MONTH(E417+6)))</f>
        <v/>
      </c>
      <c r="R417" s="22">
        <f>IFERROR(K417/P417, 0)</f>
        <v/>
      </c>
      <c r="S417" s="38">
        <f>IFERROR(N417/P417,0)</f>
        <v/>
      </c>
      <c r="T417" s="31">
        <f>IFERROR(IF(N417&gt;0,(N417/K417),MIN(1,M417/J417)),0)</f>
        <v/>
      </c>
      <c r="U417" s="33" t="n"/>
    </row>
    <row r="418" hidden="1" s="40">
      <c r="A418" s="18" t="inlineStr">
        <is>
          <t>Semana 2 - março</t>
        </is>
      </c>
      <c r="B418" s="27">
        <f>YEAR(E418)</f>
        <v/>
      </c>
      <c r="C418" s="18">
        <f>INDEX({"Janeiro";"Fevereiro";"Março";"Abril";"Maio";"Junho";"Julho";"Agosto";"Setembro";"Outubro";"Novembro";"Dezembro"},Q418)</f>
        <v/>
      </c>
      <c r="D418" s="19" t="n">
        <v>2</v>
      </c>
      <c r="E418" s="20" t="n">
        <v>46090</v>
      </c>
      <c r="F418" s="18" t="inlineStr">
        <is>
          <t>Doce de Leite 5kg - Bombeável</t>
        </is>
      </c>
      <c r="G418" s="18" t="inlineStr">
        <is>
          <t>DOCE</t>
        </is>
      </c>
      <c r="H418" s="21" t="n">
        <v>5</v>
      </c>
      <c r="I418" s="36" t="n">
        <v>0</v>
      </c>
      <c r="J418" s="21">
        <f>I418*H418</f>
        <v/>
      </c>
      <c r="K418" s="21">
        <f>IFERROR(IF(J418/P418&gt;1,P418,J418),0)</f>
        <v/>
      </c>
      <c r="L418" s="36" t="n">
        <v>0</v>
      </c>
      <c r="M418" s="21">
        <f>L418*H418</f>
        <v/>
      </c>
      <c r="N418" s="21">
        <f>IFERROR(IF(M418/K418&gt;1,K418,M418),0)</f>
        <v/>
      </c>
      <c r="O418" s="36" t="n">
        <v>0</v>
      </c>
      <c r="P418" s="21">
        <f>O418*H418</f>
        <v/>
      </c>
      <c r="Q418" s="30">
        <f>IF(MONTH(E418+1)=MONTH(E418+6),MONTH(E418+1),IF(MIN(EOMONTH(E418+1,0),E418+6)-(E418+1)+1&gt;=3,MONTH(E418+1),MONTH(E418+6)))</f>
        <v/>
      </c>
      <c r="R418" s="22">
        <f>IFERROR(K418/P418, 0)</f>
        <v/>
      </c>
      <c r="S418" s="38">
        <f>IFERROR(N418/P418,0)</f>
        <v/>
      </c>
      <c r="T418" s="31">
        <f>IFERROR(IF(N418&gt;0,(N418/K418),MIN(1,M418/J418)),0)</f>
        <v/>
      </c>
      <c r="U418" s="33" t="n"/>
    </row>
    <row r="419" hidden="1" s="40">
      <c r="A419" s="23" t="inlineStr">
        <is>
          <t>Semana 2 - março</t>
        </is>
      </c>
      <c r="B419" s="27">
        <f>YEAR(E419)</f>
        <v/>
      </c>
      <c r="C419" s="18">
        <f>INDEX({"Janeiro";"Fevereiro";"Março";"Abril";"Maio";"Junho";"Julho";"Agosto";"Setembro";"Outubro";"Novembro";"Dezembro"},Q419)</f>
        <v/>
      </c>
      <c r="D419" s="24" t="n">
        <v>2</v>
      </c>
      <c r="E419" s="25" t="n">
        <v>46090</v>
      </c>
      <c r="F419" s="23" t="inlineStr">
        <is>
          <t>Doce de Leite 5kg - Forneável</t>
        </is>
      </c>
      <c r="G419" s="23" t="inlineStr">
        <is>
          <t>DOCE</t>
        </is>
      </c>
      <c r="H419" s="26" t="n">
        <v>5</v>
      </c>
      <c r="I419" s="36" t="n">
        <v>0</v>
      </c>
      <c r="J419" s="21">
        <f>I419*H419</f>
        <v/>
      </c>
      <c r="K419" s="21">
        <f>IFERROR(IF(J419/P419&gt;1,P419,J419),0)</f>
        <v/>
      </c>
      <c r="L419" s="36" t="n">
        <v>0</v>
      </c>
      <c r="M419" s="21">
        <f>L419*H419</f>
        <v/>
      </c>
      <c r="N419" s="21">
        <f>IFERROR(IF(M419/K419&gt;1,K419,M419),0)</f>
        <v/>
      </c>
      <c r="O419" s="36" t="n">
        <v>0</v>
      </c>
      <c r="P419" s="21">
        <f>O419*H419</f>
        <v/>
      </c>
      <c r="Q419" s="30">
        <f>IF(MONTH(E419+1)=MONTH(E419+6),MONTH(E419+1),IF(MIN(EOMONTH(E419+1,0),E419+6)-(E419+1)+1&gt;=3,MONTH(E419+1),MONTH(E419+6)))</f>
        <v/>
      </c>
      <c r="R419" s="22">
        <f>IFERROR(K419/P419, 0)</f>
        <v/>
      </c>
      <c r="S419" s="38">
        <f>IFERROR(N419/P419,0)</f>
        <v/>
      </c>
      <c r="T419" s="31">
        <f>IFERROR(IF(N419&gt;0,(N419/K419),MIN(1,M419/J419)),0)</f>
        <v/>
      </c>
      <c r="U419" s="33" t="n"/>
    </row>
    <row r="420" hidden="1" s="40">
      <c r="A420" s="18" t="inlineStr">
        <is>
          <t>Semana 2 - março</t>
        </is>
      </c>
      <c r="B420" s="27">
        <f>YEAR(E420)</f>
        <v/>
      </c>
      <c r="C420" s="18">
        <f>INDEX({"Janeiro";"Fevereiro";"Março";"Abril";"Maio";"Junho";"Julho";"Agosto";"Setembro";"Outubro";"Novembro";"Dezembro"},Q420)</f>
        <v/>
      </c>
      <c r="D420" s="19" t="n">
        <v>2</v>
      </c>
      <c r="E420" s="20" t="n">
        <v>46090</v>
      </c>
      <c r="F420" s="18" t="inlineStr">
        <is>
          <t>Doce de Leite 800g</t>
        </is>
      </c>
      <c r="G420" s="18" t="inlineStr">
        <is>
          <t>DOCE</t>
        </is>
      </c>
      <c r="H420" s="21" t="n">
        <v>0.8</v>
      </c>
      <c r="I420" s="36" t="n">
        <v>27000</v>
      </c>
      <c r="J420" s="21">
        <f>I420*H420</f>
        <v/>
      </c>
      <c r="K420" s="21">
        <f>IFERROR(IF(J420/P420&gt;1,P420,J420),0)</f>
        <v/>
      </c>
      <c r="L420" s="36" t="n">
        <v>29530</v>
      </c>
      <c r="M420" s="21">
        <f>L420*H420</f>
        <v/>
      </c>
      <c r="N420" s="21">
        <f>IFERROR(IF(M420/K420&gt;1,K420,M420),0)</f>
        <v/>
      </c>
      <c r="O420" s="36" t="n">
        <v>18000</v>
      </c>
      <c r="P420" s="21">
        <f>O420*H420</f>
        <v/>
      </c>
      <c r="Q420" s="30">
        <f>IF(MONTH(E420+1)=MONTH(E420+6),MONTH(E420+1),IF(MIN(EOMONTH(E420+1,0),E420+6)-(E420+1)+1&gt;=3,MONTH(E420+1),MONTH(E420+6)))</f>
        <v/>
      </c>
      <c r="R420" s="22">
        <f>IFERROR(K420/P420, 0)</f>
        <v/>
      </c>
      <c r="S420" s="38">
        <f>IFERROR(N420/P420,0)</f>
        <v/>
      </c>
      <c r="T420" s="31">
        <f>IFERROR(IF(N420&gt;0,(N420/K420),MIN(1,M420/J420)),0)</f>
        <v/>
      </c>
      <c r="U420" s="33" t="n"/>
    </row>
    <row r="421" hidden="1" s="40">
      <c r="A421" s="23" t="inlineStr">
        <is>
          <t>Semana 2 - março</t>
        </is>
      </c>
      <c r="B421" s="27">
        <f>YEAR(E421)</f>
        <v/>
      </c>
      <c r="C421" s="18">
        <f>INDEX({"Janeiro";"Fevereiro";"Março";"Abril";"Maio";"Junho";"Julho";"Agosto";"Setembro";"Outubro";"Novembro";"Dezembro"},Q421)</f>
        <v/>
      </c>
      <c r="D421" s="24" t="n">
        <v>2</v>
      </c>
      <c r="E421" s="25" t="n">
        <v>46090</v>
      </c>
      <c r="F421" s="23" t="inlineStr">
        <is>
          <t>Doce de Leite Cacau 400g</t>
        </is>
      </c>
      <c r="G421" s="23" t="inlineStr">
        <is>
          <t>DOCE</t>
        </is>
      </c>
      <c r="H421" s="26" t="n">
        <v>0.4</v>
      </c>
      <c r="I421" s="36" t="n">
        <v>6000</v>
      </c>
      <c r="J421" s="21">
        <f>I421*H421</f>
        <v/>
      </c>
      <c r="K421" s="21">
        <f>IFERROR(IF(J421/P421&gt;1,P421,J421),0)</f>
        <v/>
      </c>
      <c r="L421" s="36" t="n">
        <v>6126</v>
      </c>
      <c r="M421" s="21">
        <f>L421*H421</f>
        <v/>
      </c>
      <c r="N421" s="21">
        <f>IFERROR(IF(M421/K421&gt;1,K421,M421),0)</f>
        <v/>
      </c>
      <c r="O421" s="36" t="n">
        <v>6000</v>
      </c>
      <c r="P421" s="21">
        <f>O421*H421</f>
        <v/>
      </c>
      <c r="Q421" s="30">
        <f>IF(MONTH(E421+1)=MONTH(E421+6),MONTH(E421+1),IF(MIN(EOMONTH(E421+1,0),E421+6)-(E421+1)+1&gt;=3,MONTH(E421+1),MONTH(E421+6)))</f>
        <v/>
      </c>
      <c r="R421" s="22">
        <f>IFERROR(K421/P421, 0)</f>
        <v/>
      </c>
      <c r="S421" s="38">
        <f>IFERROR(N421/P421,0)</f>
        <v/>
      </c>
      <c r="T421" s="31">
        <f>IFERROR(IF(N421&gt;0,(N421/K421),MIN(1,M421/J421)),0)</f>
        <v/>
      </c>
      <c r="U421" s="33" t="n"/>
    </row>
    <row r="422" hidden="1" s="40">
      <c r="A422" s="18" t="inlineStr">
        <is>
          <t>Semana 2 - março</t>
        </is>
      </c>
      <c r="B422" s="27">
        <f>YEAR(E422)</f>
        <v/>
      </c>
      <c r="C422" s="18">
        <f>INDEX({"Janeiro";"Fevereiro";"Março";"Abril";"Maio";"Junho";"Julho";"Agosto";"Setembro";"Outubro";"Novembro";"Dezembro"},Q422)</f>
        <v/>
      </c>
      <c r="D422" s="19" t="n">
        <v>2</v>
      </c>
      <c r="E422" s="20" t="n">
        <v>46090</v>
      </c>
      <c r="F422" s="18" t="inlineStr">
        <is>
          <t>Doce de Leite Cacau 5kg - Bombeável</t>
        </is>
      </c>
      <c r="G422" s="18" t="inlineStr">
        <is>
          <t>DOCE</t>
        </is>
      </c>
      <c r="H422" s="21" t="n">
        <v>5</v>
      </c>
      <c r="I422" s="36" t="n">
        <v>0</v>
      </c>
      <c r="J422" s="21">
        <f>I422*H422</f>
        <v/>
      </c>
      <c r="K422" s="21">
        <f>IFERROR(IF(J422/P422&gt;1,P422,J422),0)</f>
        <v/>
      </c>
      <c r="L422" s="36" t="n">
        <v>0</v>
      </c>
      <c r="M422" s="21">
        <f>L422*H422</f>
        <v/>
      </c>
      <c r="N422" s="21">
        <f>IFERROR(IF(M422/K422&gt;1,K422,M422),0)</f>
        <v/>
      </c>
      <c r="O422" s="36" t="n">
        <v>0</v>
      </c>
      <c r="P422" s="21">
        <f>O422*H422</f>
        <v/>
      </c>
      <c r="Q422" s="30">
        <f>IF(MONTH(E422+1)=MONTH(E422+6),MONTH(E422+1),IF(MIN(EOMONTH(E422+1,0),E422+6)-(E422+1)+1&gt;=3,MONTH(E422+1),MONTH(E422+6)))</f>
        <v/>
      </c>
      <c r="R422" s="22">
        <f>IFERROR(K422/P422, 0)</f>
        <v/>
      </c>
      <c r="S422" s="38">
        <f>IFERROR(N422/P422,0)</f>
        <v/>
      </c>
      <c r="T422" s="31">
        <f>IFERROR(IF(N422&gt;0,(N422/K422),MIN(1,M422/J422)),0)</f>
        <v/>
      </c>
      <c r="U422" s="33" t="n"/>
    </row>
    <row r="423" hidden="1" s="40">
      <c r="A423" s="23" t="inlineStr">
        <is>
          <t>Semana 2 - março</t>
        </is>
      </c>
      <c r="B423" s="27">
        <f>YEAR(E423)</f>
        <v/>
      </c>
      <c r="C423" s="18">
        <f>INDEX({"Janeiro";"Fevereiro";"Março";"Abril";"Maio";"Junho";"Julho";"Agosto";"Setembro";"Outubro";"Novembro";"Dezembro"},Q423)</f>
        <v/>
      </c>
      <c r="D423" s="24" t="n">
        <v>2</v>
      </c>
      <c r="E423" s="25" t="n">
        <v>46090</v>
      </c>
      <c r="F423" s="23" t="inlineStr">
        <is>
          <t>Doce de Leite Cacau 5kg - FOOD</t>
        </is>
      </c>
      <c r="G423" s="23" t="inlineStr">
        <is>
          <t>DOCE</t>
        </is>
      </c>
      <c r="H423" s="26" t="n">
        <v>5</v>
      </c>
      <c r="I423" s="36" t="n">
        <v>0</v>
      </c>
      <c r="J423" s="21">
        <f>I423*H423</f>
        <v/>
      </c>
      <c r="K423" s="21">
        <f>IFERROR(IF(J423/P423&gt;1,P423,J423),0)</f>
        <v/>
      </c>
      <c r="L423" s="36" t="n">
        <v>0</v>
      </c>
      <c r="M423" s="21">
        <f>L423*H423</f>
        <v/>
      </c>
      <c r="N423" s="21">
        <f>IFERROR(IF(M423/K423&gt;1,K423,M423),0)</f>
        <v/>
      </c>
      <c r="O423" s="36" t="n">
        <v>0</v>
      </c>
      <c r="P423" s="21">
        <f>O423*H423</f>
        <v/>
      </c>
      <c r="Q423" s="30">
        <f>IF(MONTH(E423+1)=MONTH(E423+6),MONTH(E423+1),IF(MIN(EOMONTH(E423+1,0),E423+6)-(E423+1)+1&gt;=3,MONTH(E423+1),MONTH(E423+6)))</f>
        <v/>
      </c>
      <c r="R423" s="22">
        <f>IFERROR(K423/P423, 0)</f>
        <v/>
      </c>
      <c r="S423" s="38">
        <f>IFERROR(N423/P423,0)</f>
        <v/>
      </c>
      <c r="T423" s="31">
        <f>IFERROR(IF(N423&gt;0,(N423/K423),MIN(1,M423/J423)),0)</f>
        <v/>
      </c>
      <c r="U423" s="33" t="n"/>
    </row>
    <row r="424" hidden="1" s="40">
      <c r="A424" s="18" t="inlineStr">
        <is>
          <t>Semana 2 - março</t>
        </is>
      </c>
      <c r="B424" s="27">
        <f>YEAR(E424)</f>
        <v/>
      </c>
      <c r="C424" s="18">
        <f>INDEX({"Janeiro";"Fevereiro";"Março";"Abril";"Maio";"Junho";"Julho";"Agosto";"Setembro";"Outubro";"Novembro";"Dezembro"},Q424)</f>
        <v/>
      </c>
      <c r="D424" s="19" t="n">
        <v>2</v>
      </c>
      <c r="E424" s="20" t="n">
        <v>46090</v>
      </c>
      <c r="F424" s="18" t="inlineStr">
        <is>
          <t>Doce de Leite c/ Café 400</t>
        </is>
      </c>
      <c r="G424" s="18" t="inlineStr">
        <is>
          <t>DOCE</t>
        </is>
      </c>
      <c r="H424" s="21" t="n">
        <v>0.4</v>
      </c>
      <c r="I424" s="36" t="n">
        <v>0</v>
      </c>
      <c r="J424" s="21">
        <f>I424*H424</f>
        <v/>
      </c>
      <c r="K424" s="21">
        <f>IFERROR(IF(J424/P424&gt;1,P424,J424),0)</f>
        <v/>
      </c>
      <c r="L424" s="36" t="n">
        <v>0</v>
      </c>
      <c r="M424" s="21">
        <f>L424*H424</f>
        <v/>
      </c>
      <c r="N424" s="21">
        <f>IFERROR(IF(M424/K424&gt;1,K424,M424),0)</f>
        <v/>
      </c>
      <c r="O424" s="36" t="n">
        <v>0</v>
      </c>
      <c r="P424" s="21">
        <f>O424*H424</f>
        <v/>
      </c>
      <c r="Q424" s="30">
        <f>IF(MONTH(E424+1)=MONTH(E424+6),MONTH(E424+1),IF(MIN(EOMONTH(E424+1,0),E424+6)-(E424+1)+1&gt;=3,MONTH(E424+1),MONTH(E424+6)))</f>
        <v/>
      </c>
      <c r="R424" s="22">
        <f>IFERROR(K424/P424, 0)</f>
        <v/>
      </c>
      <c r="S424" s="38">
        <f>IFERROR(N424/P424,0)</f>
        <v/>
      </c>
      <c r="T424" s="31">
        <f>IFERROR(IF(N424&gt;0,(N424/K424),MIN(1,M424/J424)),0)</f>
        <v/>
      </c>
      <c r="U424" s="33" t="n"/>
    </row>
    <row r="425" hidden="1" s="40">
      <c r="A425" s="23" t="inlineStr">
        <is>
          <t>Semana 2 - março</t>
        </is>
      </c>
      <c r="B425" s="27">
        <f>YEAR(E425)</f>
        <v/>
      </c>
      <c r="C425" s="18">
        <f>INDEX({"Janeiro";"Fevereiro";"Março";"Abril";"Maio";"Junho";"Julho";"Agosto";"Setembro";"Outubro";"Novembro";"Dezembro"},Q425)</f>
        <v/>
      </c>
      <c r="D425" s="24" t="n">
        <v>2</v>
      </c>
      <c r="E425" s="25" t="n">
        <v>46090</v>
      </c>
      <c r="F425" s="23" t="inlineStr">
        <is>
          <t>Doce de Leite c/ Café 5kg</t>
        </is>
      </c>
      <c r="G425" s="23" t="inlineStr">
        <is>
          <t>DOCE</t>
        </is>
      </c>
      <c r="H425" s="26" t="n">
        <v>5</v>
      </c>
      <c r="I425" s="36" t="n">
        <v>0</v>
      </c>
      <c r="J425" s="21">
        <f>I425*H425</f>
        <v/>
      </c>
      <c r="K425" s="21">
        <f>IFERROR(IF(J425/P425&gt;1,P425,J425),0)</f>
        <v/>
      </c>
      <c r="L425" s="36" t="n">
        <v>0</v>
      </c>
      <c r="M425" s="21">
        <f>L425*H425</f>
        <v/>
      </c>
      <c r="N425" s="21">
        <f>IFERROR(IF(M425/K425&gt;1,K425,M425),0)</f>
        <v/>
      </c>
      <c r="O425" s="36" t="n">
        <v>0</v>
      </c>
      <c r="P425" s="21">
        <f>O425*H425</f>
        <v/>
      </c>
      <c r="Q425" s="30">
        <f>IF(MONTH(E425+1)=MONTH(E425+6),MONTH(E425+1),IF(MIN(EOMONTH(E425+1,0),E425+6)-(E425+1)+1&gt;=3,MONTH(E425+1),MONTH(E425+6)))</f>
        <v/>
      </c>
      <c r="R425" s="22">
        <f>IFERROR(K425/P425, 0)</f>
        <v/>
      </c>
      <c r="S425" s="38">
        <f>IFERROR(N425/P425,0)</f>
        <v/>
      </c>
      <c r="T425" s="31">
        <f>IFERROR(IF(N425&gt;0,(N425/K425),MIN(1,M425/J425)),0)</f>
        <v/>
      </c>
      <c r="U425" s="33" t="n"/>
    </row>
    <row r="426" hidden="1" s="40">
      <c r="A426" s="18" t="inlineStr">
        <is>
          <t>Semana 2 - março</t>
        </is>
      </c>
      <c r="B426" s="27">
        <f>YEAR(E426)</f>
        <v/>
      </c>
      <c r="C426" s="18">
        <f>INDEX({"Janeiro";"Fevereiro";"Março";"Abril";"Maio";"Junho";"Julho";"Agosto";"Setembro";"Outubro";"Novembro";"Dezembro"},Q426)</f>
        <v/>
      </c>
      <c r="D426" s="19" t="n">
        <v>2</v>
      </c>
      <c r="E426" s="20" t="n">
        <v>46090</v>
      </c>
      <c r="F426" s="18" t="inlineStr">
        <is>
          <t>Doce de Leite c/ coco 400</t>
        </is>
      </c>
      <c r="G426" s="18" t="inlineStr">
        <is>
          <t>DOCE</t>
        </is>
      </c>
      <c r="H426" s="21" t="n">
        <v>0.4</v>
      </c>
      <c r="I426" s="36" t="n">
        <v>0</v>
      </c>
      <c r="J426" s="21">
        <f>I426*H426</f>
        <v/>
      </c>
      <c r="K426" s="21">
        <f>IFERROR(IF(J426/P426&gt;1,P426,J426),0)</f>
        <v/>
      </c>
      <c r="L426" s="36" t="n">
        <v>0</v>
      </c>
      <c r="M426" s="21">
        <f>L426*H426</f>
        <v/>
      </c>
      <c r="N426" s="21">
        <f>IFERROR(IF(M426/K426&gt;1,K426,M426),0)</f>
        <v/>
      </c>
      <c r="O426" s="36" t="n">
        <v>0</v>
      </c>
      <c r="P426" s="21">
        <f>O426*H426</f>
        <v/>
      </c>
      <c r="Q426" s="30">
        <f>IF(MONTH(E426+1)=MONTH(E426+6),MONTH(E426+1),IF(MIN(EOMONTH(E426+1,0),E426+6)-(E426+1)+1&gt;=3,MONTH(E426+1),MONTH(E426+6)))</f>
        <v/>
      </c>
      <c r="R426" s="22">
        <f>IFERROR(K426/P426, 0)</f>
        <v/>
      </c>
      <c r="S426" s="38">
        <f>IFERROR(N426/P426,0)</f>
        <v/>
      </c>
      <c r="T426" s="31">
        <f>IFERROR(IF(N426&gt;0,(N426/K426),MIN(1,M426/J426)),0)</f>
        <v/>
      </c>
      <c r="U426" s="33" t="n"/>
    </row>
    <row r="427" hidden="1" s="40">
      <c r="A427" s="23" t="inlineStr">
        <is>
          <t>Semana 2 - março</t>
        </is>
      </c>
      <c r="B427" s="27">
        <f>YEAR(E427)</f>
        <v/>
      </c>
      <c r="C427" s="18">
        <f>INDEX({"Janeiro";"Fevereiro";"Março";"Abril";"Maio";"Junho";"Julho";"Agosto";"Setembro";"Outubro";"Novembro";"Dezembro"},Q427)</f>
        <v/>
      </c>
      <c r="D427" s="24" t="n">
        <v>2</v>
      </c>
      <c r="E427" s="25" t="n">
        <v>46090</v>
      </c>
      <c r="F427" s="23" t="inlineStr">
        <is>
          <t>IOGURTE VIÇOSA MORANGO LIGHT 180g</t>
        </is>
      </c>
      <c r="G427" s="23" t="inlineStr">
        <is>
          <t>IOGURTE</t>
        </is>
      </c>
      <c r="H427" s="26" t="n">
        <v>0.18</v>
      </c>
      <c r="I427" s="36" t="n">
        <v>0</v>
      </c>
      <c r="J427" s="21">
        <f>I427*H427</f>
        <v/>
      </c>
      <c r="K427" s="21">
        <f>IFERROR(IF(J427/P427&gt;1,P427,J427),0)</f>
        <v/>
      </c>
      <c r="L427" s="36" t="n">
        <v>0</v>
      </c>
      <c r="M427" s="21">
        <f>L427*H427</f>
        <v/>
      </c>
      <c r="N427" s="21">
        <f>IFERROR(IF(M427/K427&gt;1,K427,M427),0)</f>
        <v/>
      </c>
      <c r="O427" s="36" t="n">
        <v>0</v>
      </c>
      <c r="P427" s="21">
        <f>O427*H427</f>
        <v/>
      </c>
      <c r="Q427" s="30">
        <f>IF(MONTH(E427+1)=MONTH(E427+6),MONTH(E427+1),IF(MIN(EOMONTH(E427+1,0),E427+6)-(E427+1)+1&gt;=3,MONTH(E427+1),MONTH(E427+6)))</f>
        <v/>
      </c>
      <c r="R427" s="22">
        <f>IFERROR(K427/P427, 0)</f>
        <v/>
      </c>
      <c r="S427" s="38">
        <f>IFERROR(N427/P427,0)</f>
        <v/>
      </c>
      <c r="T427" s="31">
        <f>IFERROR(IF(N427&gt;0,(N427/K427),MIN(1,M427/J427)),0)</f>
        <v/>
      </c>
      <c r="U427" s="33" t="n"/>
    </row>
    <row r="428" hidden="1" s="40">
      <c r="A428" s="18" t="inlineStr">
        <is>
          <t>Semana 2 - março</t>
        </is>
      </c>
      <c r="B428" s="27">
        <f>YEAR(E428)</f>
        <v/>
      </c>
      <c r="C428" s="18">
        <f>INDEX({"Janeiro";"Fevereiro";"Março";"Abril";"Maio";"Junho";"Julho";"Agosto";"Setembro";"Outubro";"Novembro";"Dezembro"},Q428)</f>
        <v/>
      </c>
      <c r="D428" s="19" t="n">
        <v>2</v>
      </c>
      <c r="E428" s="20" t="n">
        <v>46090</v>
      </c>
      <c r="F428" s="18" t="inlineStr">
        <is>
          <t>IOGURTE VIÇOSA MORANGO LIGHT 800g</t>
        </is>
      </c>
      <c r="G428" s="18" t="inlineStr">
        <is>
          <t>IOGURTE</t>
        </is>
      </c>
      <c r="H428" s="21" t="n">
        <v>0.8</v>
      </c>
      <c r="I428" s="36" t="n">
        <v>0</v>
      </c>
      <c r="J428" s="21">
        <f>I428*H428</f>
        <v/>
      </c>
      <c r="K428" s="21">
        <f>IFERROR(IF(J428/P428&gt;1,P428,J428),0)</f>
        <v/>
      </c>
      <c r="L428" s="36" t="n">
        <v>0</v>
      </c>
      <c r="M428" s="21">
        <f>L428*H428</f>
        <v/>
      </c>
      <c r="N428" s="21">
        <f>IFERROR(IF(M428/K428&gt;1,K428,M428),0)</f>
        <v/>
      </c>
      <c r="O428" s="36" t="n">
        <v>0</v>
      </c>
      <c r="P428" s="21">
        <f>O428*H428</f>
        <v/>
      </c>
      <c r="Q428" s="30">
        <f>IF(MONTH(E428+1)=MONTH(E428+6),MONTH(E428+1),IF(MIN(EOMONTH(E428+1,0),E428+6)-(E428+1)+1&gt;=3,MONTH(E428+1),MONTH(E428+6)))</f>
        <v/>
      </c>
      <c r="R428" s="22">
        <f>IFERROR(K428/P428, 0)</f>
        <v/>
      </c>
      <c r="S428" s="38">
        <f>IFERROR(N428/P428,0)</f>
        <v/>
      </c>
      <c r="T428" s="31">
        <f>IFERROR(IF(N428&gt;0,(N428/K428),MIN(1,M428/J428)),0)</f>
        <v/>
      </c>
      <c r="U428" s="33" t="n"/>
    </row>
    <row r="429" hidden="1" s="40">
      <c r="A429" s="18" t="inlineStr">
        <is>
          <t>Semana 2 - março</t>
        </is>
      </c>
      <c r="B429" s="27">
        <f>YEAR(E429)</f>
        <v/>
      </c>
      <c r="C429" s="18">
        <f>INDEX({"Janeiro";"Fevereiro";"Março";"Abril";"Maio";"Junho";"Julho";"Agosto";"Setembro";"Outubro";"Novembro";"Dezembro"},Q429)</f>
        <v/>
      </c>
      <c r="D429" s="19" t="n">
        <v>2</v>
      </c>
      <c r="E429" s="20" t="n">
        <v>46090</v>
      </c>
      <c r="F429" s="18" t="inlineStr">
        <is>
          <t>Iogurte Abacaxi c/ Coco 120g</t>
        </is>
      </c>
      <c r="G429" s="18" t="inlineStr">
        <is>
          <t>IOGURTE</t>
        </is>
      </c>
      <c r="H429" s="21" t="n">
        <v>0.12</v>
      </c>
      <c r="I429" s="36" t="n">
        <v>4000</v>
      </c>
      <c r="J429" s="21">
        <f>I429*H429</f>
        <v/>
      </c>
      <c r="K429" s="21">
        <f>IFERROR(IF(J429/P429&gt;1,P429,J429),0)</f>
        <v/>
      </c>
      <c r="L429" s="36" t="n">
        <v>12826</v>
      </c>
      <c r="M429" s="21">
        <f>L429*H429</f>
        <v/>
      </c>
      <c r="N429" s="21">
        <f>IFERROR(IF(M429/K429&gt;1,K429,M429),0)</f>
        <v/>
      </c>
      <c r="O429" s="36" t="n">
        <v>2000</v>
      </c>
      <c r="P429" s="21">
        <f>O429*H429</f>
        <v/>
      </c>
      <c r="Q429" s="30">
        <f>IF(MONTH(E429+1)=MONTH(E429+6),MONTH(E429+1),IF(MIN(EOMONTH(E429+1,0),E429+6)-(E429+1)+1&gt;=3,MONTH(E429+1),MONTH(E429+6)))</f>
        <v/>
      </c>
      <c r="R429" s="22">
        <f>IFERROR(K429/P429, 0)</f>
        <v/>
      </c>
      <c r="S429" s="38">
        <f>IFERROR(N429/P429,0)</f>
        <v/>
      </c>
      <c r="T429" s="31">
        <f>IFERROR(IF(N429&gt;0,(N429/K429),MIN(1,M429/J429)),0)</f>
        <v/>
      </c>
      <c r="U429" s="33" t="n"/>
    </row>
    <row r="430" hidden="1" s="40">
      <c r="A430" s="23" t="inlineStr">
        <is>
          <t>Semana 2 - março</t>
        </is>
      </c>
      <c r="B430" s="27">
        <f>YEAR(E430)</f>
        <v/>
      </c>
      <c r="C430" s="18">
        <f>INDEX({"Janeiro";"Fevereiro";"Março";"Abril";"Maio";"Junho";"Julho";"Agosto";"Setembro";"Outubro";"Novembro";"Dezembro"},Q430)</f>
        <v/>
      </c>
      <c r="D430" s="24" t="n">
        <v>2</v>
      </c>
      <c r="E430" s="25" t="n">
        <v>46090</v>
      </c>
      <c r="F430" s="23" t="inlineStr">
        <is>
          <t>Iogurte Abacaxi c/ Coco 185g</t>
        </is>
      </c>
      <c r="G430" s="23" t="inlineStr">
        <is>
          <t>IOGURTE</t>
        </is>
      </c>
      <c r="H430" s="26" t="n">
        <v>0.185</v>
      </c>
      <c r="I430" s="36" t="n">
        <v>1560</v>
      </c>
      <c r="J430" s="21">
        <f>I430*H430</f>
        <v/>
      </c>
      <c r="K430" s="21">
        <f>IFERROR(IF(J430/P430&gt;1,P430,J430),0)</f>
        <v/>
      </c>
      <c r="L430" s="36" t="n">
        <v>1246</v>
      </c>
      <c r="M430" s="21">
        <f>L430*H430</f>
        <v/>
      </c>
      <c r="N430" s="21">
        <f>IFERROR(IF(M430/K430&gt;1,K430,M430),0)</f>
        <v/>
      </c>
      <c r="O430" s="36" t="n">
        <v>520</v>
      </c>
      <c r="P430" s="21">
        <f>O430*H430</f>
        <v/>
      </c>
      <c r="Q430" s="30">
        <f>IF(MONTH(E430+1)=MONTH(E430+6),MONTH(E430+1),IF(MIN(EOMONTH(E430+1,0),E430+6)-(E430+1)+1&gt;=3,MONTH(E430+1),MONTH(E430+6)))</f>
        <v/>
      </c>
      <c r="R430" s="22">
        <f>IFERROR(K430/P430, 0)</f>
        <v/>
      </c>
      <c r="S430" s="38">
        <f>IFERROR(N430/P430,0)</f>
        <v/>
      </c>
      <c r="T430" s="31">
        <f>IFERROR(IF(N430&gt;0,(N430/K430),MIN(1,M430/J430)),0)</f>
        <v/>
      </c>
      <c r="U430" s="33" t="n"/>
    </row>
    <row r="431" hidden="1" s="40">
      <c r="A431" s="18" t="inlineStr">
        <is>
          <t>Semana 2 - março</t>
        </is>
      </c>
      <c r="B431" s="27">
        <f>YEAR(E431)</f>
        <v/>
      </c>
      <c r="C431" s="18">
        <f>INDEX({"Janeiro";"Fevereiro";"Março";"Abril";"Maio";"Junho";"Julho";"Agosto";"Setembro";"Outubro";"Novembro";"Dezembro"},Q431)</f>
        <v/>
      </c>
      <c r="D431" s="19" t="n">
        <v>2</v>
      </c>
      <c r="E431" s="20" t="n">
        <v>46090</v>
      </c>
      <c r="F431" s="18" t="inlineStr">
        <is>
          <t>Iogurte Abacaxi c/ Coco 900g</t>
        </is>
      </c>
      <c r="G431" s="18" t="inlineStr">
        <is>
          <t>IOGURTE</t>
        </is>
      </c>
      <c r="H431" s="21" t="n">
        <v>0.9</v>
      </c>
      <c r="I431" s="36" t="n">
        <v>3780</v>
      </c>
      <c r="J431" s="21">
        <f>I431*H431</f>
        <v/>
      </c>
      <c r="K431" s="21">
        <f>IFERROR(IF(J431/P431&gt;1,P431,J431),0)</f>
        <v/>
      </c>
      <c r="L431" s="36" t="n">
        <v>1876</v>
      </c>
      <c r="M431" s="21">
        <f>L431*H431</f>
        <v/>
      </c>
      <c r="N431" s="21">
        <f>IFERROR(IF(M431/K431&gt;1,K431,M431),0)</f>
        <v/>
      </c>
      <c r="O431" s="36" t="n">
        <v>1250</v>
      </c>
      <c r="P431" s="21">
        <f>O431*H431</f>
        <v/>
      </c>
      <c r="Q431" s="30">
        <f>IF(MONTH(E431+1)=MONTH(E431+6),MONTH(E431+1),IF(MIN(EOMONTH(E431+1,0),E431+6)-(E431+1)+1&gt;=3,MONTH(E431+1),MONTH(E431+6)))</f>
        <v/>
      </c>
      <c r="R431" s="22">
        <f>IFERROR(K431/P431, 0)</f>
        <v/>
      </c>
      <c r="S431" s="38">
        <f>IFERROR(N431/P431,0)</f>
        <v/>
      </c>
      <c r="T431" s="31">
        <f>IFERROR(IF(N431&gt;0,(N431/K431),MIN(1,M431/J431)),0)</f>
        <v/>
      </c>
      <c r="U431" s="33" t="n"/>
    </row>
    <row r="432" hidden="1" s="40">
      <c r="A432" s="18" t="inlineStr">
        <is>
          <t>Semana 2 - março</t>
        </is>
      </c>
      <c r="B432" s="27">
        <f>YEAR(E432)</f>
        <v/>
      </c>
      <c r="C432" s="18">
        <f>INDEX({"Janeiro";"Fevereiro";"Março";"Abril";"Maio";"Junho";"Julho";"Agosto";"Setembro";"Outubro";"Novembro";"Dezembro"},Q432)</f>
        <v/>
      </c>
      <c r="D432" s="19" t="n">
        <v>2</v>
      </c>
      <c r="E432" s="20" t="n">
        <v>46090</v>
      </c>
      <c r="F432" s="18" t="inlineStr">
        <is>
          <t>Iogurte Coco 120g</t>
        </is>
      </c>
      <c r="G432" s="18" t="inlineStr">
        <is>
          <t>IOGURTE</t>
        </is>
      </c>
      <c r="H432" s="21" t="n">
        <v>0.12</v>
      </c>
      <c r="I432" s="36" t="n">
        <v>5000</v>
      </c>
      <c r="J432" s="21">
        <f>I432*H432</f>
        <v/>
      </c>
      <c r="K432" s="21">
        <f>IFERROR(IF(J432/P432&gt;1,P432,J432),0)</f>
        <v/>
      </c>
      <c r="L432" s="36" t="n">
        <v>5351</v>
      </c>
      <c r="M432" s="21">
        <f>L432*H432</f>
        <v/>
      </c>
      <c r="N432" s="21">
        <f>IFERROR(IF(M432/K432&gt;1,K432,M432),0)</f>
        <v/>
      </c>
      <c r="O432" s="36" t="n">
        <v>5000</v>
      </c>
      <c r="P432" s="21">
        <f>O432*H432</f>
        <v/>
      </c>
      <c r="Q432" s="30">
        <f>IF(MONTH(E432+1)=MONTH(E432+6),MONTH(E432+1),IF(MIN(EOMONTH(E432+1,0),E432+6)-(E432+1)+1&gt;=3,MONTH(E432+1),MONTH(E432+6)))</f>
        <v/>
      </c>
      <c r="R432" s="22">
        <f>IFERROR(K432/P432, 0)</f>
        <v/>
      </c>
      <c r="S432" s="38">
        <f>IFERROR(N432/P432,0)</f>
        <v/>
      </c>
      <c r="T432" s="31">
        <f>IFERROR(IF(N432&gt;0,(N432/K432),MIN(1,M432/J432)),0)</f>
        <v/>
      </c>
      <c r="U432" s="33" t="n"/>
    </row>
    <row r="433" hidden="1" s="40">
      <c r="A433" s="23" t="inlineStr">
        <is>
          <t>Semana 2 - março</t>
        </is>
      </c>
      <c r="B433" s="27">
        <f>YEAR(E433)</f>
        <v/>
      </c>
      <c r="C433" s="18">
        <f>INDEX({"Janeiro";"Fevereiro";"Março";"Abril";"Maio";"Junho";"Julho";"Agosto";"Setembro";"Outubro";"Novembro";"Dezembro"},Q433)</f>
        <v/>
      </c>
      <c r="D433" s="24" t="n">
        <v>2</v>
      </c>
      <c r="E433" s="25" t="n">
        <v>46090</v>
      </c>
      <c r="F433" s="23" t="inlineStr">
        <is>
          <t>Iogurte Coco 185g</t>
        </is>
      </c>
      <c r="G433" s="23" t="inlineStr">
        <is>
          <t>IOGURTE</t>
        </is>
      </c>
      <c r="H433" s="26" t="n">
        <v>0.185</v>
      </c>
      <c r="I433" s="36" t="n">
        <v>520</v>
      </c>
      <c r="J433" s="21">
        <f>I433*H433</f>
        <v/>
      </c>
      <c r="K433" s="21">
        <f>IFERROR(IF(J433/P433&gt;1,P433,J433),0)</f>
        <v/>
      </c>
      <c r="L433" s="36" t="n">
        <v>526</v>
      </c>
      <c r="M433" s="21">
        <f>L433*H433</f>
        <v/>
      </c>
      <c r="N433" s="21">
        <f>IFERROR(IF(M433/K433&gt;1,K433,M433),0)</f>
        <v/>
      </c>
      <c r="O433" s="36" t="n">
        <v>520</v>
      </c>
      <c r="P433" s="21">
        <f>O433*H433</f>
        <v/>
      </c>
      <c r="Q433" s="30">
        <f>IF(MONTH(E433+1)=MONTH(E433+6),MONTH(E433+1),IF(MIN(EOMONTH(E433+1,0),E433+6)-(E433+1)+1&gt;=3,MONTH(E433+1),MONTH(E433+6)))</f>
        <v/>
      </c>
      <c r="R433" s="22">
        <f>IFERROR(K433/P433, 0)</f>
        <v/>
      </c>
      <c r="S433" s="38">
        <f>IFERROR(N433/P433,0)</f>
        <v/>
      </c>
      <c r="T433" s="31">
        <f>IFERROR(IF(N433&gt;0,(N433/K433),MIN(1,M433/J433)),0)</f>
        <v/>
      </c>
      <c r="U433" s="33" t="n"/>
    </row>
    <row r="434" hidden="1" s="40">
      <c r="A434" s="18" t="inlineStr">
        <is>
          <t>Semana 2 - março</t>
        </is>
      </c>
      <c r="B434" s="27">
        <f>YEAR(E434)</f>
        <v/>
      </c>
      <c r="C434" s="18">
        <f>INDEX({"Janeiro";"Fevereiro";"Março";"Abril";"Maio";"Junho";"Julho";"Agosto";"Setembro";"Outubro";"Novembro";"Dezembro"},Q434)</f>
        <v/>
      </c>
      <c r="D434" s="19" t="n">
        <v>2</v>
      </c>
      <c r="E434" s="20" t="n">
        <v>46090</v>
      </c>
      <c r="F434" s="18" t="inlineStr">
        <is>
          <t>Iogurte Coco 900g</t>
        </is>
      </c>
      <c r="G434" s="18" t="inlineStr">
        <is>
          <t>IOGURTE</t>
        </is>
      </c>
      <c r="H434" s="21" t="n">
        <v>0.9</v>
      </c>
      <c r="I434" s="36" t="n">
        <v>1800</v>
      </c>
      <c r="J434" s="21">
        <f>I434*H434</f>
        <v/>
      </c>
      <c r="K434" s="21">
        <f>IFERROR(IF(J434/P434&gt;1,P434,J434),0)</f>
        <v/>
      </c>
      <c r="L434" s="36" t="n">
        <v>1615</v>
      </c>
      <c r="M434" s="21">
        <f>L434*H434</f>
        <v/>
      </c>
      <c r="N434" s="21">
        <f>IFERROR(IF(M434/K434&gt;1,K434,M434),0)</f>
        <v/>
      </c>
      <c r="O434" s="36" t="n">
        <v>2200</v>
      </c>
      <c r="P434" s="21">
        <f>O434*H434</f>
        <v/>
      </c>
      <c r="Q434" s="30">
        <f>IF(MONTH(E434+1)=MONTH(E434+6),MONTH(E434+1),IF(MIN(EOMONTH(E434+1,0),E434+6)-(E434+1)+1&gt;=3,MONTH(E434+1),MONTH(E434+6)))</f>
        <v/>
      </c>
      <c r="R434" s="22">
        <f>IFERROR(K434/P434, 0)</f>
        <v/>
      </c>
      <c r="S434" s="38">
        <f>IFERROR(N434/P434,0)</f>
        <v/>
      </c>
      <c r="T434" s="31">
        <f>IFERROR(IF(N434&gt;0,(N434/K434),MIN(1,M434/J434)),0)</f>
        <v/>
      </c>
      <c r="U434" s="33" t="n"/>
    </row>
    <row r="435" hidden="1" s="40">
      <c r="A435" s="23" t="inlineStr">
        <is>
          <t>Semana 2 - março</t>
        </is>
      </c>
      <c r="B435" s="27">
        <f>YEAR(E435)</f>
        <v/>
      </c>
      <c r="C435" s="18">
        <f>INDEX({"Janeiro";"Fevereiro";"Março";"Abril";"Maio";"Junho";"Julho";"Agosto";"Setembro";"Outubro";"Novembro";"Dezembro"},Q435)</f>
        <v/>
      </c>
      <c r="D435" s="24" t="n">
        <v>2</v>
      </c>
      <c r="E435" s="25" t="n">
        <v>46090</v>
      </c>
      <c r="F435" s="23" t="inlineStr">
        <is>
          <t>Iogurte Grego Frutas vermelhas 120g</t>
        </is>
      </c>
      <c r="G435" s="23" t="inlineStr">
        <is>
          <t>IOGURTE</t>
        </is>
      </c>
      <c r="H435" s="26" t="n">
        <v>0.17</v>
      </c>
      <c r="I435" s="36" t="n">
        <v>1400</v>
      </c>
      <c r="J435" s="21">
        <f>I435*H435</f>
        <v/>
      </c>
      <c r="K435" s="21">
        <f>IFERROR(IF(J435/P435&gt;1,P435,J435),0)</f>
        <v/>
      </c>
      <c r="L435" s="36" t="n">
        <v>1229</v>
      </c>
      <c r="M435" s="21">
        <f>L435*H435</f>
        <v/>
      </c>
      <c r="N435" s="21">
        <f>IFERROR(IF(M435/K435&gt;1,K435,M435),0)</f>
        <v/>
      </c>
      <c r="O435" s="36" t="n">
        <v>1400</v>
      </c>
      <c r="P435" s="21">
        <f>O435*H435</f>
        <v/>
      </c>
      <c r="Q435" s="30">
        <f>IF(MONTH(E435+1)=MONTH(E435+6),MONTH(E435+1),IF(MIN(EOMONTH(E435+1,0),E435+6)-(E435+1)+1&gt;=3,MONTH(E435+1),MONTH(E435+6)))</f>
        <v/>
      </c>
      <c r="R435" s="22">
        <f>IFERROR(K435/P435, 0)</f>
        <v/>
      </c>
      <c r="S435" s="38">
        <f>IFERROR(N435/P435,0)</f>
        <v/>
      </c>
      <c r="T435" s="31">
        <f>IFERROR(IF(N435&gt;0,(N435/K435),MIN(1,M435/J435)),0)</f>
        <v/>
      </c>
      <c r="U435" s="33" t="n"/>
    </row>
    <row r="436" hidden="1" s="40">
      <c r="A436" s="23" t="inlineStr">
        <is>
          <t>Semana 2 - março</t>
        </is>
      </c>
      <c r="B436" s="27">
        <f>YEAR(E436)</f>
        <v/>
      </c>
      <c r="C436" s="18">
        <f>INDEX({"Janeiro";"Fevereiro";"Março";"Abril";"Maio";"Junho";"Julho";"Agosto";"Setembro";"Outubro";"Novembro";"Dezembro"},Q436)</f>
        <v/>
      </c>
      <c r="D436" s="24" t="n">
        <v>2</v>
      </c>
      <c r="E436" s="25" t="n">
        <v>46090</v>
      </c>
      <c r="F436" s="23" t="inlineStr">
        <is>
          <t>Iogurte Morango 120g</t>
        </is>
      </c>
      <c r="G436" s="23" t="inlineStr">
        <is>
          <t>IOGURTE</t>
        </is>
      </c>
      <c r="H436" s="26" t="n">
        <v>0.12</v>
      </c>
      <c r="I436" s="36" t="n">
        <v>15000</v>
      </c>
      <c r="J436" s="21">
        <f>I436*H436</f>
        <v/>
      </c>
      <c r="K436" s="21">
        <f>IFERROR(IF(J436/P436&gt;1,P436,J436),0)</f>
        <v/>
      </c>
      <c r="L436" s="36" t="n">
        <v>27365</v>
      </c>
      <c r="M436" s="21">
        <f>L436*H436</f>
        <v/>
      </c>
      <c r="N436" s="21">
        <f>IFERROR(IF(M436/K436&gt;1,K436,M436),0)</f>
        <v/>
      </c>
      <c r="O436" s="36" t="n">
        <v>32000</v>
      </c>
      <c r="P436" s="21">
        <f>O436*H436</f>
        <v/>
      </c>
      <c r="Q436" s="30">
        <f>IF(MONTH(E436+1)=MONTH(E436+6),MONTH(E436+1),IF(MIN(EOMONTH(E436+1,0),E436+6)-(E436+1)+1&gt;=3,MONTH(E436+1),MONTH(E436+6)))</f>
        <v/>
      </c>
      <c r="R436" s="22">
        <f>IFERROR(K436/P436, 0)</f>
        <v/>
      </c>
      <c r="S436" s="38">
        <f>IFERROR(N436/P436,0)</f>
        <v/>
      </c>
      <c r="T436" s="31">
        <f>IFERROR(IF(N436&gt;0,(N436/K436),MIN(1,M436/J436)),0)</f>
        <v/>
      </c>
      <c r="U436" s="33" t="n"/>
    </row>
    <row r="437" hidden="1" s="40">
      <c r="A437" s="18" t="inlineStr">
        <is>
          <t>Semana 2 - março</t>
        </is>
      </c>
      <c r="B437" s="27">
        <f>YEAR(E437)</f>
        <v/>
      </c>
      <c r="C437" s="18">
        <f>INDEX({"Janeiro";"Fevereiro";"Março";"Abril";"Maio";"Junho";"Julho";"Agosto";"Setembro";"Outubro";"Novembro";"Dezembro"},Q437)</f>
        <v/>
      </c>
      <c r="D437" s="19" t="n">
        <v>2</v>
      </c>
      <c r="E437" s="20" t="n">
        <v>46090</v>
      </c>
      <c r="F437" s="18" t="inlineStr">
        <is>
          <t>Iogurte Morango 185g</t>
        </is>
      </c>
      <c r="G437" s="18" t="inlineStr">
        <is>
          <t>IOGURTE</t>
        </is>
      </c>
      <c r="H437" s="21" t="n">
        <v>0.185</v>
      </c>
      <c r="I437" s="36" t="n">
        <v>1300</v>
      </c>
      <c r="J437" s="21">
        <f>I437*H437</f>
        <v/>
      </c>
      <c r="K437" s="21">
        <f>IFERROR(IF(J437/P437&gt;1,P437,J437),0)</f>
        <v/>
      </c>
      <c r="L437" s="36" t="n">
        <v>1284</v>
      </c>
      <c r="M437" s="21">
        <f>L437*H437</f>
        <v/>
      </c>
      <c r="N437" s="21">
        <f>IFERROR(IF(M437/K437&gt;1,K437,M437),0)</f>
        <v/>
      </c>
      <c r="O437" s="36" t="n">
        <v>1300</v>
      </c>
      <c r="P437" s="21">
        <f>O437*H437</f>
        <v/>
      </c>
      <c r="Q437" s="30">
        <f>IF(MONTH(E437+1)=MONTH(E437+6),MONTH(E437+1),IF(MIN(EOMONTH(E437+1,0),E437+6)-(E437+1)+1&gt;=3,MONTH(E437+1),MONTH(E437+6)))</f>
        <v/>
      </c>
      <c r="R437" s="22">
        <f>IFERROR(K437/P437, 0)</f>
        <v/>
      </c>
      <c r="S437" s="38">
        <f>IFERROR(N437/P437,0)</f>
        <v/>
      </c>
      <c r="T437" s="31">
        <f>IFERROR(IF(N437&gt;0,(N437/K437),MIN(1,M437/J437)),0)</f>
        <v/>
      </c>
      <c r="U437" s="33" t="n"/>
    </row>
    <row r="438" hidden="1" s="40">
      <c r="A438" s="23" t="inlineStr">
        <is>
          <t>Semana 2 - março</t>
        </is>
      </c>
      <c r="B438" s="27">
        <f>YEAR(E438)</f>
        <v/>
      </c>
      <c r="C438" s="18">
        <f>INDEX({"Janeiro";"Fevereiro";"Março";"Abril";"Maio";"Junho";"Julho";"Agosto";"Setembro";"Outubro";"Novembro";"Dezembro"},Q438)</f>
        <v/>
      </c>
      <c r="D438" s="24" t="n">
        <v>2</v>
      </c>
      <c r="E438" s="25" t="n">
        <v>46090</v>
      </c>
      <c r="F438" s="23" t="inlineStr">
        <is>
          <t>Iogurte Morango 900G</t>
        </is>
      </c>
      <c r="G438" s="23" t="inlineStr">
        <is>
          <t>IOGURTE</t>
        </is>
      </c>
      <c r="H438" s="26" t="n">
        <v>0.9</v>
      </c>
      <c r="I438" s="36" t="n">
        <v>3060</v>
      </c>
      <c r="J438" s="21">
        <f>I438*H438</f>
        <v/>
      </c>
      <c r="K438" s="21">
        <f>IFERROR(IF(J438/P438&gt;1,P438,J438),0)</f>
        <v/>
      </c>
      <c r="L438" s="36" t="n">
        <v>3584</v>
      </c>
      <c r="M438" s="21">
        <f>L438*H438</f>
        <v/>
      </c>
      <c r="N438" s="21">
        <f>IFERROR(IF(M438/K438&gt;1,K438,M438),0)</f>
        <v/>
      </c>
      <c r="O438" s="36" t="n">
        <v>6500</v>
      </c>
      <c r="P438" s="21">
        <f>O438*H438</f>
        <v/>
      </c>
      <c r="Q438" s="30">
        <f>IF(MONTH(E438+1)=MONTH(E438+6),MONTH(E438+1),IF(MIN(EOMONTH(E438+1,0),E438+6)-(E438+1)+1&gt;=3,MONTH(E438+1),MONTH(E438+6)))</f>
        <v/>
      </c>
      <c r="R438" s="22">
        <f>IFERROR(K438/P438, 0)</f>
        <v/>
      </c>
      <c r="S438" s="38">
        <f>IFERROR(N438/P438,0)</f>
        <v/>
      </c>
      <c r="T438" s="31">
        <f>IFERROR(IF(N438&gt;0,(N438/K438),MIN(1,M438/J438)),0)</f>
        <v/>
      </c>
      <c r="U438" s="33" t="n"/>
    </row>
    <row r="439" hidden="1" s="40">
      <c r="A439" s="18" t="inlineStr">
        <is>
          <t>Semana 2 - março</t>
        </is>
      </c>
      <c r="B439" s="27">
        <f>YEAR(E439)</f>
        <v/>
      </c>
      <c r="C439" s="18">
        <f>INDEX({"Janeiro";"Fevereiro";"Março";"Abril";"Maio";"Junho";"Julho";"Agosto";"Setembro";"Outubro";"Novembro";"Dezembro"},Q439)</f>
        <v/>
      </c>
      <c r="D439" s="19" t="n">
        <v>2</v>
      </c>
      <c r="E439" s="20" t="n">
        <v>46090</v>
      </c>
      <c r="F439" s="18" t="inlineStr">
        <is>
          <t>Iogurte Natural Integral 170g</t>
        </is>
      </c>
      <c r="G439" s="18" t="inlineStr">
        <is>
          <t>IOGURTE</t>
        </is>
      </c>
      <c r="H439" s="21" t="n">
        <v>0.17</v>
      </c>
      <c r="I439" s="36" t="n">
        <v>3820</v>
      </c>
      <c r="J439" s="21">
        <f>I439*H439</f>
        <v/>
      </c>
      <c r="K439" s="21">
        <f>IFERROR(IF(J439/P439&gt;1,P439,J439),0)</f>
        <v/>
      </c>
      <c r="L439" s="36" t="n">
        <v>3066</v>
      </c>
      <c r="M439" s="21">
        <f>L439*H439</f>
        <v/>
      </c>
      <c r="N439" s="21">
        <f>IFERROR(IF(M439/K439&gt;1,K439,M439),0)</f>
        <v/>
      </c>
      <c r="O439" s="36" t="n">
        <v>3800</v>
      </c>
      <c r="P439" s="21">
        <f>O439*H439</f>
        <v/>
      </c>
      <c r="Q439" s="30">
        <f>IF(MONTH(E439+1)=MONTH(E439+6),MONTH(E439+1),IF(MIN(EOMONTH(E439+1,0),E439+6)-(E439+1)+1&gt;=3,MONTH(E439+1),MONTH(E439+6)))</f>
        <v/>
      </c>
      <c r="R439" s="22">
        <f>IFERROR(K439/P439, 0)</f>
        <v/>
      </c>
      <c r="S439" s="38">
        <f>IFERROR(N439/P439,0)</f>
        <v/>
      </c>
      <c r="T439" s="31">
        <f>IFERROR(IF(N439&gt;0,(N439/K439),MIN(1,M439/J439)),0)</f>
        <v/>
      </c>
      <c r="U439" s="33" t="n"/>
    </row>
    <row r="440" hidden="1" s="40">
      <c r="A440" s="23" t="inlineStr">
        <is>
          <t>Semana 2 - março</t>
        </is>
      </c>
      <c r="B440" s="27">
        <f>YEAR(E440)</f>
        <v/>
      </c>
      <c r="C440" s="18">
        <f>INDEX({"Janeiro";"Fevereiro";"Março";"Abril";"Maio";"Junho";"Julho";"Agosto";"Setembro";"Outubro";"Novembro";"Dezembro"},Q440)</f>
        <v/>
      </c>
      <c r="D440" s="24" t="n">
        <v>2</v>
      </c>
      <c r="E440" s="25" t="n">
        <v>46090</v>
      </c>
      <c r="F440" s="23" t="inlineStr">
        <is>
          <t>Iogurte Natural Triplo Zero 170g</t>
        </is>
      </c>
      <c r="G440" s="23" t="inlineStr">
        <is>
          <t>IOGURTE</t>
        </is>
      </c>
      <c r="H440" s="26" t="n">
        <v>0.17</v>
      </c>
      <c r="I440" s="36" t="n">
        <v>3820</v>
      </c>
      <c r="J440" s="21">
        <f>I440*H440</f>
        <v/>
      </c>
      <c r="K440" s="21">
        <f>IFERROR(IF(J440/P440&gt;1,P440,J440),0)</f>
        <v/>
      </c>
      <c r="L440" s="36" t="n">
        <v>3848</v>
      </c>
      <c r="M440" s="21">
        <f>L440*H440</f>
        <v/>
      </c>
      <c r="N440" s="21">
        <f>IFERROR(IF(M440/K440&gt;1,K440,M440),0)</f>
        <v/>
      </c>
      <c r="O440" s="36" t="n">
        <v>3800</v>
      </c>
      <c r="P440" s="21">
        <f>O440*H440</f>
        <v/>
      </c>
      <c r="Q440" s="30">
        <f>IF(MONTH(E440+1)=MONTH(E440+6),MONTH(E440+1),IF(MIN(EOMONTH(E440+1,0),E440+6)-(E440+1)+1&gt;=3,MONTH(E440+1),MONTH(E440+6)))</f>
        <v/>
      </c>
      <c r="R440" s="22">
        <f>IFERROR(K440/P440, 0)</f>
        <v/>
      </c>
      <c r="S440" s="38">
        <f>IFERROR(N440/P440,0)</f>
        <v/>
      </c>
      <c r="T440" s="31">
        <f>IFERROR(IF(N440&gt;0,(N440/K440),MIN(1,M440/J440)),0)</f>
        <v/>
      </c>
      <c r="U440" s="33" t="n"/>
    </row>
    <row r="441" hidden="1" s="40">
      <c r="A441" s="23" t="inlineStr">
        <is>
          <t>Semana 2 - março</t>
        </is>
      </c>
      <c r="B441" s="27">
        <f>YEAR(E441)</f>
        <v/>
      </c>
      <c r="C441" s="18">
        <f>INDEX({"Janeiro";"Fevereiro";"Março";"Abril";"Maio";"Junho";"Julho";"Agosto";"Setembro";"Outubro";"Novembro";"Dezembro"},Q441)</f>
        <v/>
      </c>
      <c r="D441" s="24" t="n">
        <v>2</v>
      </c>
      <c r="E441" s="25" t="n">
        <v>46090</v>
      </c>
      <c r="F441" s="23" t="inlineStr">
        <is>
          <t>Iogurte Salada 120g</t>
        </is>
      </c>
      <c r="G441" s="23" t="inlineStr">
        <is>
          <t>IOGURTE</t>
        </is>
      </c>
      <c r="H441" s="26" t="n">
        <v>0.12</v>
      </c>
      <c r="I441" s="36" t="n">
        <v>6000</v>
      </c>
      <c r="J441" s="21">
        <f>I441*H441</f>
        <v/>
      </c>
      <c r="K441" s="21">
        <f>IFERROR(IF(J441/P441&gt;1,P441,J441),0)</f>
        <v/>
      </c>
      <c r="L441" s="36" t="n">
        <v>6149</v>
      </c>
      <c r="M441" s="21">
        <f>L441*H441</f>
        <v/>
      </c>
      <c r="N441" s="21">
        <f>IFERROR(IF(M441/K441&gt;1,K441,M441),0)</f>
        <v/>
      </c>
      <c r="O441" s="36" t="n">
        <v>3000</v>
      </c>
      <c r="P441" s="21">
        <f>O441*H441</f>
        <v/>
      </c>
      <c r="Q441" s="30">
        <f>IF(MONTH(E441+1)=MONTH(E441+6),MONTH(E441+1),IF(MIN(EOMONTH(E441+1,0),E441+6)-(E441+1)+1&gt;=3,MONTH(E441+1),MONTH(E441+6)))</f>
        <v/>
      </c>
      <c r="R441" s="22">
        <f>IFERROR(K441/P441, 0)</f>
        <v/>
      </c>
      <c r="S441" s="38">
        <f>IFERROR(N441/P441,0)</f>
        <v/>
      </c>
      <c r="T441" s="31">
        <f>IFERROR(IF(N441&gt;0,(N441/K441),MIN(1,M441/J441)),0)</f>
        <v/>
      </c>
      <c r="U441" s="33" t="n"/>
    </row>
    <row r="442" hidden="1" s="40">
      <c r="A442" s="18" t="inlineStr">
        <is>
          <t>Semana 2 - março</t>
        </is>
      </c>
      <c r="B442" s="27">
        <f>YEAR(E442)</f>
        <v/>
      </c>
      <c r="C442" s="18">
        <f>INDEX({"Janeiro";"Fevereiro";"Março";"Abril";"Maio";"Junho";"Julho";"Agosto";"Setembro";"Outubro";"Novembro";"Dezembro"},Q442)</f>
        <v/>
      </c>
      <c r="D442" s="19" t="n">
        <v>2</v>
      </c>
      <c r="E442" s="20" t="n">
        <v>46090</v>
      </c>
      <c r="F442" s="18" t="inlineStr">
        <is>
          <t>Iogurte Salada 185g</t>
        </is>
      </c>
      <c r="G442" s="18" t="inlineStr">
        <is>
          <t>IOGURTE</t>
        </is>
      </c>
      <c r="H442" s="21" t="n">
        <v>0.185</v>
      </c>
      <c r="I442" s="36" t="n">
        <v>1040</v>
      </c>
      <c r="J442" s="21">
        <f>I442*H442</f>
        <v/>
      </c>
      <c r="K442" s="21">
        <f>IFERROR(IF(J442/P442&gt;1,P442,J442),0)</f>
        <v/>
      </c>
      <c r="L442" s="36" t="n">
        <v>807</v>
      </c>
      <c r="M442" s="21">
        <f>L442*H442</f>
        <v/>
      </c>
      <c r="N442" s="21">
        <f>IFERROR(IF(M442/K442&gt;1,K442,M442),0)</f>
        <v/>
      </c>
      <c r="O442" s="36" t="n">
        <v>520</v>
      </c>
      <c r="P442" s="21">
        <f>O442*H442</f>
        <v/>
      </c>
      <c r="Q442" s="30">
        <f>IF(MONTH(E442+1)=MONTH(E442+6),MONTH(E442+1),IF(MIN(EOMONTH(E442+1,0),E442+6)-(E442+1)+1&gt;=3,MONTH(E442+1),MONTH(E442+6)))</f>
        <v/>
      </c>
      <c r="R442" s="22">
        <f>IFERROR(K442/P442, 0)</f>
        <v/>
      </c>
      <c r="S442" s="38">
        <f>IFERROR(N442/P442,0)</f>
        <v/>
      </c>
      <c r="T442" s="31">
        <f>IFERROR(IF(N442&gt;0,(N442/K442),MIN(1,M442/J442)),0)</f>
        <v/>
      </c>
      <c r="U442" s="33" t="n"/>
    </row>
    <row r="443" hidden="1" s="40">
      <c r="A443" s="23" t="inlineStr">
        <is>
          <t>Semana 2 - março</t>
        </is>
      </c>
      <c r="B443" s="27">
        <f>YEAR(E443)</f>
        <v/>
      </c>
      <c r="C443" s="18">
        <f>INDEX({"Janeiro";"Fevereiro";"Março";"Abril";"Maio";"Junho";"Julho";"Agosto";"Setembro";"Outubro";"Novembro";"Dezembro"},Q443)</f>
        <v/>
      </c>
      <c r="D443" s="24" t="n">
        <v>2</v>
      </c>
      <c r="E443" s="25" t="n">
        <v>46090</v>
      </c>
      <c r="F443" s="23" t="inlineStr">
        <is>
          <t>Iogurte Salada 900g</t>
        </is>
      </c>
      <c r="G443" s="23" t="inlineStr">
        <is>
          <t>IOGURTE</t>
        </is>
      </c>
      <c r="H443" s="26" t="n">
        <v>0.9</v>
      </c>
      <c r="I443" s="36" t="n">
        <v>2660</v>
      </c>
      <c r="J443" s="21">
        <f>I443*H443</f>
        <v/>
      </c>
      <c r="K443" s="21">
        <f>IFERROR(IF(J443/P443&gt;1,P443,J443),0)</f>
        <v/>
      </c>
      <c r="L443" s="36" t="n">
        <v>2802</v>
      </c>
      <c r="M443" s="21">
        <f>L443*H443</f>
        <v/>
      </c>
      <c r="N443" s="21">
        <f>IFERROR(IF(M443/K443&gt;1,K443,M443),0)</f>
        <v/>
      </c>
      <c r="O443" s="36" t="n">
        <v>2200</v>
      </c>
      <c r="P443" s="21">
        <f>O443*H443</f>
        <v/>
      </c>
      <c r="Q443" s="30">
        <f>IF(MONTH(E443+1)=MONTH(E443+6),MONTH(E443+1),IF(MIN(EOMONTH(E443+1,0),E443+6)-(E443+1)+1&gt;=3,MONTH(E443+1),MONTH(E443+6)))</f>
        <v/>
      </c>
      <c r="R443" s="22">
        <f>IFERROR(K443/P443, 0)</f>
        <v/>
      </c>
      <c r="S443" s="38">
        <f>IFERROR(N443/P443,0)</f>
        <v/>
      </c>
      <c r="T443" s="31">
        <f>IFERROR(IF(N443&gt;0,(N443/K443),MIN(1,M443/J443)),0)</f>
        <v/>
      </c>
      <c r="U443" s="33" t="n"/>
    </row>
    <row r="444" hidden="1" s="40">
      <c r="A444" s="18" t="inlineStr">
        <is>
          <t>Semana 2 - março</t>
        </is>
      </c>
      <c r="B444" s="27">
        <f>YEAR(E444)</f>
        <v/>
      </c>
      <c r="C444" s="18">
        <f>INDEX({"Janeiro";"Fevereiro";"Março";"Abril";"Maio";"Junho";"Julho";"Agosto";"Setembro";"Outubro";"Novembro";"Dezembro"},Q444)</f>
        <v/>
      </c>
      <c r="D444" s="19" t="n">
        <v>2</v>
      </c>
      <c r="E444" s="20" t="n">
        <v>46090</v>
      </c>
      <c r="F444" s="18" t="inlineStr">
        <is>
          <t>Iogurte Vida Leve Ameixa c/ Grãos 180g</t>
        </is>
      </c>
      <c r="G444" s="18" t="inlineStr">
        <is>
          <t>IOGURTE</t>
        </is>
      </c>
      <c r="H444" s="21" t="n">
        <v>0.18</v>
      </c>
      <c r="I444" s="36" t="n">
        <v>0</v>
      </c>
      <c r="J444" s="21">
        <f>I444*H444</f>
        <v/>
      </c>
      <c r="K444" s="21">
        <f>IFERROR(IF(J444/P444&gt;1,P444,J444),0)</f>
        <v/>
      </c>
      <c r="L444" s="36" t="n">
        <v>0</v>
      </c>
      <c r="M444" s="21">
        <f>L444*H444</f>
        <v/>
      </c>
      <c r="N444" s="21">
        <f>IFERROR(IF(M444/K444&gt;1,K444,M444),0)</f>
        <v/>
      </c>
      <c r="O444" s="36" t="n">
        <v>0</v>
      </c>
      <c r="P444" s="21">
        <f>O444*H444</f>
        <v/>
      </c>
      <c r="Q444" s="30">
        <f>IF(MONTH(E444+1)=MONTH(E444+6),MONTH(E444+1),IF(MIN(EOMONTH(E444+1,0),E444+6)-(E444+1)+1&gt;=3,MONTH(E444+1),MONTH(E444+6)))</f>
        <v/>
      </c>
      <c r="R444" s="22">
        <f>IFERROR(K444/P444, 0)</f>
        <v/>
      </c>
      <c r="S444" s="38">
        <f>IFERROR(N444/P444,0)</f>
        <v/>
      </c>
      <c r="T444" s="31">
        <f>IFERROR(IF(N444&gt;0,(N444/K444),MIN(1,M444/J444)),0)</f>
        <v/>
      </c>
      <c r="U444" s="33" t="n"/>
    </row>
    <row r="445" hidden="1" s="40">
      <c r="A445" s="23" t="inlineStr">
        <is>
          <t>Semana 2 - março</t>
        </is>
      </c>
      <c r="B445" s="27">
        <f>YEAR(E445)</f>
        <v/>
      </c>
      <c r="C445" s="18">
        <f>INDEX({"Janeiro";"Fevereiro";"Março";"Abril";"Maio";"Junho";"Julho";"Agosto";"Setembro";"Outubro";"Novembro";"Dezembro"},Q445)</f>
        <v/>
      </c>
      <c r="D445" s="24" t="n">
        <v>2</v>
      </c>
      <c r="E445" s="25" t="n">
        <v>46090</v>
      </c>
      <c r="F445" s="23" t="inlineStr">
        <is>
          <t>Iogurte Vida Leve Ameixa c/ Grãos 500g</t>
        </is>
      </c>
      <c r="G445" s="23" t="inlineStr">
        <is>
          <t>IOGURTE</t>
        </is>
      </c>
      <c r="H445" s="26" t="n">
        <v>0.5</v>
      </c>
      <c r="I445" s="36" t="n">
        <v>0</v>
      </c>
      <c r="J445" s="21">
        <f>I445*H445</f>
        <v/>
      </c>
      <c r="K445" s="21">
        <f>IFERROR(IF(J445/P445&gt;1,P445,J445),0)</f>
        <v/>
      </c>
      <c r="L445" s="36" t="n">
        <v>0</v>
      </c>
      <c r="M445" s="21">
        <f>L445*H445</f>
        <v/>
      </c>
      <c r="N445" s="21">
        <f>IFERROR(IF(M445/K445&gt;1,K445,M445),0)</f>
        <v/>
      </c>
      <c r="O445" s="36" t="n">
        <v>0</v>
      </c>
      <c r="P445" s="21">
        <f>O445*H445</f>
        <v/>
      </c>
      <c r="Q445" s="30">
        <f>IF(MONTH(E445+1)=MONTH(E445+6),MONTH(E445+1),IF(MIN(EOMONTH(E445+1,0),E445+6)-(E445+1)+1&gt;=3,MONTH(E445+1),MONTH(E445+6)))</f>
        <v/>
      </c>
      <c r="R445" s="22">
        <f>IFERROR(K445/P445, 0)</f>
        <v/>
      </c>
      <c r="S445" s="38">
        <f>IFERROR(N445/P445,0)</f>
        <v/>
      </c>
      <c r="T445" s="31">
        <f>IFERROR(IF(N445&gt;0,(N445/K445),MIN(1,M445/J445)),0)</f>
        <v/>
      </c>
      <c r="U445" s="33" t="n"/>
    </row>
    <row r="446" hidden="1" s="40">
      <c r="A446" s="18" t="inlineStr">
        <is>
          <t>Semana 2 - março</t>
        </is>
      </c>
      <c r="B446" s="27">
        <f>YEAR(E446)</f>
        <v/>
      </c>
      <c r="C446" s="18">
        <f>INDEX({"Janeiro";"Fevereiro";"Março";"Abril";"Maio";"Junho";"Julho";"Agosto";"Setembro";"Outubro";"Novembro";"Dezembro"},Q446)</f>
        <v/>
      </c>
      <c r="D446" s="19" t="n">
        <v>2</v>
      </c>
      <c r="E446" s="20" t="n">
        <v>46090</v>
      </c>
      <c r="F446" s="18" t="inlineStr">
        <is>
          <t>Iogurte Vida Leve Morango 180g</t>
        </is>
      </c>
      <c r="G446" s="18" t="inlineStr">
        <is>
          <t>IOGURTE</t>
        </is>
      </c>
      <c r="H446" s="21" t="n">
        <v>0.185</v>
      </c>
      <c r="I446" s="36" t="n">
        <v>0</v>
      </c>
      <c r="J446" s="21">
        <f>I446*H446</f>
        <v/>
      </c>
      <c r="K446" s="21">
        <f>IFERROR(IF(J446/P446&gt;1,P446,J446),0)</f>
        <v/>
      </c>
      <c r="L446" s="36" t="n">
        <v>0</v>
      </c>
      <c r="M446" s="21">
        <f>L446*H446</f>
        <v/>
      </c>
      <c r="N446" s="21">
        <f>IFERROR(IF(M446/K446&gt;1,K446,M446),0)</f>
        <v/>
      </c>
      <c r="O446" s="36" t="n">
        <v>0</v>
      </c>
      <c r="P446" s="21">
        <f>O446*H446</f>
        <v/>
      </c>
      <c r="Q446" s="30">
        <f>IF(MONTH(E446+1)=MONTH(E446+6),MONTH(E446+1),IF(MIN(EOMONTH(E446+1,0),E446+6)-(E446+1)+1&gt;=3,MONTH(E446+1),MONTH(E446+6)))</f>
        <v/>
      </c>
      <c r="R446" s="22">
        <f>IFERROR(K446/P446, 0)</f>
        <v/>
      </c>
      <c r="S446" s="38">
        <f>IFERROR(N446/P446,0)</f>
        <v/>
      </c>
      <c r="T446" s="31">
        <f>IFERROR(IF(N446&gt;0,(N446/K446),MIN(1,M446/J446)),0)</f>
        <v/>
      </c>
      <c r="U446" s="33" t="n"/>
    </row>
    <row r="447" hidden="1" s="40">
      <c r="A447" s="23" t="inlineStr">
        <is>
          <t>Semana 2 - março</t>
        </is>
      </c>
      <c r="B447" s="27">
        <f>YEAR(E447)</f>
        <v/>
      </c>
      <c r="C447" s="18">
        <f>INDEX({"Janeiro";"Fevereiro";"Março";"Abril";"Maio";"Junho";"Julho";"Agosto";"Setembro";"Outubro";"Novembro";"Dezembro"},Q447)</f>
        <v/>
      </c>
      <c r="D447" s="24" t="n">
        <v>2</v>
      </c>
      <c r="E447" s="25" t="n">
        <v>46090</v>
      </c>
      <c r="F447" s="23" t="inlineStr">
        <is>
          <t>Iogurte Vida Leve Morango 500g</t>
        </is>
      </c>
      <c r="G447" s="23" t="inlineStr">
        <is>
          <t>IOGURTE</t>
        </is>
      </c>
      <c r="H447" s="26" t="n">
        <v>0.5</v>
      </c>
      <c r="I447" s="36" t="n">
        <v>0</v>
      </c>
      <c r="J447" s="21">
        <f>I447*H447</f>
        <v/>
      </c>
      <c r="K447" s="21">
        <f>IFERROR(IF(J447/P447&gt;1,P447,J447),0)</f>
        <v/>
      </c>
      <c r="L447" s="36" t="n">
        <v>0</v>
      </c>
      <c r="M447" s="21">
        <f>L447*H447</f>
        <v/>
      </c>
      <c r="N447" s="21">
        <f>IFERROR(IF(M447/K447&gt;1,K447,M447),0)</f>
        <v/>
      </c>
      <c r="O447" s="36" t="n">
        <v>0</v>
      </c>
      <c r="P447" s="21">
        <f>O447*H447</f>
        <v/>
      </c>
      <c r="Q447" s="30">
        <f>IF(MONTH(E447+1)=MONTH(E447+6),MONTH(E447+1),IF(MIN(EOMONTH(E447+1,0),E447+6)-(E447+1)+1&gt;=3,MONTH(E447+1),MONTH(E447+6)))</f>
        <v/>
      </c>
      <c r="R447" s="22">
        <f>IFERROR(K447/P447, 0)</f>
        <v/>
      </c>
      <c r="S447" s="38">
        <f>IFERROR(N447/P447,0)</f>
        <v/>
      </c>
      <c r="T447" s="31">
        <f>IFERROR(IF(N447&gt;0,(N447/K447),MIN(1,M447/J447)),0)</f>
        <v/>
      </c>
      <c r="U447" s="33" t="n"/>
    </row>
    <row r="448" hidden="1" s="40">
      <c r="A448" s="18" t="inlineStr">
        <is>
          <t>Semana 2 - março</t>
        </is>
      </c>
      <c r="B448" s="27">
        <f>YEAR(E448)</f>
        <v/>
      </c>
      <c r="C448" s="18">
        <f>INDEX({"Janeiro";"Fevereiro";"Março";"Abril";"Maio";"Junho";"Julho";"Agosto";"Setembro";"Outubro";"Novembro";"Dezembro"},Q448)</f>
        <v/>
      </c>
      <c r="D448" s="19" t="n">
        <v>2</v>
      </c>
      <c r="E448" s="20" t="n">
        <v>46090</v>
      </c>
      <c r="F448" s="18" t="inlineStr">
        <is>
          <t>LEITE PASTEURIZADO VIÇOSA DESNATADO</t>
        </is>
      </c>
      <c r="G448" s="18" t="inlineStr">
        <is>
          <t>LEITE PAST.</t>
        </is>
      </c>
      <c r="H448" s="21" t="n">
        <v>1</v>
      </c>
      <c r="I448" s="36" t="n">
        <v>641</v>
      </c>
      <c r="J448" s="21">
        <f>I448*H448</f>
        <v/>
      </c>
      <c r="K448" s="21">
        <f>IFERROR(IF(J448/P448&gt;1,P448,J448),0)</f>
        <v/>
      </c>
      <c r="L448" s="36" t="n">
        <v>641</v>
      </c>
      <c r="M448" s="21">
        <f>L448*H448</f>
        <v/>
      </c>
      <c r="N448" s="21">
        <f>IFERROR(IF(M448/K448&gt;1,K448,M448),0)</f>
        <v/>
      </c>
      <c r="O448" s="36" t="n">
        <v>641</v>
      </c>
      <c r="P448" s="21">
        <f>O448*H448</f>
        <v/>
      </c>
      <c r="Q448" s="30">
        <f>IF(MONTH(E448+1)=MONTH(E448+6),MONTH(E448+1),IF(MIN(EOMONTH(E448+1,0),E448+6)-(E448+1)+1&gt;=3,MONTH(E448+1),MONTH(E448+6)))</f>
        <v/>
      </c>
      <c r="R448" s="22">
        <f>IFERROR(K448/P448, 0)</f>
        <v/>
      </c>
      <c r="S448" s="38">
        <f>IFERROR(N448/P448,0)</f>
        <v/>
      </c>
      <c r="T448" s="31">
        <f>IFERROR(IF(N448&gt;0,(N448/K448),MIN(1,M448/J448)),0)</f>
        <v/>
      </c>
      <c r="U448" s="33" t="n"/>
    </row>
    <row r="449" hidden="1" s="40">
      <c r="A449" s="23" t="inlineStr">
        <is>
          <t>Semana 2 - março</t>
        </is>
      </c>
      <c r="B449" s="27">
        <f>YEAR(E449)</f>
        <v/>
      </c>
      <c r="C449" s="18">
        <f>INDEX({"Janeiro";"Fevereiro";"Março";"Abril";"Maio";"Junho";"Julho";"Agosto";"Setembro";"Outubro";"Novembro";"Dezembro"},Q449)</f>
        <v/>
      </c>
      <c r="D449" s="24" t="n">
        <v>2</v>
      </c>
      <c r="E449" s="25" t="n">
        <v>46090</v>
      </c>
      <c r="F449" s="23" t="inlineStr">
        <is>
          <t>LEITE PASTEURIZADO VIÇOSA INTEGRAL</t>
        </is>
      </c>
      <c r="G449" s="23" t="inlineStr">
        <is>
          <t>LEITE PAST.</t>
        </is>
      </c>
      <c r="H449" s="26" t="n">
        <v>1</v>
      </c>
      <c r="I449" s="36" t="n">
        <v>16268</v>
      </c>
      <c r="J449" s="21">
        <f>I449*H449</f>
        <v/>
      </c>
      <c r="K449" s="21">
        <f>IFERROR(IF(J449/P449&gt;1,P449,J449),0)</f>
        <v/>
      </c>
      <c r="L449" s="36" t="n">
        <v>16268</v>
      </c>
      <c r="M449" s="21">
        <f>L449*H449</f>
        <v/>
      </c>
      <c r="N449" s="21">
        <f>IFERROR(IF(M449/K449&gt;1,K449,M449),0)</f>
        <v/>
      </c>
      <c r="O449" s="36" t="n">
        <v>16268</v>
      </c>
      <c r="P449" s="21">
        <f>O449*H449</f>
        <v/>
      </c>
      <c r="Q449" s="30">
        <f>IF(MONTH(E449+1)=MONTH(E449+6),MONTH(E449+1),IF(MIN(EOMONTH(E449+1,0),E449+6)-(E449+1)+1&gt;=3,MONTH(E449+1),MONTH(E449+6)))</f>
        <v/>
      </c>
      <c r="R449" s="22">
        <f>IFERROR(K449/P449, 0)</f>
        <v/>
      </c>
      <c r="S449" s="38">
        <f>IFERROR(N449/P449,0)</f>
        <v/>
      </c>
      <c r="T449" s="31">
        <f>IFERROR(IF(N449&gt;0,(N449/K449),MIN(1,M449/J449)),0)</f>
        <v/>
      </c>
      <c r="U449" s="33" t="n"/>
    </row>
    <row r="450" hidden="1" s="40">
      <c r="A450" s="18" t="inlineStr">
        <is>
          <t>Semana 2 - março</t>
        </is>
      </c>
      <c r="B450" s="27">
        <f>YEAR(E450)</f>
        <v/>
      </c>
      <c r="C450" s="18">
        <f>INDEX({"Janeiro";"Fevereiro";"Março";"Abril";"Maio";"Junho";"Julho";"Agosto";"Setembro";"Outubro";"Novembro";"Dezembro"},Q450)</f>
        <v/>
      </c>
      <c r="D450" s="19" t="n">
        <v>2</v>
      </c>
      <c r="E450" s="20" t="n">
        <v>46090</v>
      </c>
      <c r="F450" s="18" t="inlineStr">
        <is>
          <t>LEITE PASTEURIZADO VIÇOSA ZERO LACTOSE INTEGRAL 1 L</t>
        </is>
      </c>
      <c r="G450" s="18" t="inlineStr">
        <is>
          <t>LEITE PAST.</t>
        </is>
      </c>
      <c r="H450" s="21" t="n">
        <v>1</v>
      </c>
      <c r="I450" s="36" t="n">
        <v>724</v>
      </c>
      <c r="J450" s="21">
        <f>I450*H450</f>
        <v/>
      </c>
      <c r="K450" s="21">
        <f>IFERROR(IF(J450/P450&gt;1,P450,J450),0)</f>
        <v/>
      </c>
      <c r="L450" s="36" t="n">
        <v>724</v>
      </c>
      <c r="M450" s="21">
        <f>L450*H450</f>
        <v/>
      </c>
      <c r="N450" s="21">
        <f>IFERROR(IF(M450/K450&gt;1,K450,M450),0)</f>
        <v/>
      </c>
      <c r="O450" s="36" t="n">
        <v>724</v>
      </c>
      <c r="P450" s="21">
        <f>O450*H450</f>
        <v/>
      </c>
      <c r="Q450" s="30">
        <f>IF(MONTH(E450+1)=MONTH(E450+6),MONTH(E450+1),IF(MIN(EOMONTH(E450+1,0),E450+6)-(E450+1)+1&gt;=3,MONTH(E450+1),MONTH(E450+6)))</f>
        <v/>
      </c>
      <c r="R450" s="22">
        <f>IFERROR(K450/P450, 0)</f>
        <v/>
      </c>
      <c r="S450" s="38">
        <f>IFERROR(N450/P450,0)</f>
        <v/>
      </c>
      <c r="T450" s="31">
        <f>IFERROR(IF(N450&gt;0,(N450/K450),MIN(1,M450/J450)),0)</f>
        <v/>
      </c>
      <c r="U450" s="33" t="n"/>
    </row>
    <row r="451" hidden="1" s="40">
      <c r="A451" s="23" t="inlineStr">
        <is>
          <t>Semana 2 - março</t>
        </is>
      </c>
      <c r="B451" s="27">
        <f>YEAR(E451)</f>
        <v/>
      </c>
      <c r="C451" s="18">
        <f>INDEX({"Janeiro";"Fevereiro";"Março";"Abril";"Maio";"Junho";"Julho";"Agosto";"Setembro";"Outubro";"Novembro";"Dezembro"},Q451)</f>
        <v/>
      </c>
      <c r="D451" s="24" t="n">
        <v>2</v>
      </c>
      <c r="E451" s="25" t="n">
        <v>46090</v>
      </c>
      <c r="F451" s="23" t="inlineStr">
        <is>
          <t>Manteiga 200g</t>
        </is>
      </c>
      <c r="G451" s="23" t="inlineStr">
        <is>
          <t>MANTEIGA</t>
        </is>
      </c>
      <c r="H451" s="26" t="n">
        <v>0.2</v>
      </c>
      <c r="I451" s="36" t="n">
        <v>2500</v>
      </c>
      <c r="J451" s="21">
        <f>I451*H451</f>
        <v/>
      </c>
      <c r="K451" s="21">
        <f>IFERROR(IF(J451/P451&gt;1,P451,J451),0)</f>
        <v/>
      </c>
      <c r="L451" s="36" t="n">
        <v>2366</v>
      </c>
      <c r="M451" s="21">
        <f>L451*H451</f>
        <v/>
      </c>
      <c r="N451" s="21">
        <f>IFERROR(IF(M451/K451&gt;1,K451,M451),0)</f>
        <v/>
      </c>
      <c r="O451" s="36" t="n">
        <v>2500</v>
      </c>
      <c r="P451" s="21">
        <f>O451*H451</f>
        <v/>
      </c>
      <c r="Q451" s="30">
        <f>IF(MONTH(E451+1)=MONTH(E451+6),MONTH(E451+1),IF(MIN(EOMONTH(E451+1,0),E451+6)-(E451+1)+1&gt;=3,MONTH(E451+1),MONTH(E451+6)))</f>
        <v/>
      </c>
      <c r="R451" s="22">
        <f>IFERROR(K451/P451, 0)</f>
        <v/>
      </c>
      <c r="S451" s="38">
        <f>IFERROR(N451/P451,0)</f>
        <v/>
      </c>
      <c r="T451" s="31">
        <f>IFERROR(IF(N451&gt;0,(N451/K451),MIN(1,M451/J451)),0)</f>
        <v/>
      </c>
      <c r="U451" s="33" t="n"/>
    </row>
    <row r="452" hidden="1" s="40">
      <c r="A452" s="18" t="inlineStr">
        <is>
          <t>Semana 2 - março</t>
        </is>
      </c>
      <c r="B452" s="27">
        <f>YEAR(E452)</f>
        <v/>
      </c>
      <c r="C452" s="18">
        <f>INDEX({"Janeiro";"Fevereiro";"Março";"Abril";"Maio";"Junho";"Julho";"Agosto";"Setembro";"Outubro";"Novembro";"Dezembro"},Q452)</f>
        <v/>
      </c>
      <c r="D452" s="19" t="n">
        <v>2</v>
      </c>
      <c r="E452" s="20" t="n">
        <v>46090</v>
      </c>
      <c r="F452" s="18" t="inlineStr">
        <is>
          <t>Manteiga 500g</t>
        </is>
      </c>
      <c r="G452" s="18" t="inlineStr">
        <is>
          <t>MANTEIGA</t>
        </is>
      </c>
      <c r="H452" s="21" t="n">
        <v>0.5</v>
      </c>
      <c r="I452" s="36" t="n">
        <v>1100</v>
      </c>
      <c r="J452" s="21">
        <f>I452*H452</f>
        <v/>
      </c>
      <c r="K452" s="21">
        <f>IFERROR(IF(J452/P452&gt;1,P452,J452),0)</f>
        <v/>
      </c>
      <c r="L452" s="36" t="n">
        <v>1115</v>
      </c>
      <c r="M452" s="21">
        <f>L452*H452</f>
        <v/>
      </c>
      <c r="N452" s="21">
        <f>IFERROR(IF(M452/K452&gt;1,K452,M452),0)</f>
        <v/>
      </c>
      <c r="O452" s="36" t="n">
        <v>0</v>
      </c>
      <c r="P452" s="21">
        <f>O452*H452</f>
        <v/>
      </c>
      <c r="Q452" s="30">
        <f>IF(MONTH(E452+1)=MONTH(E452+6),MONTH(E452+1),IF(MIN(EOMONTH(E452+1,0),E452+6)-(E452+1)+1&gt;=3,MONTH(E452+1),MONTH(E452+6)))</f>
        <v/>
      </c>
      <c r="R452" s="22">
        <f>IFERROR(K452/P452, 0)</f>
        <v/>
      </c>
      <c r="S452" s="38">
        <f>IFERROR(N452/P452,0)</f>
        <v/>
      </c>
      <c r="T452" s="31">
        <f>IFERROR(IF(N452&gt;0,(N452/K452),MIN(1,M452/J452)),0)</f>
        <v/>
      </c>
      <c r="U452" s="33" t="n"/>
    </row>
    <row r="453" hidden="1" s="40">
      <c r="A453" s="23" t="inlineStr">
        <is>
          <t>Semana 2 - março</t>
        </is>
      </c>
      <c r="B453" s="27">
        <f>YEAR(E453)</f>
        <v/>
      </c>
      <c r="C453" s="18">
        <f>INDEX({"Janeiro";"Fevereiro";"Março";"Abril";"Maio";"Junho";"Julho";"Agosto";"Setembro";"Outubro";"Novembro";"Dezembro"},Q453)</f>
        <v/>
      </c>
      <c r="D453" s="24" t="n">
        <v>2</v>
      </c>
      <c r="E453" s="25" t="n">
        <v>46090</v>
      </c>
      <c r="F453" s="23" t="inlineStr">
        <is>
          <t>QUEIJO MINAS MEIA CURA (FRACIONADO)</t>
        </is>
      </c>
      <c r="G453" s="23" t="inlineStr">
        <is>
          <t>QUEIJO</t>
        </is>
      </c>
      <c r="H453" s="26" t="n">
        <v>1</v>
      </c>
      <c r="I453" s="36" t="n">
        <v>0</v>
      </c>
      <c r="J453" s="21">
        <f>I453*H453</f>
        <v/>
      </c>
      <c r="K453" s="21">
        <f>IFERROR(IF(J453/P453&gt;1,P453,J453),0)</f>
        <v/>
      </c>
      <c r="L453" s="36" t="n">
        <v>0</v>
      </c>
      <c r="M453" s="21">
        <f>L453*H453</f>
        <v/>
      </c>
      <c r="N453" s="21">
        <f>IFERROR(IF(M453/K453&gt;1,K453,M453),0)</f>
        <v/>
      </c>
      <c r="O453" s="36" t="n">
        <v>0</v>
      </c>
      <c r="P453" s="21">
        <f>O453*H453</f>
        <v/>
      </c>
      <c r="Q453" s="30">
        <f>IF(MONTH(E453+1)=MONTH(E453+6),MONTH(E453+1),IF(MIN(EOMONTH(E453+1,0),E453+6)-(E453+1)+1&gt;=3,MONTH(E453+1),MONTH(E453+6)))</f>
        <v/>
      </c>
      <c r="R453" s="22">
        <f>IFERROR(K453/P453, 0)</f>
        <v/>
      </c>
      <c r="S453" s="38">
        <f>IFERROR(N453/P453,0)</f>
        <v/>
      </c>
      <c r="T453" s="31">
        <f>IFERROR(IF(N453&gt;0,(N453/K453),MIN(1,M453/J453)),0)</f>
        <v/>
      </c>
      <c r="U453" s="33" t="n"/>
    </row>
    <row r="454" hidden="1" s="40">
      <c r="A454" s="18" t="inlineStr">
        <is>
          <t>Semana 2 - março</t>
        </is>
      </c>
      <c r="B454" s="27">
        <f>YEAR(E454)</f>
        <v/>
      </c>
      <c r="C454" s="18">
        <f>INDEX({"Janeiro";"Fevereiro";"Março";"Abril";"Maio";"Junho";"Julho";"Agosto";"Setembro";"Outubro";"Novembro";"Dezembro"},Q454)</f>
        <v/>
      </c>
      <c r="D454" s="19" t="n">
        <v>2</v>
      </c>
      <c r="E454" s="20" t="n">
        <v>46090</v>
      </c>
      <c r="F454" s="18" t="inlineStr">
        <is>
          <t>QUEIJO MINAS MEIA CURA (INTEIRO)</t>
        </is>
      </c>
      <c r="G454" s="18" t="inlineStr">
        <is>
          <t>QUEIJO</t>
        </is>
      </c>
      <c r="H454" s="21" t="n">
        <v>1</v>
      </c>
      <c r="I454" s="36" t="n">
        <v>200</v>
      </c>
      <c r="J454" s="21">
        <f>I454*H454</f>
        <v/>
      </c>
      <c r="K454" s="21">
        <f>IFERROR(IF(J454/P454&gt;1,P454,J454),0)</f>
        <v/>
      </c>
      <c r="L454" s="36" t="n">
        <v>200</v>
      </c>
      <c r="M454" s="21">
        <f>L454*H454</f>
        <v/>
      </c>
      <c r="N454" s="21">
        <f>IFERROR(IF(M454/K454&gt;1,K454,M454),0)</f>
        <v/>
      </c>
      <c r="O454" s="36" t="n">
        <v>200</v>
      </c>
      <c r="P454" s="21">
        <f>O454*H454</f>
        <v/>
      </c>
      <c r="Q454" s="30">
        <f>IF(MONTH(E454+1)=MONTH(E454+6),MONTH(E454+1),IF(MIN(EOMONTH(E454+1,0),E454+6)-(E454+1)+1&gt;=3,MONTH(E454+1),MONTH(E454+6)))</f>
        <v/>
      </c>
      <c r="R454" s="22">
        <f>IFERROR(K454/P454, 0)</f>
        <v/>
      </c>
      <c r="S454" s="38">
        <f>IFERROR(N454/P454,0)</f>
        <v/>
      </c>
      <c r="T454" s="31">
        <f>IFERROR(IF(N454&gt;0,(N454/K454),MIN(1,M454/J454)),0)</f>
        <v/>
      </c>
      <c r="U454" s="33" t="n"/>
    </row>
    <row r="455" hidden="1" s="40">
      <c r="A455" s="23" t="inlineStr">
        <is>
          <t>Semana 2 - março</t>
        </is>
      </c>
      <c r="B455" s="27">
        <f>YEAR(E455)</f>
        <v/>
      </c>
      <c r="C455" s="18">
        <f>INDEX({"Janeiro";"Fevereiro";"Março";"Abril";"Maio";"Junho";"Julho";"Agosto";"Setembro";"Outubro";"Novembro";"Dezembro"},Q455)</f>
        <v/>
      </c>
      <c r="D455" s="24" t="n">
        <v>2</v>
      </c>
      <c r="E455" s="25" t="n">
        <v>46090</v>
      </c>
      <c r="F455" s="23" t="inlineStr">
        <is>
          <t xml:space="preserve">QUEIJO MINAS PADRÃO VIÇOSA FRACIONADO </t>
        </is>
      </c>
      <c r="G455" s="23" t="inlineStr">
        <is>
          <t>QUEIJO</t>
        </is>
      </c>
      <c r="H455" s="26" t="n">
        <v>1</v>
      </c>
      <c r="I455" s="36" t="n">
        <v>0</v>
      </c>
      <c r="J455" s="21">
        <f>I455*H455</f>
        <v/>
      </c>
      <c r="K455" s="21">
        <f>IFERROR(IF(J455/P455&gt;1,P455,J455),0)</f>
        <v/>
      </c>
      <c r="L455" s="36" t="n">
        <v>200</v>
      </c>
      <c r="M455" s="21">
        <f>L455*H455</f>
        <v/>
      </c>
      <c r="N455" s="21">
        <f>IFERROR(IF(M455/K455&gt;1,K455,M455),0)</f>
        <v/>
      </c>
      <c r="O455" s="36" t="n">
        <v>0</v>
      </c>
      <c r="P455" s="21">
        <f>O455*H455</f>
        <v/>
      </c>
      <c r="Q455" s="30">
        <f>IF(MONTH(E455+1)=MONTH(E455+6),MONTH(E455+1),IF(MIN(EOMONTH(E455+1,0),E455+6)-(E455+1)+1&gt;=3,MONTH(E455+1),MONTH(E455+6)))</f>
        <v/>
      </c>
      <c r="R455" s="22">
        <f>IFERROR(K455/P455, 0)</f>
        <v/>
      </c>
      <c r="S455" s="38">
        <f>IFERROR(N455/P455,0)</f>
        <v/>
      </c>
      <c r="T455" s="31">
        <f>IFERROR(IF(N455&gt;0,(N455/K455),MIN(1,M455/J455)),0)</f>
        <v/>
      </c>
      <c r="U455" s="33" t="n"/>
    </row>
    <row r="456" hidden="1" s="40">
      <c r="A456" s="18" t="inlineStr">
        <is>
          <t>Semana 2 - março</t>
        </is>
      </c>
      <c r="B456" s="27">
        <f>YEAR(E456)</f>
        <v/>
      </c>
      <c r="C456" s="18">
        <f>INDEX({"Janeiro";"Fevereiro";"Março";"Abril";"Maio";"Junho";"Julho";"Agosto";"Setembro";"Outubro";"Novembro";"Dezembro"},Q456)</f>
        <v/>
      </c>
      <c r="D456" s="19" t="n">
        <v>2</v>
      </c>
      <c r="E456" s="20" t="n">
        <v>46090</v>
      </c>
      <c r="F456" s="18" t="inlineStr">
        <is>
          <t>QUEIJO MUSSARELA 3KG</t>
        </is>
      </c>
      <c r="G456" s="18" t="inlineStr">
        <is>
          <t>QUEIJO</t>
        </is>
      </c>
      <c r="H456" s="21" t="n">
        <v>1</v>
      </c>
      <c r="I456" s="36" t="n">
        <v>300</v>
      </c>
      <c r="J456" s="21">
        <f>I456*H456</f>
        <v/>
      </c>
      <c r="K456" s="21">
        <f>IFERROR(IF(J456/P456&gt;1,P456,J456),0)</f>
        <v/>
      </c>
      <c r="L456" s="36" t="n">
        <v>300</v>
      </c>
      <c r="M456" s="21">
        <f>L456*H456</f>
        <v/>
      </c>
      <c r="N456" s="21">
        <f>IFERROR(IF(M456/K456&gt;1,K456,M456),0)</f>
        <v/>
      </c>
      <c r="O456" s="36" t="n">
        <v>300</v>
      </c>
      <c r="P456" s="21">
        <f>O456*H456</f>
        <v/>
      </c>
      <c r="Q456" s="30">
        <f>IF(MONTH(E456+1)=MONTH(E456+6),MONTH(E456+1),IF(MIN(EOMONTH(E456+1,0),E456+6)-(E456+1)+1&gt;=3,MONTH(E456+1),MONTH(E456+6)))</f>
        <v/>
      </c>
      <c r="R456" s="22">
        <f>IFERROR(K456/P456, 0)</f>
        <v/>
      </c>
      <c r="S456" s="38">
        <f>IFERROR(N456/P456,0)</f>
        <v/>
      </c>
      <c r="T456" s="31">
        <f>IFERROR(IF(N456&gt;0,(N456/K456),MIN(1,M456/J456)),0)</f>
        <v/>
      </c>
      <c r="U456" s="33" t="n"/>
    </row>
    <row r="457" hidden="1" s="40">
      <c r="A457" s="23" t="inlineStr">
        <is>
          <t>Semana 2 - março</t>
        </is>
      </c>
      <c r="B457" s="27">
        <f>YEAR(E457)</f>
        <v/>
      </c>
      <c r="C457" s="18">
        <f>INDEX({"Janeiro";"Fevereiro";"Março";"Abril";"Maio";"Junho";"Julho";"Agosto";"Setembro";"Outubro";"Novembro";"Dezembro"},Q457)</f>
        <v/>
      </c>
      <c r="D457" s="24" t="n">
        <v>2</v>
      </c>
      <c r="E457" s="25" t="n">
        <v>46090</v>
      </c>
      <c r="F457" s="23" t="inlineStr">
        <is>
          <t>QUEIJO MUSSARELA LANCHE</t>
        </is>
      </c>
      <c r="G457" s="23" t="inlineStr">
        <is>
          <t>QUEIJO</t>
        </is>
      </c>
      <c r="H457" s="26" t="n">
        <v>1</v>
      </c>
      <c r="I457" s="36" t="n">
        <v>200</v>
      </c>
      <c r="J457" s="21">
        <f>I457*H457</f>
        <v/>
      </c>
      <c r="K457" s="21">
        <f>IFERROR(IF(J457/P457&gt;1,P457,J457),0)</f>
        <v/>
      </c>
      <c r="L457" s="36" t="n">
        <v>200</v>
      </c>
      <c r="M457" s="21">
        <f>L457*H457</f>
        <v/>
      </c>
      <c r="N457" s="21">
        <f>IFERROR(IF(M457/K457&gt;1,K457,M457),0)</f>
        <v/>
      </c>
      <c r="O457" s="36" t="n">
        <v>200</v>
      </c>
      <c r="P457" s="21">
        <f>O457*H457</f>
        <v/>
      </c>
      <c r="Q457" s="30">
        <f>IF(MONTH(E457+1)=MONTH(E457+6),MONTH(E457+1),IF(MIN(EOMONTH(E457+1,0),E457+6)-(E457+1)+1&gt;=3,MONTH(E457+1),MONTH(E457+6)))</f>
        <v/>
      </c>
      <c r="R457" s="22">
        <f>IFERROR(K457/P457, 0)</f>
        <v/>
      </c>
      <c r="S457" s="38">
        <f>IFERROR(N457/P457,0)</f>
        <v/>
      </c>
      <c r="T457" s="31">
        <f>IFERROR(IF(N457&gt;0,(N457/K457),MIN(1,M457/J457)),0)</f>
        <v/>
      </c>
      <c r="U457" s="33" t="n"/>
    </row>
    <row r="458" hidden="1" s="40">
      <c r="A458" s="18" t="inlineStr">
        <is>
          <t>Semana 2 - março</t>
        </is>
      </c>
      <c r="B458" s="27">
        <f>YEAR(E458)</f>
        <v/>
      </c>
      <c r="C458" s="18">
        <f>INDEX({"Janeiro";"Fevereiro";"Março";"Abril";"Maio";"Junho";"Julho";"Agosto";"Setembro";"Outubro";"Novembro";"Dezembro"},Q458)</f>
        <v/>
      </c>
      <c r="D458" s="19" t="n">
        <v>2</v>
      </c>
      <c r="E458" s="20" t="n">
        <v>46090</v>
      </c>
      <c r="F458" s="18" t="inlineStr">
        <is>
          <t>REQUEIJÃO VIÇOSA 200g</t>
        </is>
      </c>
      <c r="G458" s="18" t="inlineStr">
        <is>
          <t>REQUEIJÃO</t>
        </is>
      </c>
      <c r="H458" s="21" t="n">
        <v>0.2</v>
      </c>
      <c r="I458" s="36" t="n">
        <v>2000</v>
      </c>
      <c r="J458" s="21">
        <f>I458*H458</f>
        <v/>
      </c>
      <c r="K458" s="21">
        <f>IFERROR(IF(J458/P458&gt;1,P458,J458),0)</f>
        <v/>
      </c>
      <c r="L458" s="36" t="n">
        <v>2404</v>
      </c>
      <c r="M458" s="21">
        <f>L458*H458</f>
        <v/>
      </c>
      <c r="N458" s="21">
        <f>IFERROR(IF(M458/K458&gt;1,K458,M458),0)</f>
        <v/>
      </c>
      <c r="O458" s="36" t="n">
        <v>2800</v>
      </c>
      <c r="P458" s="21">
        <f>O458*H458</f>
        <v/>
      </c>
      <c r="Q458" s="30">
        <f>IF(MONTH(E458+1)=MONTH(E458+6),MONTH(E458+1),IF(MIN(EOMONTH(E458+1,0),E458+6)-(E458+1)+1&gt;=3,MONTH(E458+1),MONTH(E458+6)))</f>
        <v/>
      </c>
      <c r="R458" s="22">
        <f>IFERROR(K458/P458, 0)</f>
        <v/>
      </c>
      <c r="S458" s="38">
        <f>IFERROR(N458/P458,0)</f>
        <v/>
      </c>
      <c r="T458" s="31">
        <f>IFERROR(IF(N458&gt;0,(N458/K458),MIN(1,M458/J458)),0)</f>
        <v/>
      </c>
      <c r="U458" s="33" t="n"/>
    </row>
    <row r="459" hidden="1" s="40">
      <c r="A459" s="23" t="inlineStr">
        <is>
          <t>Semana 2 - março</t>
        </is>
      </c>
      <c r="B459" s="27">
        <f>YEAR(E459)</f>
        <v/>
      </c>
      <c r="C459" s="18">
        <f>INDEX({"Janeiro";"Fevereiro";"Março";"Abril";"Maio";"Junho";"Julho";"Agosto";"Setembro";"Outubro";"Novembro";"Dezembro"},Q459)</f>
        <v/>
      </c>
      <c r="D459" s="24" t="n">
        <v>2</v>
      </c>
      <c r="E459" s="25" t="n">
        <v>46090</v>
      </c>
      <c r="F459" s="23" t="inlineStr">
        <is>
          <t>REQUEIJÃO VIÇOSA 400g</t>
        </is>
      </c>
      <c r="G459" s="23" t="inlineStr">
        <is>
          <t>REQUEIJÃO</t>
        </is>
      </c>
      <c r="H459" s="26" t="n">
        <v>0.4</v>
      </c>
      <c r="I459" s="36" t="n">
        <v>4620</v>
      </c>
      <c r="J459" s="21">
        <f>I459*H459</f>
        <v/>
      </c>
      <c r="K459" s="21">
        <f>IFERROR(IF(J459/P459&gt;1,P459,J459),0)</f>
        <v/>
      </c>
      <c r="L459" s="36" t="n">
        <v>3195</v>
      </c>
      <c r="M459" s="21">
        <f>L459*H459</f>
        <v/>
      </c>
      <c r="N459" s="21">
        <f>IFERROR(IF(M459/K459&gt;1,K459,M459),0)</f>
        <v/>
      </c>
      <c r="O459" s="36" t="n">
        <v>3200</v>
      </c>
      <c r="P459" s="21">
        <f>O459*H459</f>
        <v/>
      </c>
      <c r="Q459" s="30">
        <f>IF(MONTH(E459+1)=MONTH(E459+6),MONTH(E459+1),IF(MIN(EOMONTH(E459+1,0),E459+6)-(E459+1)+1&gt;=3,MONTH(E459+1),MONTH(E459+6)))</f>
        <v/>
      </c>
      <c r="R459" s="22">
        <f>IFERROR(K459/P459, 0)</f>
        <v/>
      </c>
      <c r="S459" s="38">
        <f>IFERROR(N459/P459,0)</f>
        <v/>
      </c>
      <c r="T459" s="31">
        <f>IFERROR(IF(N459&gt;0,(N459/K459),MIN(1,M459/J459)),0)</f>
        <v/>
      </c>
      <c r="U459" s="33" t="n"/>
    </row>
    <row r="460" hidden="1" s="40">
      <c r="A460" s="18" t="inlineStr">
        <is>
          <t>Semana 2 - março</t>
        </is>
      </c>
      <c r="B460" s="27">
        <f>YEAR(E460)</f>
        <v/>
      </c>
      <c r="C460" s="18">
        <f>INDEX({"Janeiro";"Fevereiro";"Março";"Abril";"Maio";"Junho";"Julho";"Agosto";"Setembro";"Outubro";"Novembro";"Dezembro"},Q460)</f>
        <v/>
      </c>
      <c r="D460" s="19" t="n">
        <v>2</v>
      </c>
      <c r="E460" s="20" t="n">
        <v>46090</v>
      </c>
      <c r="F460" s="18" t="inlineStr">
        <is>
          <t>Requeijão Light 200g</t>
        </is>
      </c>
      <c r="G460" s="18" t="inlineStr">
        <is>
          <t>REQUEIJÃO</t>
        </is>
      </c>
      <c r="H460" s="21" t="n">
        <v>0.2</v>
      </c>
      <c r="I460" s="36" t="n">
        <v>1200</v>
      </c>
      <c r="J460" s="21">
        <f>I460*H460</f>
        <v/>
      </c>
      <c r="K460" s="21">
        <f>IFERROR(IF(J460/P460&gt;1,P460,J460),0)</f>
        <v/>
      </c>
      <c r="L460" s="36" t="n">
        <v>1653</v>
      </c>
      <c r="M460" s="21">
        <f>L460*H460</f>
        <v/>
      </c>
      <c r="N460" s="21">
        <f>IFERROR(IF(M460/K460&gt;1,K460,M460),0)</f>
        <v/>
      </c>
      <c r="O460" s="36" t="n">
        <v>1500</v>
      </c>
      <c r="P460" s="21">
        <f>O460*H460</f>
        <v/>
      </c>
      <c r="Q460" s="30">
        <f>IF(MONTH(E460+1)=MONTH(E460+6),MONTH(E460+1),IF(MIN(EOMONTH(E460+1,0),E460+6)-(E460+1)+1&gt;=3,MONTH(E460+1),MONTH(E460+6)))</f>
        <v/>
      </c>
      <c r="R460" s="22">
        <f>IFERROR(K460/P460, 0)</f>
        <v/>
      </c>
      <c r="S460" s="38">
        <f>IFERROR(N460/P460,0)</f>
        <v/>
      </c>
      <c r="T460" s="31">
        <f>IFERROR(IF(N460&gt;0,(N460/K460),MIN(1,M460/J460)),0)</f>
        <v/>
      </c>
      <c r="U460" s="33" t="n"/>
    </row>
    <row r="461" hidden="1" s="40">
      <c r="A461" s="23" t="inlineStr">
        <is>
          <t>Semana 2 - março</t>
        </is>
      </c>
      <c r="B461" s="27">
        <f>YEAR(E461)</f>
        <v/>
      </c>
      <c r="C461" s="18">
        <f>INDEX({"Janeiro";"Fevereiro";"Março";"Abril";"Maio";"Junho";"Julho";"Agosto";"Setembro";"Outubro";"Novembro";"Dezembro"},Q461)</f>
        <v/>
      </c>
      <c r="D461" s="24" t="n">
        <v>2</v>
      </c>
      <c r="E461" s="25" t="n">
        <v>46090</v>
      </c>
      <c r="F461" s="23" t="inlineStr">
        <is>
          <t>Creme de Ricota 200g</t>
        </is>
      </c>
      <c r="G461" s="23" t="inlineStr">
        <is>
          <t>RICOTA</t>
        </is>
      </c>
      <c r="H461" s="26" t="n">
        <v>0.2</v>
      </c>
      <c r="I461" s="36" t="n">
        <v>1000</v>
      </c>
      <c r="J461" s="21">
        <f>I461*H461</f>
        <v/>
      </c>
      <c r="K461" s="21">
        <f>IFERROR(IF(J461/P461&gt;1,P461,J461),0)</f>
        <v/>
      </c>
      <c r="L461" s="36" t="n">
        <v>0</v>
      </c>
      <c r="M461" s="21">
        <f>L461*H461</f>
        <v/>
      </c>
      <c r="N461" s="21">
        <f>IFERROR(IF(M461/K461&gt;1,K461,M461),0)</f>
        <v/>
      </c>
      <c r="O461" s="36" t="n">
        <v>1200</v>
      </c>
      <c r="P461" s="21">
        <f>O461*H461</f>
        <v/>
      </c>
      <c r="Q461" s="30">
        <f>IF(MONTH(E461+1)=MONTH(E461+6),MONTH(E461+1),IF(MIN(EOMONTH(E461+1,0),E461+6)-(E461+1)+1&gt;=3,MONTH(E461+1),MONTH(E461+6)))</f>
        <v/>
      </c>
      <c r="R461" s="22">
        <f>IFERROR(K461/P461, 0)</f>
        <v/>
      </c>
      <c r="S461" s="38">
        <f>IFERROR(N461/P461,0)</f>
        <v/>
      </c>
      <c r="T461" s="31">
        <f>IFERROR(IF(N461&gt;0,(N461/K461),MIN(1,M461/J461)),0)</f>
        <v/>
      </c>
      <c r="U461" s="33" t="n"/>
    </row>
    <row r="462" hidden="1" s="40">
      <c r="A462" s="18" t="inlineStr">
        <is>
          <t>Semana 3 - março</t>
        </is>
      </c>
      <c r="B462" s="27">
        <f>YEAR(E462)</f>
        <v/>
      </c>
      <c r="C462" s="18">
        <f>INDEX({"Janeiro";"Fevereiro";"Março";"Abril";"Maio";"Junho";"Julho";"Agosto";"Setembro";"Outubro";"Novembro";"Dezembro"},Q462)</f>
        <v/>
      </c>
      <c r="D462" s="19" t="n">
        <v>3</v>
      </c>
      <c r="E462" s="20" t="n">
        <v>46097</v>
      </c>
      <c r="F462" s="18" t="inlineStr">
        <is>
          <t>Doce de Leite 400g</t>
        </is>
      </c>
      <c r="G462" s="18" t="inlineStr">
        <is>
          <t>DOCE</t>
        </is>
      </c>
      <c r="H462" s="21" t="n">
        <v>0.4</v>
      </c>
      <c r="I462" s="36" t="n">
        <v>60000</v>
      </c>
      <c r="J462" s="21">
        <f>I462*H462</f>
        <v/>
      </c>
      <c r="K462" s="21">
        <f>IFERROR(IF(J462/P462&gt;1,P462,J462),0)</f>
        <v/>
      </c>
      <c r="L462" s="36" t="n">
        <v>54950</v>
      </c>
      <c r="M462" s="21">
        <f>L462*H462</f>
        <v/>
      </c>
      <c r="N462" s="21">
        <f>IFERROR(IF(M462/K462&gt;1,K462,M462),0)</f>
        <v/>
      </c>
      <c r="O462" s="36" t="n">
        <v>30000</v>
      </c>
      <c r="P462" s="21">
        <f>O462*H462</f>
        <v/>
      </c>
      <c r="Q462" s="30">
        <f>IF(MONTH(E462+1)=MONTH(E462+6),MONTH(E462+1),IF(MIN(EOMONTH(E462+1,0),E462+6)-(E462+1)+1&gt;=3,MONTH(E462+1),MONTH(E462+6)))</f>
        <v/>
      </c>
      <c r="R462" s="22">
        <f>IFERROR(K462/P462, 0)</f>
        <v/>
      </c>
      <c r="S462" s="38">
        <f>IFERROR(N462/P462,0)</f>
        <v/>
      </c>
      <c r="T462" s="31">
        <f>IFERROR(IF(N462&gt;0,(N462/K462),MIN(1,M462/J462)),0)</f>
        <v/>
      </c>
      <c r="U462" s="33" t="n"/>
    </row>
    <row r="463" hidden="1" s="40">
      <c r="A463" s="23" t="inlineStr">
        <is>
          <t>Semana 3 - março</t>
        </is>
      </c>
      <c r="B463" s="27">
        <f>YEAR(E463)</f>
        <v/>
      </c>
      <c r="C463" s="18">
        <f>INDEX({"Janeiro";"Fevereiro";"Março";"Abril";"Maio";"Junho";"Julho";"Agosto";"Setembro";"Outubro";"Novembro";"Dezembro"},Q463)</f>
        <v/>
      </c>
      <c r="D463" s="24" t="n">
        <v>3</v>
      </c>
      <c r="E463" s="25" t="n">
        <v>46097</v>
      </c>
      <c r="F463" s="23" t="inlineStr">
        <is>
          <t>Doce de Leite 5kg</t>
        </is>
      </c>
      <c r="G463" s="23" t="inlineStr">
        <is>
          <t>DOCE</t>
        </is>
      </c>
      <c r="H463" s="26" t="n">
        <v>5</v>
      </c>
      <c r="I463" s="36" t="n">
        <v>775</v>
      </c>
      <c r="J463" s="21">
        <f>I463*H463</f>
        <v/>
      </c>
      <c r="K463" s="21">
        <f>IFERROR(IF(J463/P463&gt;1,P463,J463),0)</f>
        <v/>
      </c>
      <c r="L463" s="36" t="n">
        <v>1094</v>
      </c>
      <c r="M463" s="21">
        <f>L463*H463</f>
        <v/>
      </c>
      <c r="N463" s="21">
        <f>IFERROR(IF(M463/K463&gt;1,K463,M463),0)</f>
        <v/>
      </c>
      <c r="O463" s="36" t="n">
        <v>1395</v>
      </c>
      <c r="P463" s="21">
        <f>O463*H463</f>
        <v/>
      </c>
      <c r="Q463" s="30">
        <f>IF(MONTH(E463+1)=MONTH(E463+6),MONTH(E463+1),IF(MIN(EOMONTH(E463+1,0),E463+6)-(E463+1)+1&gt;=3,MONTH(E463+1),MONTH(E463+6)))</f>
        <v/>
      </c>
      <c r="R463" s="22">
        <f>IFERROR(K463/P463, 0)</f>
        <v/>
      </c>
      <c r="S463" s="38">
        <f>IFERROR(N463/P463,0)</f>
        <v/>
      </c>
      <c r="T463" s="31">
        <f>IFERROR(IF(N463&gt;0,(N463/K463),MIN(1,M463/J463)),0)</f>
        <v/>
      </c>
      <c r="U463" s="33" t="n"/>
    </row>
    <row r="464" hidden="1" s="40">
      <c r="A464" s="18" t="inlineStr">
        <is>
          <t>Semana 3 - março</t>
        </is>
      </c>
      <c r="B464" s="27">
        <f>YEAR(E464)</f>
        <v/>
      </c>
      <c r="C464" s="18">
        <f>INDEX({"Janeiro";"Fevereiro";"Março";"Abril";"Maio";"Junho";"Julho";"Agosto";"Setembro";"Outubro";"Novembro";"Dezembro"},Q464)</f>
        <v/>
      </c>
      <c r="D464" s="19" t="n">
        <v>3</v>
      </c>
      <c r="E464" s="20" t="n">
        <v>46097</v>
      </c>
      <c r="F464" s="18" t="inlineStr">
        <is>
          <t>Doce de Leite 5kg - Bombeável</t>
        </is>
      </c>
      <c r="G464" s="18" t="inlineStr">
        <is>
          <t>DOCE</t>
        </is>
      </c>
      <c r="H464" s="21" t="n">
        <v>5</v>
      </c>
      <c r="I464" s="36" t="n">
        <v>0</v>
      </c>
      <c r="J464" s="21">
        <f>I464*H464</f>
        <v/>
      </c>
      <c r="K464" s="21">
        <f>IFERROR(IF(J464/P464&gt;1,P464,J464),0)</f>
        <v/>
      </c>
      <c r="L464" s="36" t="n">
        <v>0</v>
      </c>
      <c r="M464" s="21">
        <f>L464*H464</f>
        <v/>
      </c>
      <c r="N464" s="21">
        <f>IFERROR(IF(M464/K464&gt;1,K464,M464),0)</f>
        <v/>
      </c>
      <c r="O464" s="36" t="n">
        <v>0</v>
      </c>
      <c r="P464" s="21">
        <f>O464*H464</f>
        <v/>
      </c>
      <c r="Q464" s="30">
        <f>IF(MONTH(E464+1)=MONTH(E464+6),MONTH(E464+1),IF(MIN(EOMONTH(E464+1,0),E464+6)-(E464+1)+1&gt;=3,MONTH(E464+1),MONTH(E464+6)))</f>
        <v/>
      </c>
      <c r="R464" s="22">
        <f>IFERROR(K464/P464, 0)</f>
        <v/>
      </c>
      <c r="S464" s="38">
        <f>IFERROR(N464/P464,0)</f>
        <v/>
      </c>
      <c r="T464" s="31">
        <f>IFERROR(IF(N464&gt;0,(N464/K464),MIN(1,M464/J464)),0)</f>
        <v/>
      </c>
      <c r="U464" s="33" t="n"/>
    </row>
    <row r="465" hidden="1" s="40">
      <c r="A465" s="23" t="inlineStr">
        <is>
          <t>Semana 3 - março</t>
        </is>
      </c>
      <c r="B465" s="27">
        <f>YEAR(E465)</f>
        <v/>
      </c>
      <c r="C465" s="18">
        <f>INDEX({"Janeiro";"Fevereiro";"Março";"Abril";"Maio";"Junho";"Julho";"Agosto";"Setembro";"Outubro";"Novembro";"Dezembro"},Q465)</f>
        <v/>
      </c>
      <c r="D465" s="24" t="n">
        <v>3</v>
      </c>
      <c r="E465" s="25" t="n">
        <v>46097</v>
      </c>
      <c r="F465" s="23" t="inlineStr">
        <is>
          <t>Doce de Leite 5kg - Forneável</t>
        </is>
      </c>
      <c r="G465" s="23" t="inlineStr">
        <is>
          <t>DOCE</t>
        </is>
      </c>
      <c r="H465" s="26" t="n">
        <v>5</v>
      </c>
      <c r="I465" s="36" t="n">
        <v>0</v>
      </c>
      <c r="J465" s="21">
        <f>I465*H465</f>
        <v/>
      </c>
      <c r="K465" s="21">
        <f>IFERROR(IF(J465/P465&gt;1,P465,J465),0)</f>
        <v/>
      </c>
      <c r="L465" s="36" t="n">
        <v>0</v>
      </c>
      <c r="M465" s="21">
        <f>L465*H465</f>
        <v/>
      </c>
      <c r="N465" s="21">
        <f>IFERROR(IF(M465/K465&gt;1,K465,M465),0)</f>
        <v/>
      </c>
      <c r="O465" s="36" t="n">
        <v>160</v>
      </c>
      <c r="P465" s="21">
        <f>O465*H465</f>
        <v/>
      </c>
      <c r="Q465" s="30">
        <f>IF(MONTH(E465+1)=MONTH(E465+6),MONTH(E465+1),IF(MIN(EOMONTH(E465+1,0),E465+6)-(E465+1)+1&gt;=3,MONTH(E465+1),MONTH(E465+6)))</f>
        <v/>
      </c>
      <c r="R465" s="22">
        <f>IFERROR(K465/P465, 0)</f>
        <v/>
      </c>
      <c r="S465" s="38">
        <f>IFERROR(N465/P465,0)</f>
        <v/>
      </c>
      <c r="T465" s="31">
        <f>IFERROR(IF(N465&gt;0,(N465/K465),MIN(1,M465/J465)),0)</f>
        <v/>
      </c>
      <c r="U465" s="33" t="n"/>
    </row>
    <row r="466" hidden="1" s="40">
      <c r="A466" s="18" t="inlineStr">
        <is>
          <t>Semana 3 - março</t>
        </is>
      </c>
      <c r="B466" s="27">
        <f>YEAR(E466)</f>
        <v/>
      </c>
      <c r="C466" s="18">
        <f>INDEX({"Janeiro";"Fevereiro";"Março";"Abril";"Maio";"Junho";"Julho";"Agosto";"Setembro";"Outubro";"Novembro";"Dezembro"},Q466)</f>
        <v/>
      </c>
      <c r="D466" s="19" t="n">
        <v>3</v>
      </c>
      <c r="E466" s="20" t="n">
        <v>46097</v>
      </c>
      <c r="F466" s="18" t="inlineStr">
        <is>
          <t>Doce de Leite 800g</t>
        </is>
      </c>
      <c r="G466" s="18" t="inlineStr">
        <is>
          <t>DOCE</t>
        </is>
      </c>
      <c r="H466" s="21" t="n">
        <v>0.8</v>
      </c>
      <c r="I466" s="36" t="n">
        <v>9000</v>
      </c>
      <c r="J466" s="21">
        <f>I466*H466</f>
        <v/>
      </c>
      <c r="K466" s="21">
        <f>IFERROR(IF(J466/P466&gt;1,P466,J466),0)</f>
        <v/>
      </c>
      <c r="L466" s="36" t="n">
        <v>9805</v>
      </c>
      <c r="M466" s="21">
        <f>L466*H466</f>
        <v/>
      </c>
      <c r="N466" s="21">
        <f>IFERROR(IF(M466/K466&gt;1,K466,M466),0)</f>
        <v/>
      </c>
      <c r="O466" s="36" t="n">
        <v>18000</v>
      </c>
      <c r="P466" s="21">
        <f>O466*H466</f>
        <v/>
      </c>
      <c r="Q466" s="30">
        <f>IF(MONTH(E466+1)=MONTH(E466+6),MONTH(E466+1),IF(MIN(EOMONTH(E466+1,0),E466+6)-(E466+1)+1&gt;=3,MONTH(E466+1),MONTH(E466+6)))</f>
        <v/>
      </c>
      <c r="R466" s="22">
        <f>IFERROR(K466/P466, 0)</f>
        <v/>
      </c>
      <c r="S466" s="38">
        <f>IFERROR(N466/P466,0)</f>
        <v/>
      </c>
      <c r="T466" s="31">
        <f>IFERROR(IF(N466&gt;0,(N466/K466),MIN(1,M466/J466)),0)</f>
        <v/>
      </c>
      <c r="U466" s="33" t="n"/>
    </row>
    <row r="467" hidden="1" s="40">
      <c r="A467" s="23" t="inlineStr">
        <is>
          <t>Semana 3 - março</t>
        </is>
      </c>
      <c r="B467" s="27">
        <f>YEAR(E467)</f>
        <v/>
      </c>
      <c r="C467" s="18">
        <f>INDEX({"Janeiro";"Fevereiro";"Março";"Abril";"Maio";"Junho";"Julho";"Agosto";"Setembro";"Outubro";"Novembro";"Dezembro"},Q467)</f>
        <v/>
      </c>
      <c r="D467" s="24" t="n">
        <v>3</v>
      </c>
      <c r="E467" s="25" t="n">
        <v>46097</v>
      </c>
      <c r="F467" s="23" t="inlineStr">
        <is>
          <t>Doce de Leite Cacau 400g</t>
        </is>
      </c>
      <c r="G467" s="23" t="inlineStr">
        <is>
          <t>DOCE</t>
        </is>
      </c>
      <c r="H467" s="26" t="n">
        <v>0.4</v>
      </c>
      <c r="I467" s="36" t="n">
        <v>0</v>
      </c>
      <c r="J467" s="21">
        <f>I467*H467</f>
        <v/>
      </c>
      <c r="K467" s="21">
        <f>IFERROR(IF(J467/P467&gt;1,P467,J467),0)</f>
        <v/>
      </c>
      <c r="L467" s="36" t="n">
        <v>0</v>
      </c>
      <c r="M467" s="21">
        <f>L467*H467</f>
        <v/>
      </c>
      <c r="N467" s="21">
        <f>IFERROR(IF(M467/K467&gt;1,K467,M467),0)</f>
        <v/>
      </c>
      <c r="O467" s="36" t="n">
        <v>0</v>
      </c>
      <c r="P467" s="21">
        <f>O467*H467</f>
        <v/>
      </c>
      <c r="Q467" s="30">
        <f>IF(MONTH(E467+1)=MONTH(E467+6),MONTH(E467+1),IF(MIN(EOMONTH(E467+1,0),E467+6)-(E467+1)+1&gt;=3,MONTH(E467+1),MONTH(E467+6)))</f>
        <v/>
      </c>
      <c r="R467" s="22">
        <f>IFERROR(K467/P467, 0)</f>
        <v/>
      </c>
      <c r="S467" s="38">
        <f>IFERROR(N467/P467,0)</f>
        <v/>
      </c>
      <c r="T467" s="31">
        <f>IFERROR(IF(N467&gt;0,(N467/K467),MIN(1,M467/J467)),0)</f>
        <v/>
      </c>
      <c r="U467" s="33" t="n"/>
    </row>
    <row r="468" hidden="1" s="40">
      <c r="A468" s="18" t="inlineStr">
        <is>
          <t>Semana 3 - março</t>
        </is>
      </c>
      <c r="B468" s="27">
        <f>YEAR(E468)</f>
        <v/>
      </c>
      <c r="C468" s="18">
        <f>INDEX({"Janeiro";"Fevereiro";"Março";"Abril";"Maio";"Junho";"Julho";"Agosto";"Setembro";"Outubro";"Novembro";"Dezembro"},Q468)</f>
        <v/>
      </c>
      <c r="D468" s="19" t="n">
        <v>3</v>
      </c>
      <c r="E468" s="20" t="n">
        <v>46097</v>
      </c>
      <c r="F468" s="18" t="inlineStr">
        <is>
          <t>Doce de Leite Cacau 5kg - Bombeável</t>
        </is>
      </c>
      <c r="G468" s="18" t="inlineStr">
        <is>
          <t>DOCE</t>
        </is>
      </c>
      <c r="H468" s="21" t="n">
        <v>5</v>
      </c>
      <c r="I468" s="36" t="n">
        <v>0</v>
      </c>
      <c r="J468" s="21">
        <f>I468*H468</f>
        <v/>
      </c>
      <c r="K468" s="21">
        <f>IFERROR(IF(J468/P468&gt;1,P468,J468),0)</f>
        <v/>
      </c>
      <c r="L468" s="36" t="n">
        <v>0</v>
      </c>
      <c r="M468" s="21">
        <f>L468*H468</f>
        <v/>
      </c>
      <c r="N468" s="21">
        <f>IFERROR(IF(M468/K468&gt;1,K468,M468),0)</f>
        <v/>
      </c>
      <c r="O468" s="36" t="n">
        <v>0</v>
      </c>
      <c r="P468" s="21">
        <f>O468*H468</f>
        <v/>
      </c>
      <c r="Q468" s="30">
        <f>IF(MONTH(E468+1)=MONTH(E468+6),MONTH(E468+1),IF(MIN(EOMONTH(E468+1,0),E468+6)-(E468+1)+1&gt;=3,MONTH(E468+1),MONTH(E468+6)))</f>
        <v/>
      </c>
      <c r="R468" s="22">
        <f>IFERROR(K468/P468, 0)</f>
        <v/>
      </c>
      <c r="S468" s="38">
        <f>IFERROR(N468/P468,0)</f>
        <v/>
      </c>
      <c r="T468" s="31">
        <f>IFERROR(IF(N468&gt;0,(N468/K468),MIN(1,M468/J468)),0)</f>
        <v/>
      </c>
      <c r="U468" s="33" t="n"/>
    </row>
    <row r="469" hidden="1" s="40">
      <c r="A469" s="23" t="inlineStr">
        <is>
          <t>Semana 3 - março</t>
        </is>
      </c>
      <c r="B469" s="27">
        <f>YEAR(E469)</f>
        <v/>
      </c>
      <c r="C469" s="18">
        <f>INDEX({"Janeiro";"Fevereiro";"Março";"Abril";"Maio";"Junho";"Julho";"Agosto";"Setembro";"Outubro";"Novembro";"Dezembro"},Q469)</f>
        <v/>
      </c>
      <c r="D469" s="24" t="n">
        <v>3</v>
      </c>
      <c r="E469" s="25" t="n">
        <v>46097</v>
      </c>
      <c r="F469" s="23" t="inlineStr">
        <is>
          <t>Doce de Leite Cacau 5kg - FOOD</t>
        </is>
      </c>
      <c r="G469" s="23" t="inlineStr">
        <is>
          <t>DOCE</t>
        </is>
      </c>
      <c r="H469" s="26" t="n">
        <v>5</v>
      </c>
      <c r="I469" s="36" t="n">
        <v>0</v>
      </c>
      <c r="J469" s="21">
        <f>I469*H469</f>
        <v/>
      </c>
      <c r="K469" s="21">
        <f>IFERROR(IF(J469/P469&gt;1,P469,J469),0)</f>
        <v/>
      </c>
      <c r="L469" s="36" t="n">
        <v>0</v>
      </c>
      <c r="M469" s="21">
        <f>L469*H469</f>
        <v/>
      </c>
      <c r="N469" s="21">
        <f>IFERROR(IF(M469/K469&gt;1,K469,M469),0)</f>
        <v/>
      </c>
      <c r="O469" s="36" t="n">
        <v>465</v>
      </c>
      <c r="P469" s="21">
        <f>O469*H469</f>
        <v/>
      </c>
      <c r="Q469" s="30">
        <f>IF(MONTH(E469+1)=MONTH(E469+6),MONTH(E469+1),IF(MIN(EOMONTH(E469+1,0),E469+6)-(E469+1)+1&gt;=3,MONTH(E469+1),MONTH(E469+6)))</f>
        <v/>
      </c>
      <c r="R469" s="22">
        <f>IFERROR(K469/P469, 0)</f>
        <v/>
      </c>
      <c r="S469" s="38">
        <f>IFERROR(N469/P469,0)</f>
        <v/>
      </c>
      <c r="T469" s="31">
        <f>IFERROR(IF(N469&gt;0,(N469/K469),MIN(1,M469/J469)),0)</f>
        <v/>
      </c>
      <c r="U469" s="33" t="n"/>
    </row>
    <row r="470" hidden="1" s="40">
      <c r="A470" s="18" t="inlineStr">
        <is>
          <t>Semana 3 - março</t>
        </is>
      </c>
      <c r="B470" s="27">
        <f>YEAR(E470)</f>
        <v/>
      </c>
      <c r="C470" s="18">
        <f>INDEX({"Janeiro";"Fevereiro";"Março";"Abril";"Maio";"Junho";"Julho";"Agosto";"Setembro";"Outubro";"Novembro";"Dezembro"},Q470)</f>
        <v/>
      </c>
      <c r="D470" s="19" t="n">
        <v>3</v>
      </c>
      <c r="E470" s="20" t="n">
        <v>46097</v>
      </c>
      <c r="F470" s="18" t="inlineStr">
        <is>
          <t>Doce de Leite c/ Café 400</t>
        </is>
      </c>
      <c r="G470" s="18" t="inlineStr">
        <is>
          <t>DOCE</t>
        </is>
      </c>
      <c r="H470" s="21" t="n">
        <v>0.4</v>
      </c>
      <c r="I470" s="36" t="n">
        <v>6000</v>
      </c>
      <c r="J470" s="21">
        <f>I470*H470</f>
        <v/>
      </c>
      <c r="K470" s="21">
        <f>IFERROR(IF(J470/P470&gt;1,P470,J470),0)</f>
        <v/>
      </c>
      <c r="L470" s="36" t="n">
        <v>6410</v>
      </c>
      <c r="M470" s="21">
        <f>L470*H470</f>
        <v/>
      </c>
      <c r="N470" s="21">
        <f>IFERROR(IF(M470/K470&gt;1,K470,M470),0)</f>
        <v/>
      </c>
      <c r="O470" s="36" t="n">
        <v>0</v>
      </c>
      <c r="P470" s="21">
        <f>O470*H470</f>
        <v/>
      </c>
      <c r="Q470" s="30">
        <f>IF(MONTH(E470+1)=MONTH(E470+6),MONTH(E470+1),IF(MIN(EOMONTH(E470+1,0),E470+6)-(E470+1)+1&gt;=3,MONTH(E470+1),MONTH(E470+6)))</f>
        <v/>
      </c>
      <c r="R470" s="22">
        <f>IFERROR(K470/P470, 0)</f>
        <v/>
      </c>
      <c r="S470" s="38">
        <f>IFERROR(N470/P470,0)</f>
        <v/>
      </c>
      <c r="T470" s="31">
        <f>IFERROR(IF(N470&gt;0,(N470/K470),MIN(1,M470/J470)),0)</f>
        <v/>
      </c>
      <c r="U470" s="33" t="n"/>
    </row>
    <row r="471" hidden="1" s="40">
      <c r="A471" s="23" t="inlineStr">
        <is>
          <t>Semana 3 - março</t>
        </is>
      </c>
      <c r="B471" s="27">
        <f>YEAR(E471)</f>
        <v/>
      </c>
      <c r="C471" s="18">
        <f>INDEX({"Janeiro";"Fevereiro";"Março";"Abril";"Maio";"Junho";"Julho";"Agosto";"Setembro";"Outubro";"Novembro";"Dezembro"},Q471)</f>
        <v/>
      </c>
      <c r="D471" s="24" t="n">
        <v>3</v>
      </c>
      <c r="E471" s="25" t="n">
        <v>46097</v>
      </c>
      <c r="F471" s="23" t="inlineStr">
        <is>
          <t>Doce de Leite c/ Café 5kg</t>
        </is>
      </c>
      <c r="G471" s="23" t="inlineStr">
        <is>
          <t>DOCE</t>
        </is>
      </c>
      <c r="H471" s="26" t="n">
        <v>5</v>
      </c>
      <c r="I471" s="36" t="n">
        <v>0</v>
      </c>
      <c r="J471" s="21">
        <f>I471*H471</f>
        <v/>
      </c>
      <c r="K471" s="21">
        <f>IFERROR(IF(J471/P471&gt;1,P471,J471),0)</f>
        <v/>
      </c>
      <c r="L471" s="36" t="n">
        <v>0</v>
      </c>
      <c r="M471" s="21">
        <f>L471*H471</f>
        <v/>
      </c>
      <c r="N471" s="21">
        <f>IFERROR(IF(M471/K471&gt;1,K471,M471),0)</f>
        <v/>
      </c>
      <c r="O471" s="36" t="n">
        <v>0</v>
      </c>
      <c r="P471" s="21">
        <f>O471*H471</f>
        <v/>
      </c>
      <c r="Q471" s="30">
        <f>IF(MONTH(E471+1)=MONTH(E471+6),MONTH(E471+1),IF(MIN(EOMONTH(E471+1,0),E471+6)-(E471+1)+1&gt;=3,MONTH(E471+1),MONTH(E471+6)))</f>
        <v/>
      </c>
      <c r="R471" s="22">
        <f>IFERROR(K471/P471, 0)</f>
        <v/>
      </c>
      <c r="S471" s="38">
        <f>IFERROR(N471/P471,0)</f>
        <v/>
      </c>
      <c r="T471" s="31">
        <f>IFERROR(IF(N471&gt;0,(N471/K471),MIN(1,M471/J471)),0)</f>
        <v/>
      </c>
      <c r="U471" s="33" t="n"/>
    </row>
    <row r="472" hidden="1" s="40">
      <c r="A472" s="18" t="inlineStr">
        <is>
          <t>Semana 3 - março</t>
        </is>
      </c>
      <c r="B472" s="27">
        <f>YEAR(E472)</f>
        <v/>
      </c>
      <c r="C472" s="18">
        <f>INDEX({"Janeiro";"Fevereiro";"Março";"Abril";"Maio";"Junho";"Julho";"Agosto";"Setembro";"Outubro";"Novembro";"Dezembro"},Q472)</f>
        <v/>
      </c>
      <c r="D472" s="19" t="n">
        <v>3</v>
      </c>
      <c r="E472" s="20" t="n">
        <v>46097</v>
      </c>
      <c r="F472" s="18" t="inlineStr">
        <is>
          <t>Doce de Leite c/ coco 400</t>
        </is>
      </c>
      <c r="G472" s="18" t="inlineStr">
        <is>
          <t>DOCE</t>
        </is>
      </c>
      <c r="H472" s="21" t="n">
        <v>0.4</v>
      </c>
      <c r="I472" s="36" t="n">
        <v>6000</v>
      </c>
      <c r="J472" s="21">
        <f>I472*H472</f>
        <v/>
      </c>
      <c r="K472" s="21">
        <f>IFERROR(IF(J472/P472&gt;1,P472,J472),0)</f>
        <v/>
      </c>
      <c r="L472" s="36" t="n">
        <v>6837</v>
      </c>
      <c r="M472" s="21">
        <f>L472*H472</f>
        <v/>
      </c>
      <c r="N472" s="21">
        <f>IFERROR(IF(M472/K472&gt;1,K472,M472),0)</f>
        <v/>
      </c>
      <c r="O472" s="36" t="n">
        <v>6000</v>
      </c>
      <c r="P472" s="21">
        <f>O472*H472</f>
        <v/>
      </c>
      <c r="Q472" s="30">
        <f>IF(MONTH(E472+1)=MONTH(E472+6),MONTH(E472+1),IF(MIN(EOMONTH(E472+1,0),E472+6)-(E472+1)+1&gt;=3,MONTH(E472+1),MONTH(E472+6)))</f>
        <v/>
      </c>
      <c r="R472" s="22">
        <f>IFERROR(K472/P472, 0)</f>
        <v/>
      </c>
      <c r="S472" s="38">
        <f>IFERROR(N472/P472,0)</f>
        <v/>
      </c>
      <c r="T472" s="31">
        <f>IFERROR(IF(N472&gt;0,(N472/K472),MIN(1,M472/J472)),0)</f>
        <v/>
      </c>
      <c r="U472" s="33" t="n"/>
    </row>
    <row r="473" hidden="1" s="40">
      <c r="A473" s="23" t="inlineStr">
        <is>
          <t>Semana 3 - março</t>
        </is>
      </c>
      <c r="B473" s="27">
        <f>YEAR(E473)</f>
        <v/>
      </c>
      <c r="C473" s="18">
        <f>INDEX({"Janeiro";"Fevereiro";"Março";"Abril";"Maio";"Junho";"Julho";"Agosto";"Setembro";"Outubro";"Novembro";"Dezembro"},Q473)</f>
        <v/>
      </c>
      <c r="D473" s="24" t="n">
        <v>3</v>
      </c>
      <c r="E473" s="25" t="n">
        <v>46097</v>
      </c>
      <c r="F473" s="23" t="inlineStr">
        <is>
          <t>IOGURTE VIÇOSA MORANGO LIGHT 180g</t>
        </is>
      </c>
      <c r="G473" s="23" t="inlineStr">
        <is>
          <t>IOGURTE</t>
        </is>
      </c>
      <c r="H473" s="26" t="n">
        <v>0.18</v>
      </c>
      <c r="I473" s="36" t="n">
        <v>0</v>
      </c>
      <c r="J473" s="21">
        <f>I473*H473</f>
        <v/>
      </c>
      <c r="K473" s="21">
        <f>IFERROR(IF(J473/P473&gt;1,P473,J473),0)</f>
        <v/>
      </c>
      <c r="L473" s="36" t="n">
        <v>0</v>
      </c>
      <c r="M473" s="21">
        <f>L473*H473</f>
        <v/>
      </c>
      <c r="N473" s="21">
        <f>IFERROR(IF(M473/K473&gt;1,K473,M473),0)</f>
        <v/>
      </c>
      <c r="O473" s="36" t="n">
        <v>0</v>
      </c>
      <c r="P473" s="21">
        <f>O473*H473</f>
        <v/>
      </c>
      <c r="Q473" s="30">
        <f>IF(MONTH(E473+1)=MONTH(E473+6),MONTH(E473+1),IF(MIN(EOMONTH(E473+1,0),E473+6)-(E473+1)+1&gt;=3,MONTH(E473+1),MONTH(E473+6)))</f>
        <v/>
      </c>
      <c r="R473" s="22">
        <f>IFERROR(K473/P473, 0)</f>
        <v/>
      </c>
      <c r="S473" s="38">
        <f>IFERROR(N473/P473,0)</f>
        <v/>
      </c>
      <c r="T473" s="31">
        <f>IFERROR(IF(N473&gt;0,(N473/K473),MIN(1,M473/J473)),0)</f>
        <v/>
      </c>
      <c r="U473" s="33" t="n"/>
    </row>
    <row r="474" hidden="1" s="40">
      <c r="A474" s="18" t="inlineStr">
        <is>
          <t>Semana 3 - março</t>
        </is>
      </c>
      <c r="B474" s="27">
        <f>YEAR(E474)</f>
        <v/>
      </c>
      <c r="C474" s="18">
        <f>INDEX({"Janeiro";"Fevereiro";"Março";"Abril";"Maio";"Junho";"Julho";"Agosto";"Setembro";"Outubro";"Novembro";"Dezembro"},Q474)</f>
        <v/>
      </c>
      <c r="D474" s="19" t="n">
        <v>3</v>
      </c>
      <c r="E474" s="20" t="n">
        <v>46097</v>
      </c>
      <c r="F474" s="18" t="inlineStr">
        <is>
          <t>IOGURTE VIÇOSA MORANGO LIGHT 800g</t>
        </is>
      </c>
      <c r="G474" s="18" t="inlineStr">
        <is>
          <t>IOGURTE</t>
        </is>
      </c>
      <c r="H474" s="21" t="n">
        <v>0.8</v>
      </c>
      <c r="I474" s="36" t="n">
        <v>0</v>
      </c>
      <c r="J474" s="21">
        <f>I474*H474</f>
        <v/>
      </c>
      <c r="K474" s="21">
        <f>IFERROR(IF(J474/P474&gt;1,P474,J474),0)</f>
        <v/>
      </c>
      <c r="L474" s="36" t="n">
        <v>0</v>
      </c>
      <c r="M474" s="21">
        <f>L474*H474</f>
        <v/>
      </c>
      <c r="N474" s="21">
        <f>IFERROR(IF(M474/K474&gt;1,K474,M474),0)</f>
        <v/>
      </c>
      <c r="O474" s="36" t="n">
        <v>0</v>
      </c>
      <c r="P474" s="21">
        <f>O474*H474</f>
        <v/>
      </c>
      <c r="Q474" s="30">
        <f>IF(MONTH(E474+1)=MONTH(E474+6),MONTH(E474+1),IF(MIN(EOMONTH(E474+1,0),E474+6)-(E474+1)+1&gt;=3,MONTH(E474+1),MONTH(E474+6)))</f>
        <v/>
      </c>
      <c r="R474" s="22">
        <f>IFERROR(K474/P474, 0)</f>
        <v/>
      </c>
      <c r="S474" s="38">
        <f>IFERROR(N474/P474,0)</f>
        <v/>
      </c>
      <c r="T474" s="31">
        <f>IFERROR(IF(N474&gt;0,(N474/K474),MIN(1,M474/J474)),0)</f>
        <v/>
      </c>
      <c r="U474" s="33" t="n"/>
    </row>
    <row r="475" hidden="1" s="40">
      <c r="A475" s="18" t="inlineStr">
        <is>
          <t>Semana 3 - março</t>
        </is>
      </c>
      <c r="B475" s="27">
        <f>YEAR(E475)</f>
        <v/>
      </c>
      <c r="C475" s="18">
        <f>INDEX({"Janeiro";"Fevereiro";"Março";"Abril";"Maio";"Junho";"Julho";"Agosto";"Setembro";"Outubro";"Novembro";"Dezembro"},Q475)</f>
        <v/>
      </c>
      <c r="D475" s="19" t="n">
        <v>3</v>
      </c>
      <c r="E475" s="20" t="n">
        <v>46097</v>
      </c>
      <c r="F475" s="18" t="inlineStr">
        <is>
          <t>Iogurte Abacaxi c/ Coco 120g</t>
        </is>
      </c>
      <c r="G475" s="18" t="inlineStr">
        <is>
          <t>IOGURTE</t>
        </is>
      </c>
      <c r="H475" s="21" t="n">
        <v>0.12</v>
      </c>
      <c r="I475" s="36" t="n">
        <v>0</v>
      </c>
      <c r="J475" s="21">
        <f>I475*H475</f>
        <v/>
      </c>
      <c r="K475" s="21">
        <f>IFERROR(IF(J475/P475&gt;1,P475,J475),0)</f>
        <v/>
      </c>
      <c r="L475" s="36" t="n">
        <v>0</v>
      </c>
      <c r="M475" s="21">
        <f>L475*H475</f>
        <v/>
      </c>
      <c r="N475" s="21">
        <f>IFERROR(IF(M475/K475&gt;1,K475,M475),0)</f>
        <v/>
      </c>
      <c r="O475" s="36" t="n">
        <v>3000</v>
      </c>
      <c r="P475" s="21">
        <f>O475*H475</f>
        <v/>
      </c>
      <c r="Q475" s="30">
        <f>IF(MONTH(E475+1)=MONTH(E475+6),MONTH(E475+1),IF(MIN(EOMONTH(E475+1,0),E475+6)-(E475+1)+1&gt;=3,MONTH(E475+1),MONTH(E475+6)))</f>
        <v/>
      </c>
      <c r="R475" s="22">
        <f>IFERROR(K475/P475, 0)</f>
        <v/>
      </c>
      <c r="S475" s="38">
        <f>IFERROR(N475/P475,0)</f>
        <v/>
      </c>
      <c r="T475" s="31">
        <f>IFERROR(IF(N475&gt;0,(N475/K475),MIN(1,M475/J475)),0)</f>
        <v/>
      </c>
      <c r="U475" s="33" t="n"/>
    </row>
    <row r="476" hidden="1" s="40">
      <c r="A476" s="23" t="inlineStr">
        <is>
          <t>Semana 3 - março</t>
        </is>
      </c>
      <c r="B476" s="27">
        <f>YEAR(E476)</f>
        <v/>
      </c>
      <c r="C476" s="18">
        <f>INDEX({"Janeiro";"Fevereiro";"Março";"Abril";"Maio";"Junho";"Julho";"Agosto";"Setembro";"Outubro";"Novembro";"Dezembro"},Q476)</f>
        <v/>
      </c>
      <c r="D476" s="24" t="n">
        <v>3</v>
      </c>
      <c r="E476" s="25" t="n">
        <v>46097</v>
      </c>
      <c r="F476" s="23" t="inlineStr">
        <is>
          <t>Iogurte Abacaxi c/ Coco 185g</t>
        </is>
      </c>
      <c r="G476" s="23" t="inlineStr">
        <is>
          <t>IOGURTE</t>
        </is>
      </c>
      <c r="H476" s="26" t="n">
        <v>0.185</v>
      </c>
      <c r="I476" s="36" t="n">
        <v>0</v>
      </c>
      <c r="J476" s="21">
        <f>I476*H476</f>
        <v/>
      </c>
      <c r="K476" s="21">
        <f>IFERROR(IF(J476/P476&gt;1,P476,J476),0)</f>
        <v/>
      </c>
      <c r="L476" s="36" t="n">
        <v>0</v>
      </c>
      <c r="M476" s="21">
        <f>L476*H476</f>
        <v/>
      </c>
      <c r="N476" s="21">
        <f>IFERROR(IF(M476/K476&gt;1,K476,M476),0)</f>
        <v/>
      </c>
      <c r="O476" s="36" t="n">
        <v>260</v>
      </c>
      <c r="P476" s="21">
        <f>O476*H476</f>
        <v/>
      </c>
      <c r="Q476" s="30">
        <f>IF(MONTH(E476+1)=MONTH(E476+6),MONTH(E476+1),IF(MIN(EOMONTH(E476+1,0),E476+6)-(E476+1)+1&gt;=3,MONTH(E476+1),MONTH(E476+6)))</f>
        <v/>
      </c>
      <c r="R476" s="22">
        <f>IFERROR(K476/P476, 0)</f>
        <v/>
      </c>
      <c r="S476" s="38">
        <f>IFERROR(N476/P476,0)</f>
        <v/>
      </c>
      <c r="T476" s="31">
        <f>IFERROR(IF(N476&gt;0,(N476/K476),MIN(1,M476/J476)),0)</f>
        <v/>
      </c>
      <c r="U476" s="33" t="n"/>
    </row>
    <row r="477" hidden="1" s="40">
      <c r="A477" s="18" t="inlineStr">
        <is>
          <t>Semana 3 - março</t>
        </is>
      </c>
      <c r="B477" s="27">
        <f>YEAR(E477)</f>
        <v/>
      </c>
      <c r="C477" s="18">
        <f>INDEX({"Janeiro";"Fevereiro";"Março";"Abril";"Maio";"Junho";"Julho";"Agosto";"Setembro";"Outubro";"Novembro";"Dezembro"},Q477)</f>
        <v/>
      </c>
      <c r="D477" s="19" t="n">
        <v>3</v>
      </c>
      <c r="E477" s="20" t="n">
        <v>46097</v>
      </c>
      <c r="F477" s="18" t="inlineStr">
        <is>
          <t>Iogurte Abacaxi c/ Coco 900g</t>
        </is>
      </c>
      <c r="G477" s="18" t="inlineStr">
        <is>
          <t>IOGURTE</t>
        </is>
      </c>
      <c r="H477" s="21" t="n">
        <v>0.9</v>
      </c>
      <c r="I477" s="36" t="n">
        <v>1530</v>
      </c>
      <c r="J477" s="21">
        <f>I477*H477</f>
        <v/>
      </c>
      <c r="K477" s="21">
        <f>IFERROR(IF(J477/P477&gt;1,P477,J477),0)</f>
        <v/>
      </c>
      <c r="L477" s="36" t="n">
        <v>1545</v>
      </c>
      <c r="M477" s="21">
        <f>L477*H477</f>
        <v/>
      </c>
      <c r="N477" s="21">
        <f>IFERROR(IF(M477/K477&gt;1,K477,M477),0)</f>
        <v/>
      </c>
      <c r="O477" s="36" t="n">
        <v>1200</v>
      </c>
      <c r="P477" s="21">
        <f>O477*H477</f>
        <v/>
      </c>
      <c r="Q477" s="30">
        <f>IF(MONTH(E477+1)=MONTH(E477+6),MONTH(E477+1),IF(MIN(EOMONTH(E477+1,0),E477+6)-(E477+1)+1&gt;=3,MONTH(E477+1),MONTH(E477+6)))</f>
        <v/>
      </c>
      <c r="R477" s="22">
        <f>IFERROR(K477/P477, 0)</f>
        <v/>
      </c>
      <c r="S477" s="38">
        <f>IFERROR(N477/P477,0)</f>
        <v/>
      </c>
      <c r="T477" s="31">
        <f>IFERROR(IF(N477&gt;0,(N477/K477),MIN(1,M477/J477)),0)</f>
        <v/>
      </c>
      <c r="U477" s="33" t="n"/>
    </row>
    <row r="478" hidden="1" s="40">
      <c r="A478" s="18" t="inlineStr">
        <is>
          <t>Semana 3 - março</t>
        </is>
      </c>
      <c r="B478" s="27">
        <f>YEAR(E478)</f>
        <v/>
      </c>
      <c r="C478" s="18">
        <f>INDEX({"Janeiro";"Fevereiro";"Março";"Abril";"Maio";"Junho";"Julho";"Agosto";"Setembro";"Outubro";"Novembro";"Dezembro"},Q478)</f>
        <v/>
      </c>
      <c r="D478" s="19" t="n">
        <v>3</v>
      </c>
      <c r="E478" s="20" t="n">
        <v>46097</v>
      </c>
      <c r="F478" s="18" t="inlineStr">
        <is>
          <t>Iogurte Coco 120g</t>
        </is>
      </c>
      <c r="G478" s="18" t="inlineStr">
        <is>
          <t>IOGURTE</t>
        </is>
      </c>
      <c r="H478" s="21" t="n">
        <v>0.12</v>
      </c>
      <c r="I478" s="36" t="n">
        <v>4000</v>
      </c>
      <c r="J478" s="21">
        <f>I478*H478</f>
        <v/>
      </c>
      <c r="K478" s="21">
        <f>IFERROR(IF(J478/P478&gt;1,P478,J478),0)</f>
        <v/>
      </c>
      <c r="L478" s="36" t="n">
        <v>9292</v>
      </c>
      <c r="M478" s="21">
        <f>L478*H478</f>
        <v/>
      </c>
      <c r="N478" s="21">
        <f>IFERROR(IF(M478/K478&gt;1,K478,M478),0)</f>
        <v/>
      </c>
      <c r="O478" s="36" t="n">
        <v>3000</v>
      </c>
      <c r="P478" s="21">
        <f>O478*H478</f>
        <v/>
      </c>
      <c r="Q478" s="30">
        <f>IF(MONTH(E478+1)=MONTH(E478+6),MONTH(E478+1),IF(MIN(EOMONTH(E478+1,0),E478+6)-(E478+1)+1&gt;=3,MONTH(E478+1),MONTH(E478+6)))</f>
        <v/>
      </c>
      <c r="R478" s="22">
        <f>IFERROR(K478/P478, 0)</f>
        <v/>
      </c>
      <c r="S478" s="38">
        <f>IFERROR(N478/P478,0)</f>
        <v/>
      </c>
      <c r="T478" s="31">
        <f>IFERROR(IF(N478&gt;0,(N478/K478),MIN(1,M478/J478)),0)</f>
        <v/>
      </c>
      <c r="U478" s="33" t="n"/>
    </row>
    <row r="479" hidden="1" s="40">
      <c r="A479" s="23" t="inlineStr">
        <is>
          <t>Semana 3 - março</t>
        </is>
      </c>
      <c r="B479" s="27">
        <f>YEAR(E479)</f>
        <v/>
      </c>
      <c r="C479" s="18">
        <f>INDEX({"Janeiro";"Fevereiro";"Março";"Abril";"Maio";"Junho";"Julho";"Agosto";"Setembro";"Outubro";"Novembro";"Dezembro"},Q479)</f>
        <v/>
      </c>
      <c r="D479" s="24" t="n">
        <v>3</v>
      </c>
      <c r="E479" s="25" t="n">
        <v>46097</v>
      </c>
      <c r="F479" s="23" t="inlineStr">
        <is>
          <t>Iogurte Coco 185g</t>
        </is>
      </c>
      <c r="G479" s="23" t="inlineStr">
        <is>
          <t>IOGURTE</t>
        </is>
      </c>
      <c r="H479" s="26" t="n">
        <v>0.185</v>
      </c>
      <c r="I479" s="36" t="n">
        <v>520</v>
      </c>
      <c r="J479" s="21">
        <f>I479*H479</f>
        <v/>
      </c>
      <c r="K479" s="21">
        <f>IFERROR(IF(J479/P479&gt;1,P479,J479),0)</f>
        <v/>
      </c>
      <c r="L479" s="36" t="n">
        <v>1017</v>
      </c>
      <c r="M479" s="21">
        <f>L479*H479</f>
        <v/>
      </c>
      <c r="N479" s="21">
        <f>IFERROR(IF(M479/K479&gt;1,K479,M479),0)</f>
        <v/>
      </c>
      <c r="O479" s="36" t="n">
        <v>520</v>
      </c>
      <c r="P479" s="21">
        <f>O479*H479</f>
        <v/>
      </c>
      <c r="Q479" s="30">
        <f>IF(MONTH(E479+1)=MONTH(E479+6),MONTH(E479+1),IF(MIN(EOMONTH(E479+1,0),E479+6)-(E479+1)+1&gt;=3,MONTH(E479+1),MONTH(E479+6)))</f>
        <v/>
      </c>
      <c r="R479" s="22">
        <f>IFERROR(K479/P479, 0)</f>
        <v/>
      </c>
      <c r="S479" s="38">
        <f>IFERROR(N479/P479,0)</f>
        <v/>
      </c>
      <c r="T479" s="31">
        <f>IFERROR(IF(N479&gt;0,(N479/K479),MIN(1,M479/J479)),0)</f>
        <v/>
      </c>
      <c r="U479" s="33" t="n"/>
    </row>
    <row r="480" hidden="1" s="40">
      <c r="A480" s="18" t="inlineStr">
        <is>
          <t>Semana 3 - março</t>
        </is>
      </c>
      <c r="B480" s="27">
        <f>YEAR(E480)</f>
        <v/>
      </c>
      <c r="C480" s="18">
        <f>INDEX({"Janeiro";"Fevereiro";"Março";"Abril";"Maio";"Junho";"Julho";"Agosto";"Setembro";"Outubro";"Novembro";"Dezembro"},Q480)</f>
        <v/>
      </c>
      <c r="D480" s="19" t="n">
        <v>3</v>
      </c>
      <c r="E480" s="20" t="n">
        <v>46097</v>
      </c>
      <c r="F480" s="18" t="inlineStr">
        <is>
          <t>Iogurte Coco 900g</t>
        </is>
      </c>
      <c r="G480" s="18" t="inlineStr">
        <is>
          <t>IOGURTE</t>
        </is>
      </c>
      <c r="H480" s="21" t="n">
        <v>0.9</v>
      </c>
      <c r="I480" s="36" t="n">
        <v>3420</v>
      </c>
      <c r="J480" s="21">
        <f>I480*H480</f>
        <v/>
      </c>
      <c r="K480" s="21">
        <f>IFERROR(IF(J480/P480&gt;1,P480,J480),0)</f>
        <v/>
      </c>
      <c r="L480" s="36" t="n">
        <v>5198</v>
      </c>
      <c r="M480" s="21">
        <f>L480*H480</f>
        <v/>
      </c>
      <c r="N480" s="21">
        <f>IFERROR(IF(M480/K480&gt;1,K480,M480),0)</f>
        <v/>
      </c>
      <c r="O480" s="36" t="n">
        <v>1080</v>
      </c>
      <c r="P480" s="21">
        <f>O480*H480</f>
        <v/>
      </c>
      <c r="Q480" s="30">
        <f>IF(MONTH(E480+1)=MONTH(E480+6),MONTH(E480+1),IF(MIN(EOMONTH(E480+1,0),E480+6)-(E480+1)+1&gt;=3,MONTH(E480+1),MONTH(E480+6)))</f>
        <v/>
      </c>
      <c r="R480" s="22">
        <f>IFERROR(K480/P480, 0)</f>
        <v/>
      </c>
      <c r="S480" s="38">
        <f>IFERROR(N480/P480,0)</f>
        <v/>
      </c>
      <c r="T480" s="31">
        <f>IFERROR(IF(N480&gt;0,(N480/K480),MIN(1,M480/J480)),0)</f>
        <v/>
      </c>
      <c r="U480" s="33" t="n"/>
    </row>
    <row r="481" hidden="1" s="40">
      <c r="A481" s="23" t="inlineStr">
        <is>
          <t>Semana 3 - março</t>
        </is>
      </c>
      <c r="B481" s="27">
        <f>YEAR(E481)</f>
        <v/>
      </c>
      <c r="C481" s="18">
        <f>INDEX({"Janeiro";"Fevereiro";"Março";"Abril";"Maio";"Junho";"Julho";"Agosto";"Setembro";"Outubro";"Novembro";"Dezembro"},Q481)</f>
        <v/>
      </c>
      <c r="D481" s="24" t="n">
        <v>3</v>
      </c>
      <c r="E481" s="25" t="n">
        <v>46097</v>
      </c>
      <c r="F481" s="23" t="inlineStr">
        <is>
          <t>Iogurte Grego Frutas vermelhas 120g</t>
        </is>
      </c>
      <c r="G481" s="23" t="inlineStr">
        <is>
          <t>IOGURTE</t>
        </is>
      </c>
      <c r="H481" s="26" t="n">
        <v>0.17</v>
      </c>
      <c r="I481" s="36" t="n">
        <v>0</v>
      </c>
      <c r="J481" s="21">
        <f>I481*H481</f>
        <v/>
      </c>
      <c r="K481" s="21">
        <f>IFERROR(IF(J481/P481&gt;1,P481,J481),0)</f>
        <v/>
      </c>
      <c r="L481" s="36" t="n">
        <v>0</v>
      </c>
      <c r="M481" s="21">
        <f>L481*H481</f>
        <v/>
      </c>
      <c r="N481" s="21">
        <f>IFERROR(IF(M481/K481&gt;1,K481,M481),0)</f>
        <v/>
      </c>
      <c r="O481" s="36" t="n">
        <v>0</v>
      </c>
      <c r="P481" s="21">
        <f>O481*H481</f>
        <v/>
      </c>
      <c r="Q481" s="30">
        <f>IF(MONTH(E481+1)=MONTH(E481+6),MONTH(E481+1),IF(MIN(EOMONTH(E481+1,0),E481+6)-(E481+1)+1&gt;=3,MONTH(E481+1),MONTH(E481+6)))</f>
        <v/>
      </c>
      <c r="R481" s="22">
        <f>IFERROR(K481/P481, 0)</f>
        <v/>
      </c>
      <c r="S481" s="38">
        <f>IFERROR(N481/P481,0)</f>
        <v/>
      </c>
      <c r="T481" s="31">
        <f>IFERROR(IF(N481&gt;0,(N481/K481),MIN(1,M481/J481)),0)</f>
        <v/>
      </c>
      <c r="U481" s="33" t="n"/>
    </row>
    <row r="482" hidden="1" s="40">
      <c r="A482" s="23" t="inlineStr">
        <is>
          <t>Semana 3 - março</t>
        </is>
      </c>
      <c r="B482" s="27">
        <f>YEAR(E482)</f>
        <v/>
      </c>
      <c r="C482" s="18">
        <f>INDEX({"Janeiro";"Fevereiro";"Março";"Abril";"Maio";"Junho";"Julho";"Agosto";"Setembro";"Outubro";"Novembro";"Dezembro"},Q482)</f>
        <v/>
      </c>
      <c r="D482" s="24" t="n">
        <v>3</v>
      </c>
      <c r="E482" s="25" t="n">
        <v>46097</v>
      </c>
      <c r="F482" s="23" t="inlineStr">
        <is>
          <t>Iogurte Morango 120g</t>
        </is>
      </c>
      <c r="G482" s="23" t="inlineStr">
        <is>
          <t>IOGURTE</t>
        </is>
      </c>
      <c r="H482" s="26" t="n">
        <v>0.12</v>
      </c>
      <c r="I482" s="36" t="n">
        <v>34000</v>
      </c>
      <c r="J482" s="21">
        <f>I482*H482</f>
        <v/>
      </c>
      <c r="K482" s="21">
        <f>IFERROR(IF(J482/P482&gt;1,P482,J482),0)</f>
        <v/>
      </c>
      <c r="L482" s="36" t="n">
        <v>33512</v>
      </c>
      <c r="M482" s="21">
        <f>L482*H482</f>
        <v/>
      </c>
      <c r="N482" s="21">
        <f>IFERROR(IF(M482/K482&gt;1,K482,M482),0)</f>
        <v/>
      </c>
      <c r="O482" s="36" t="n">
        <v>28000</v>
      </c>
      <c r="P482" s="21">
        <f>O482*H482</f>
        <v/>
      </c>
      <c r="Q482" s="30">
        <f>IF(MONTH(E482+1)=MONTH(E482+6),MONTH(E482+1),IF(MIN(EOMONTH(E482+1,0),E482+6)-(E482+1)+1&gt;=3,MONTH(E482+1),MONTH(E482+6)))</f>
        <v/>
      </c>
      <c r="R482" s="22">
        <f>IFERROR(K482/P482, 0)</f>
        <v/>
      </c>
      <c r="S482" s="38">
        <f>IFERROR(N482/P482,0)</f>
        <v/>
      </c>
      <c r="T482" s="31">
        <f>IFERROR(IF(N482&gt;0,(N482/K482),MIN(1,M482/J482)),0)</f>
        <v/>
      </c>
      <c r="U482" s="33" t="n"/>
    </row>
    <row r="483" hidden="1" s="40">
      <c r="A483" s="18" t="inlineStr">
        <is>
          <t>Semana 3 - março</t>
        </is>
      </c>
      <c r="B483" s="27">
        <f>YEAR(E483)</f>
        <v/>
      </c>
      <c r="C483" s="18">
        <f>INDEX({"Janeiro";"Fevereiro";"Março";"Abril";"Maio";"Junho";"Julho";"Agosto";"Setembro";"Outubro";"Novembro";"Dezembro"},Q483)</f>
        <v/>
      </c>
      <c r="D483" s="19" t="n">
        <v>3</v>
      </c>
      <c r="E483" s="20" t="n">
        <v>46097</v>
      </c>
      <c r="F483" s="18" t="inlineStr">
        <is>
          <t>Iogurte Morango 185g</t>
        </is>
      </c>
      <c r="G483" s="18" t="inlineStr">
        <is>
          <t>IOGURTE</t>
        </is>
      </c>
      <c r="H483" s="21" t="n">
        <v>0.185</v>
      </c>
      <c r="I483" s="36" t="n">
        <v>1560</v>
      </c>
      <c r="J483" s="21">
        <f>I483*H483</f>
        <v/>
      </c>
      <c r="K483" s="21">
        <f>IFERROR(IF(J483/P483&gt;1,P483,J483),0)</f>
        <v/>
      </c>
      <c r="L483" s="36" t="n">
        <v>3093</v>
      </c>
      <c r="M483" s="21">
        <f>L483*H483</f>
        <v/>
      </c>
      <c r="N483" s="21">
        <f>IFERROR(IF(M483/K483&gt;1,K483,M483),0)</f>
        <v/>
      </c>
      <c r="O483" s="36" t="n">
        <v>1560</v>
      </c>
      <c r="P483" s="21">
        <f>O483*H483</f>
        <v/>
      </c>
      <c r="Q483" s="30">
        <f>IF(MONTH(E483+1)=MONTH(E483+6),MONTH(E483+1),IF(MIN(EOMONTH(E483+1,0),E483+6)-(E483+1)+1&gt;=3,MONTH(E483+1),MONTH(E483+6)))</f>
        <v/>
      </c>
      <c r="R483" s="22">
        <f>IFERROR(K483/P483, 0)</f>
        <v/>
      </c>
      <c r="S483" s="38">
        <f>IFERROR(N483/P483,0)</f>
        <v/>
      </c>
      <c r="T483" s="31">
        <f>IFERROR(IF(N483&gt;0,(N483/K483),MIN(1,M483/J483)),0)</f>
        <v/>
      </c>
      <c r="U483" s="33" t="n"/>
    </row>
    <row r="484" hidden="1" s="40">
      <c r="A484" s="23" t="inlineStr">
        <is>
          <t>Semana 3 - março</t>
        </is>
      </c>
      <c r="B484" s="27">
        <f>YEAR(E484)</f>
        <v/>
      </c>
      <c r="C484" s="18">
        <f>INDEX({"Janeiro";"Fevereiro";"Março";"Abril";"Maio";"Junho";"Julho";"Agosto";"Setembro";"Outubro";"Novembro";"Dezembro"},Q484)</f>
        <v/>
      </c>
      <c r="D484" s="24" t="n">
        <v>3</v>
      </c>
      <c r="E484" s="25" t="n">
        <v>46097</v>
      </c>
      <c r="F484" s="23" t="inlineStr">
        <is>
          <t>Iogurte Morango 900G</t>
        </is>
      </c>
      <c r="G484" s="23" t="inlineStr">
        <is>
          <t>IOGURTE</t>
        </is>
      </c>
      <c r="H484" s="26" t="n">
        <v>0.9</v>
      </c>
      <c r="I484" s="36" t="n">
        <v>7470</v>
      </c>
      <c r="J484" s="21">
        <f>I484*H484</f>
        <v/>
      </c>
      <c r="K484" s="21">
        <f>IFERROR(IF(J484/P484&gt;1,P484,J484),0)</f>
        <v/>
      </c>
      <c r="L484" s="36" t="n">
        <v>10965</v>
      </c>
      <c r="M484" s="21">
        <f>L484*H484</f>
        <v/>
      </c>
      <c r="N484" s="21">
        <f>IFERROR(IF(M484/K484&gt;1,K484,M484),0)</f>
        <v/>
      </c>
      <c r="O484" s="36" t="n">
        <v>6500</v>
      </c>
      <c r="P484" s="21">
        <f>O484*H484</f>
        <v/>
      </c>
      <c r="Q484" s="30">
        <f>IF(MONTH(E484+1)=MONTH(E484+6),MONTH(E484+1),IF(MIN(EOMONTH(E484+1,0),E484+6)-(E484+1)+1&gt;=3,MONTH(E484+1),MONTH(E484+6)))</f>
        <v/>
      </c>
      <c r="R484" s="22">
        <f>IFERROR(K484/P484, 0)</f>
        <v/>
      </c>
      <c r="S484" s="38">
        <f>IFERROR(N484/P484,0)</f>
        <v/>
      </c>
      <c r="T484" s="31">
        <f>IFERROR(IF(N484&gt;0,(N484/K484),MIN(1,M484/J484)),0)</f>
        <v/>
      </c>
      <c r="U484" s="33" t="n"/>
    </row>
    <row r="485" hidden="1" s="40">
      <c r="A485" s="18" t="inlineStr">
        <is>
          <t>Semana 3 - março</t>
        </is>
      </c>
      <c r="B485" s="27">
        <f>YEAR(E485)</f>
        <v/>
      </c>
      <c r="C485" s="18">
        <f>INDEX({"Janeiro";"Fevereiro";"Março";"Abril";"Maio";"Junho";"Julho";"Agosto";"Setembro";"Outubro";"Novembro";"Dezembro"},Q485)</f>
        <v/>
      </c>
      <c r="D485" s="19" t="n">
        <v>3</v>
      </c>
      <c r="E485" s="20" t="n">
        <v>46097</v>
      </c>
      <c r="F485" s="18" t="inlineStr">
        <is>
          <t>Iogurte Natural Integral 170g</t>
        </is>
      </c>
      <c r="G485" s="18" t="inlineStr">
        <is>
          <t>IOGURTE</t>
        </is>
      </c>
      <c r="H485" s="21" t="n">
        <v>0.17</v>
      </c>
      <c r="I485" s="36" t="n">
        <v>3820</v>
      </c>
      <c r="J485" s="21">
        <f>I485*H485</f>
        <v/>
      </c>
      <c r="K485" s="21">
        <f>IFERROR(IF(J485/P485&gt;1,P485,J485),0)</f>
        <v/>
      </c>
      <c r="L485" s="36" t="n">
        <v>3285</v>
      </c>
      <c r="M485" s="21">
        <f>L485*H485</f>
        <v/>
      </c>
      <c r="N485" s="21">
        <f>IFERROR(IF(M485/K485&gt;1,K485,M485),0)</f>
        <v/>
      </c>
      <c r="O485" s="36" t="n">
        <v>3800</v>
      </c>
      <c r="P485" s="21">
        <f>O485*H485</f>
        <v/>
      </c>
      <c r="Q485" s="30">
        <f>IF(MONTH(E485+1)=MONTH(E485+6),MONTH(E485+1),IF(MIN(EOMONTH(E485+1,0),E485+6)-(E485+1)+1&gt;=3,MONTH(E485+1),MONTH(E485+6)))</f>
        <v/>
      </c>
      <c r="R485" s="22">
        <f>IFERROR(K485/P485, 0)</f>
        <v/>
      </c>
      <c r="S485" s="38">
        <f>IFERROR(N485/P485,0)</f>
        <v/>
      </c>
      <c r="T485" s="31">
        <f>IFERROR(IF(N485&gt;0,(N485/K485),MIN(1,M485/J485)),0)</f>
        <v/>
      </c>
      <c r="U485" s="33" t="n"/>
    </row>
    <row r="486" hidden="1" s="40">
      <c r="A486" s="23" t="inlineStr">
        <is>
          <t>Semana 3 - março</t>
        </is>
      </c>
      <c r="B486" s="27">
        <f>YEAR(E486)</f>
        <v/>
      </c>
      <c r="C486" s="18">
        <f>INDEX({"Janeiro";"Fevereiro";"Março";"Abril";"Maio";"Junho";"Julho";"Agosto";"Setembro";"Outubro";"Novembro";"Dezembro"},Q486)</f>
        <v/>
      </c>
      <c r="D486" s="24" t="n">
        <v>3</v>
      </c>
      <c r="E486" s="25" t="n">
        <v>46097</v>
      </c>
      <c r="F486" s="23" t="inlineStr">
        <is>
          <t>Iogurte Natural Triplo Zero 170g</t>
        </is>
      </c>
      <c r="G486" s="23" t="inlineStr">
        <is>
          <t>IOGURTE</t>
        </is>
      </c>
      <c r="H486" s="26" t="n">
        <v>0.17</v>
      </c>
      <c r="I486" s="36" t="n">
        <v>3820</v>
      </c>
      <c r="J486" s="21">
        <f>I486*H486</f>
        <v/>
      </c>
      <c r="K486" s="21">
        <f>IFERROR(IF(J486/P486&gt;1,P486,J486),0)</f>
        <v/>
      </c>
      <c r="L486" s="36" t="n">
        <v>3818</v>
      </c>
      <c r="M486" s="21">
        <f>L486*H486</f>
        <v/>
      </c>
      <c r="N486" s="21">
        <f>IFERROR(IF(M486/K486&gt;1,K486,M486),0)</f>
        <v/>
      </c>
      <c r="O486" s="36" t="n">
        <v>3800</v>
      </c>
      <c r="P486" s="21">
        <f>O486*H486</f>
        <v/>
      </c>
      <c r="Q486" s="30">
        <f>IF(MONTH(E486+1)=MONTH(E486+6),MONTH(E486+1),IF(MIN(EOMONTH(E486+1,0),E486+6)-(E486+1)+1&gt;=3,MONTH(E486+1),MONTH(E486+6)))</f>
        <v/>
      </c>
      <c r="R486" s="22">
        <f>IFERROR(K486/P486, 0)</f>
        <v/>
      </c>
      <c r="S486" s="38">
        <f>IFERROR(N486/P486,0)</f>
        <v/>
      </c>
      <c r="T486" s="31">
        <f>IFERROR(IF(N486&gt;0,(N486/K486),MIN(1,M486/J486)),0)</f>
        <v/>
      </c>
      <c r="U486" s="33" t="n"/>
    </row>
    <row r="487" hidden="1" s="40">
      <c r="A487" s="23" t="inlineStr">
        <is>
          <t>Semana 3 - março</t>
        </is>
      </c>
      <c r="B487" s="27">
        <f>YEAR(E487)</f>
        <v/>
      </c>
      <c r="C487" s="18">
        <f>INDEX({"Janeiro";"Fevereiro";"Março";"Abril";"Maio";"Junho";"Julho";"Agosto";"Setembro";"Outubro";"Novembro";"Dezembro"},Q487)</f>
        <v/>
      </c>
      <c r="D487" s="24" t="n">
        <v>3</v>
      </c>
      <c r="E487" s="25" t="n">
        <v>46097</v>
      </c>
      <c r="F487" s="23" t="inlineStr">
        <is>
          <t>Iogurte Salada 120g</t>
        </is>
      </c>
      <c r="G487" s="23" t="inlineStr">
        <is>
          <t>IOGURTE</t>
        </is>
      </c>
      <c r="H487" s="26" t="n">
        <v>0.12</v>
      </c>
      <c r="I487" s="36" t="n">
        <v>3000</v>
      </c>
      <c r="J487" s="21">
        <f>I487*H487</f>
        <v/>
      </c>
      <c r="K487" s="21">
        <f>IFERROR(IF(J487/P487&gt;1,P487,J487),0)</f>
        <v/>
      </c>
      <c r="L487" s="36" t="n">
        <v>3375</v>
      </c>
      <c r="M487" s="21">
        <f>L487*H487</f>
        <v/>
      </c>
      <c r="N487" s="21">
        <f>IFERROR(IF(M487/K487&gt;1,K487,M487),0)</f>
        <v/>
      </c>
      <c r="O487" s="36" t="n">
        <v>4000</v>
      </c>
      <c r="P487" s="21">
        <f>O487*H487</f>
        <v/>
      </c>
      <c r="Q487" s="30">
        <f>IF(MONTH(E487+1)=MONTH(E487+6),MONTH(E487+1),IF(MIN(EOMONTH(E487+1,0),E487+6)-(E487+1)+1&gt;=3,MONTH(E487+1),MONTH(E487+6)))</f>
        <v/>
      </c>
      <c r="R487" s="22">
        <f>IFERROR(K487/P487, 0)</f>
        <v/>
      </c>
      <c r="S487" s="38">
        <f>IFERROR(N487/P487,0)</f>
        <v/>
      </c>
      <c r="T487" s="31">
        <f>IFERROR(IF(N487&gt;0,(N487/K487),MIN(1,M487/J487)),0)</f>
        <v/>
      </c>
      <c r="U487" s="33" t="n"/>
    </row>
    <row r="488" hidden="1" s="40">
      <c r="A488" s="18" t="inlineStr">
        <is>
          <t>Semana 3 - março</t>
        </is>
      </c>
      <c r="B488" s="27">
        <f>YEAR(E488)</f>
        <v/>
      </c>
      <c r="C488" s="18">
        <f>INDEX({"Janeiro";"Fevereiro";"Março";"Abril";"Maio";"Junho";"Julho";"Agosto";"Setembro";"Outubro";"Novembro";"Dezembro"},Q488)</f>
        <v/>
      </c>
      <c r="D488" s="19" t="n">
        <v>3</v>
      </c>
      <c r="E488" s="20" t="n">
        <v>46097</v>
      </c>
      <c r="F488" s="18" t="inlineStr">
        <is>
          <t>Iogurte Salada 185g</t>
        </is>
      </c>
      <c r="G488" s="18" t="inlineStr">
        <is>
          <t>IOGURTE</t>
        </is>
      </c>
      <c r="H488" s="21" t="n">
        <v>0.185</v>
      </c>
      <c r="I488" s="36" t="n">
        <v>0</v>
      </c>
      <c r="J488" s="21">
        <f>I488*H488</f>
        <v/>
      </c>
      <c r="K488" s="21">
        <f>IFERROR(IF(J488/P488&gt;1,P488,J488),0)</f>
        <v/>
      </c>
      <c r="L488" s="36" t="n">
        <v>226</v>
      </c>
      <c r="M488" s="21">
        <f>L488*H488</f>
        <v/>
      </c>
      <c r="N488" s="21">
        <f>IFERROR(IF(M488/K488&gt;1,K488,M488),0)</f>
        <v/>
      </c>
      <c r="O488" s="36" t="n">
        <v>520</v>
      </c>
      <c r="P488" s="21">
        <f>O488*H488</f>
        <v/>
      </c>
      <c r="Q488" s="30">
        <f>IF(MONTH(E488+1)=MONTH(E488+6),MONTH(E488+1),IF(MIN(EOMONTH(E488+1,0),E488+6)-(E488+1)+1&gt;=3,MONTH(E488+1),MONTH(E488+6)))</f>
        <v/>
      </c>
      <c r="R488" s="22">
        <f>IFERROR(K488/P488, 0)</f>
        <v/>
      </c>
      <c r="S488" s="38">
        <f>IFERROR(N488/P488,0)</f>
        <v/>
      </c>
      <c r="T488" s="31">
        <f>IFERROR(IF(N488&gt;0,(N488/K488),MIN(1,M488/J488)),0)</f>
        <v/>
      </c>
      <c r="U488" s="33" t="n"/>
    </row>
    <row r="489" hidden="1" s="40">
      <c r="A489" s="23" t="inlineStr">
        <is>
          <t>Semana 3 - março</t>
        </is>
      </c>
      <c r="B489" s="27">
        <f>YEAR(E489)</f>
        <v/>
      </c>
      <c r="C489" s="18">
        <f>INDEX({"Janeiro";"Fevereiro";"Março";"Abril";"Maio";"Junho";"Julho";"Agosto";"Setembro";"Outubro";"Novembro";"Dezembro"},Q489)</f>
        <v/>
      </c>
      <c r="D489" s="24" t="n">
        <v>3</v>
      </c>
      <c r="E489" s="25" t="n">
        <v>46097</v>
      </c>
      <c r="F489" s="23" t="inlineStr">
        <is>
          <t>Iogurte Salada 900g</t>
        </is>
      </c>
      <c r="G489" s="23" t="inlineStr">
        <is>
          <t>IOGURTE</t>
        </is>
      </c>
      <c r="H489" s="26" t="n">
        <v>0.9</v>
      </c>
      <c r="I489" s="36" t="n">
        <v>1170</v>
      </c>
      <c r="J489" s="21">
        <f>I489*H489</f>
        <v/>
      </c>
      <c r="K489" s="21">
        <f>IFERROR(IF(J489/P489&gt;1,P489,J489),0)</f>
        <v/>
      </c>
      <c r="L489" s="36" t="n">
        <v>1035</v>
      </c>
      <c r="M489" s="21">
        <f>L489*H489</f>
        <v/>
      </c>
      <c r="N489" s="21">
        <f>IFERROR(IF(M489/K489&gt;1,K489,M489),0)</f>
        <v/>
      </c>
      <c r="O489" s="36" t="n">
        <v>1080</v>
      </c>
      <c r="P489" s="21">
        <f>O489*H489</f>
        <v/>
      </c>
      <c r="Q489" s="30">
        <f>IF(MONTH(E489+1)=MONTH(E489+6),MONTH(E489+1),IF(MIN(EOMONTH(E489+1,0),E489+6)-(E489+1)+1&gt;=3,MONTH(E489+1),MONTH(E489+6)))</f>
        <v/>
      </c>
      <c r="R489" s="22">
        <f>IFERROR(K489/P489, 0)</f>
        <v/>
      </c>
      <c r="S489" s="38">
        <f>IFERROR(N489/P489,0)</f>
        <v/>
      </c>
      <c r="T489" s="31">
        <f>IFERROR(IF(N489&gt;0,(N489/K489),MIN(1,M489/J489)),0)</f>
        <v/>
      </c>
      <c r="U489" s="33" t="n"/>
    </row>
    <row r="490" hidden="1" s="40">
      <c r="A490" s="18" t="inlineStr">
        <is>
          <t>Semana 3 - março</t>
        </is>
      </c>
      <c r="B490" s="27">
        <f>YEAR(E490)</f>
        <v/>
      </c>
      <c r="C490" s="18">
        <f>INDEX({"Janeiro";"Fevereiro";"Março";"Abril";"Maio";"Junho";"Julho";"Agosto";"Setembro";"Outubro";"Novembro";"Dezembro"},Q490)</f>
        <v/>
      </c>
      <c r="D490" s="19" t="n">
        <v>3</v>
      </c>
      <c r="E490" s="20" t="n">
        <v>46097</v>
      </c>
      <c r="F490" s="18" t="inlineStr">
        <is>
          <t>Iogurte Vida Leve Ameixa c/ Grãos 180g</t>
        </is>
      </c>
      <c r="G490" s="18" t="inlineStr">
        <is>
          <t>IOGURTE</t>
        </is>
      </c>
      <c r="H490" s="21" t="n">
        <v>0.18</v>
      </c>
      <c r="I490" s="36" t="n">
        <v>0</v>
      </c>
      <c r="J490" s="21">
        <f>I490*H490</f>
        <v/>
      </c>
      <c r="K490" s="21">
        <f>IFERROR(IF(J490/P490&gt;1,P490,J490),0)</f>
        <v/>
      </c>
      <c r="L490" s="36" t="n">
        <v>0</v>
      </c>
      <c r="M490" s="21">
        <f>L490*H490</f>
        <v/>
      </c>
      <c r="N490" s="21">
        <f>IFERROR(IF(M490/K490&gt;1,K490,M490),0)</f>
        <v/>
      </c>
      <c r="O490" s="36" t="n">
        <v>900</v>
      </c>
      <c r="P490" s="21">
        <f>O490*H490</f>
        <v/>
      </c>
      <c r="Q490" s="30">
        <f>IF(MONTH(E490+1)=MONTH(E490+6),MONTH(E490+1),IF(MIN(EOMONTH(E490+1,0),E490+6)-(E490+1)+1&gt;=3,MONTH(E490+1),MONTH(E490+6)))</f>
        <v/>
      </c>
      <c r="R490" s="22">
        <f>IFERROR(K490/P490, 0)</f>
        <v/>
      </c>
      <c r="S490" s="38">
        <f>IFERROR(N490/P490,0)</f>
        <v/>
      </c>
      <c r="T490" s="31">
        <f>IFERROR(IF(N490&gt;0,(N490/K490),MIN(1,M490/J490)),0)</f>
        <v/>
      </c>
      <c r="U490" s="33" t="n"/>
    </row>
    <row r="491" hidden="1" s="40">
      <c r="A491" s="23" t="inlineStr">
        <is>
          <t>Semana 3 - março</t>
        </is>
      </c>
      <c r="B491" s="27">
        <f>YEAR(E491)</f>
        <v/>
      </c>
      <c r="C491" s="18">
        <f>INDEX({"Janeiro";"Fevereiro";"Março";"Abril";"Maio";"Junho";"Julho";"Agosto";"Setembro";"Outubro";"Novembro";"Dezembro"},Q491)</f>
        <v/>
      </c>
      <c r="D491" s="24" t="n">
        <v>3</v>
      </c>
      <c r="E491" s="25" t="n">
        <v>46097</v>
      </c>
      <c r="F491" s="23" t="inlineStr">
        <is>
          <t>Iogurte Vida Leve Ameixa c/ Grãos 500g</t>
        </is>
      </c>
      <c r="G491" s="23" t="inlineStr">
        <is>
          <t>IOGURTE</t>
        </is>
      </c>
      <c r="H491" s="26" t="n">
        <v>0.5</v>
      </c>
      <c r="I491" s="36" t="n">
        <v>0</v>
      </c>
      <c r="J491" s="21">
        <f>I491*H491</f>
        <v/>
      </c>
      <c r="K491" s="21">
        <f>IFERROR(IF(J491/P491&gt;1,P491,J491),0)</f>
        <v/>
      </c>
      <c r="L491" s="36" t="n">
        <v>0</v>
      </c>
      <c r="M491" s="21">
        <f>L491*H491</f>
        <v/>
      </c>
      <c r="N491" s="21">
        <f>IFERROR(IF(M491/K491&gt;1,K491,M491),0)</f>
        <v/>
      </c>
      <c r="O491" s="36" t="n">
        <v>1100</v>
      </c>
      <c r="P491" s="21">
        <f>O491*H491</f>
        <v/>
      </c>
      <c r="Q491" s="30">
        <f>IF(MONTH(E491+1)=MONTH(E491+6),MONTH(E491+1),IF(MIN(EOMONTH(E491+1,0),E491+6)-(E491+1)+1&gt;=3,MONTH(E491+1),MONTH(E491+6)))</f>
        <v/>
      </c>
      <c r="R491" s="22">
        <f>IFERROR(K491/P491, 0)</f>
        <v/>
      </c>
      <c r="S491" s="38">
        <f>IFERROR(N491/P491,0)</f>
        <v/>
      </c>
      <c r="T491" s="31">
        <f>IFERROR(IF(N491&gt;0,(N491/K491),MIN(1,M491/J491)),0)</f>
        <v/>
      </c>
      <c r="U491" s="33" t="n"/>
    </row>
    <row r="492" hidden="1" s="40">
      <c r="A492" s="18" t="inlineStr">
        <is>
          <t>Semana 3 - março</t>
        </is>
      </c>
      <c r="B492" s="27">
        <f>YEAR(E492)</f>
        <v/>
      </c>
      <c r="C492" s="18">
        <f>INDEX({"Janeiro";"Fevereiro";"Março";"Abril";"Maio";"Junho";"Julho";"Agosto";"Setembro";"Outubro";"Novembro";"Dezembro"},Q492)</f>
        <v/>
      </c>
      <c r="D492" s="19" t="n">
        <v>3</v>
      </c>
      <c r="E492" s="20" t="n">
        <v>46097</v>
      </c>
      <c r="F492" s="18" t="inlineStr">
        <is>
          <t>Iogurte Vida Leve Morango 180g</t>
        </is>
      </c>
      <c r="G492" s="18" t="inlineStr">
        <is>
          <t>IOGURTE</t>
        </is>
      </c>
      <c r="H492" s="21" t="n">
        <v>0.185</v>
      </c>
      <c r="I492" s="36" t="n">
        <v>0</v>
      </c>
      <c r="J492" s="21">
        <f>I492*H492</f>
        <v/>
      </c>
      <c r="K492" s="21">
        <f>IFERROR(IF(J492/P492&gt;1,P492,J492),0)</f>
        <v/>
      </c>
      <c r="L492" s="36" t="n">
        <v>0</v>
      </c>
      <c r="M492" s="21">
        <f>L492*H492</f>
        <v/>
      </c>
      <c r="N492" s="21">
        <f>IFERROR(IF(M492/K492&gt;1,K492,M492),0)</f>
        <v/>
      </c>
      <c r="O492" s="36" t="n">
        <v>2200</v>
      </c>
      <c r="P492" s="21">
        <f>O492*H492</f>
        <v/>
      </c>
      <c r="Q492" s="30">
        <f>IF(MONTH(E492+1)=MONTH(E492+6),MONTH(E492+1),IF(MIN(EOMONTH(E492+1,0),E492+6)-(E492+1)+1&gt;=3,MONTH(E492+1),MONTH(E492+6)))</f>
        <v/>
      </c>
      <c r="R492" s="22">
        <f>IFERROR(K492/P492, 0)</f>
        <v/>
      </c>
      <c r="S492" s="38">
        <f>IFERROR(N492/P492,0)</f>
        <v/>
      </c>
      <c r="T492" s="31">
        <f>IFERROR(IF(N492&gt;0,(N492/K492),MIN(1,M492/J492)),0)</f>
        <v/>
      </c>
      <c r="U492" s="33" t="n"/>
    </row>
    <row r="493" hidden="1" s="40">
      <c r="A493" s="23" t="inlineStr">
        <is>
          <t>Semana 3 - março</t>
        </is>
      </c>
      <c r="B493" s="27">
        <f>YEAR(E493)</f>
        <v/>
      </c>
      <c r="C493" s="18">
        <f>INDEX({"Janeiro";"Fevereiro";"Março";"Abril";"Maio";"Junho";"Julho";"Agosto";"Setembro";"Outubro";"Novembro";"Dezembro"},Q493)</f>
        <v/>
      </c>
      <c r="D493" s="24" t="n">
        <v>3</v>
      </c>
      <c r="E493" s="25" t="n">
        <v>46097</v>
      </c>
      <c r="F493" s="23" t="inlineStr">
        <is>
          <t>Iogurte Vida Leve Morango 500g</t>
        </is>
      </c>
      <c r="G493" s="23" t="inlineStr">
        <is>
          <t>IOGURTE</t>
        </is>
      </c>
      <c r="H493" s="26" t="n">
        <v>0.5</v>
      </c>
      <c r="I493" s="36" t="n">
        <v>0</v>
      </c>
      <c r="J493" s="21">
        <f>I493*H493</f>
        <v/>
      </c>
      <c r="K493" s="21">
        <f>IFERROR(IF(J493/P493&gt;1,P493,J493),0)</f>
        <v/>
      </c>
      <c r="L493" s="36" t="n">
        <v>0</v>
      </c>
      <c r="M493" s="21">
        <f>L493*H493</f>
        <v/>
      </c>
      <c r="N493" s="21">
        <f>IFERROR(IF(M493/K493&gt;1,K493,M493),0)</f>
        <v/>
      </c>
      <c r="O493" s="36" t="n">
        <v>2400</v>
      </c>
      <c r="P493" s="21">
        <f>O493*H493</f>
        <v/>
      </c>
      <c r="Q493" s="30">
        <f>IF(MONTH(E493+1)=MONTH(E493+6),MONTH(E493+1),IF(MIN(EOMONTH(E493+1,0),E493+6)-(E493+1)+1&gt;=3,MONTH(E493+1),MONTH(E493+6)))</f>
        <v/>
      </c>
      <c r="R493" s="22">
        <f>IFERROR(K493/P493, 0)</f>
        <v/>
      </c>
      <c r="S493" s="38">
        <f>IFERROR(N493/P493,0)</f>
        <v/>
      </c>
      <c r="T493" s="31">
        <f>IFERROR(IF(N493&gt;0,(N493/K493),MIN(1,M493/J493)),0)</f>
        <v/>
      </c>
      <c r="U493" s="33" t="n"/>
    </row>
    <row r="494" hidden="1" s="40">
      <c r="A494" s="18" t="inlineStr">
        <is>
          <t>Semana 3 - março</t>
        </is>
      </c>
      <c r="B494" s="27">
        <f>YEAR(E494)</f>
        <v/>
      </c>
      <c r="C494" s="18">
        <f>INDEX({"Janeiro";"Fevereiro";"Março";"Abril";"Maio";"Junho";"Julho";"Agosto";"Setembro";"Outubro";"Novembro";"Dezembro"},Q494)</f>
        <v/>
      </c>
      <c r="D494" s="19" t="n">
        <v>3</v>
      </c>
      <c r="E494" s="20" t="n">
        <v>46097</v>
      </c>
      <c r="F494" s="18" t="inlineStr">
        <is>
          <t>LEITE PASTEURIZADO VIÇOSA DESNATADO</t>
        </is>
      </c>
      <c r="G494" s="18" t="inlineStr">
        <is>
          <t>LEITE PAST.</t>
        </is>
      </c>
      <c r="H494" s="21" t="n">
        <v>1</v>
      </c>
      <c r="I494" s="36" t="n">
        <v>537</v>
      </c>
      <c r="J494" s="21">
        <f>I494*H494</f>
        <v/>
      </c>
      <c r="K494" s="21">
        <f>IFERROR(IF(J494/P494&gt;1,P494,J494),0)</f>
        <v/>
      </c>
      <c r="L494" s="36" t="n">
        <v>537</v>
      </c>
      <c r="M494" s="21">
        <f>L494*H494</f>
        <v/>
      </c>
      <c r="N494" s="21">
        <f>IFERROR(IF(M494/K494&gt;1,K494,M494),0)</f>
        <v/>
      </c>
      <c r="O494" s="36" t="n">
        <v>537</v>
      </c>
      <c r="P494" s="21">
        <f>O494*H494</f>
        <v/>
      </c>
      <c r="Q494" s="30">
        <f>IF(MONTH(E494+1)=MONTH(E494+6),MONTH(E494+1),IF(MIN(EOMONTH(E494+1,0),E494+6)-(E494+1)+1&gt;=3,MONTH(E494+1),MONTH(E494+6)))</f>
        <v/>
      </c>
      <c r="R494" s="22">
        <f>IFERROR(K494/P494, 0)</f>
        <v/>
      </c>
      <c r="S494" s="38">
        <f>IFERROR(N494/P494,0)</f>
        <v/>
      </c>
      <c r="T494" s="31">
        <f>IFERROR(IF(N494&gt;0,(N494/K494),MIN(1,M494/J494)),0)</f>
        <v/>
      </c>
      <c r="U494" s="33" t="n"/>
    </row>
    <row r="495" hidden="1" s="40">
      <c r="A495" s="23" t="inlineStr">
        <is>
          <t>Semana 3 - março</t>
        </is>
      </c>
      <c r="B495" s="27">
        <f>YEAR(E495)</f>
        <v/>
      </c>
      <c r="C495" s="18">
        <f>INDEX({"Janeiro";"Fevereiro";"Março";"Abril";"Maio";"Junho";"Julho";"Agosto";"Setembro";"Outubro";"Novembro";"Dezembro"},Q495)</f>
        <v/>
      </c>
      <c r="D495" s="24" t="n">
        <v>3</v>
      </c>
      <c r="E495" s="25" t="n">
        <v>46097</v>
      </c>
      <c r="F495" s="23" t="inlineStr">
        <is>
          <t>LEITE PASTEURIZADO VIÇOSA INTEGRAL</t>
        </is>
      </c>
      <c r="G495" s="23" t="inlineStr">
        <is>
          <t>LEITE PAST.</t>
        </is>
      </c>
      <c r="H495" s="26" t="n">
        <v>1</v>
      </c>
      <c r="I495" s="36" t="n">
        <v>17730</v>
      </c>
      <c r="J495" s="21">
        <f>I495*H495</f>
        <v/>
      </c>
      <c r="K495" s="21">
        <f>IFERROR(IF(J495/P495&gt;1,P495,J495),0)</f>
        <v/>
      </c>
      <c r="L495" s="36" t="n">
        <v>17730</v>
      </c>
      <c r="M495" s="21">
        <f>L495*H495</f>
        <v/>
      </c>
      <c r="N495" s="21">
        <f>IFERROR(IF(M495/K495&gt;1,K495,M495),0)</f>
        <v/>
      </c>
      <c r="O495" s="36" t="n">
        <v>17730</v>
      </c>
      <c r="P495" s="21">
        <f>O495*H495</f>
        <v/>
      </c>
      <c r="Q495" s="30">
        <f>IF(MONTH(E495+1)=MONTH(E495+6),MONTH(E495+1),IF(MIN(EOMONTH(E495+1,0),E495+6)-(E495+1)+1&gt;=3,MONTH(E495+1),MONTH(E495+6)))</f>
        <v/>
      </c>
      <c r="R495" s="22">
        <f>IFERROR(K495/P495, 0)</f>
        <v/>
      </c>
      <c r="S495" s="38">
        <f>IFERROR(N495/P495,0)</f>
        <v/>
      </c>
      <c r="T495" s="31">
        <f>IFERROR(IF(N495&gt;0,(N495/K495),MIN(1,M495/J495)),0)</f>
        <v/>
      </c>
      <c r="U495" s="33" t="n"/>
    </row>
    <row r="496" hidden="1" s="40">
      <c r="A496" s="18" t="inlineStr">
        <is>
          <t>Semana 3 - março</t>
        </is>
      </c>
      <c r="B496" s="27">
        <f>YEAR(E496)</f>
        <v/>
      </c>
      <c r="C496" s="18">
        <f>INDEX({"Janeiro";"Fevereiro";"Março";"Abril";"Maio";"Junho";"Julho";"Agosto";"Setembro";"Outubro";"Novembro";"Dezembro"},Q496)</f>
        <v/>
      </c>
      <c r="D496" s="19" t="n">
        <v>3</v>
      </c>
      <c r="E496" s="20" t="n">
        <v>46097</v>
      </c>
      <c r="F496" s="18" t="inlineStr">
        <is>
          <t>LEITE PASTEURIZADO VIÇOSA ZERO LACTOSE INTEGRAL 1 L</t>
        </is>
      </c>
      <c r="G496" s="18" t="inlineStr">
        <is>
          <t>LEITE PAST.</t>
        </is>
      </c>
      <c r="H496" s="21" t="n">
        <v>1</v>
      </c>
      <c r="I496" s="36" t="n">
        <v>704</v>
      </c>
      <c r="J496" s="21">
        <f>I496*H496</f>
        <v/>
      </c>
      <c r="K496" s="21">
        <f>IFERROR(IF(J496/P496&gt;1,P496,J496),0)</f>
        <v/>
      </c>
      <c r="L496" s="36" t="n">
        <v>704</v>
      </c>
      <c r="M496" s="21">
        <f>L496*H496</f>
        <v/>
      </c>
      <c r="N496" s="21">
        <f>IFERROR(IF(M496/K496&gt;1,K496,M496),0)</f>
        <v/>
      </c>
      <c r="O496" s="36" t="n">
        <v>704</v>
      </c>
      <c r="P496" s="21">
        <f>O496*H496</f>
        <v/>
      </c>
      <c r="Q496" s="30">
        <f>IF(MONTH(E496+1)=MONTH(E496+6),MONTH(E496+1),IF(MIN(EOMONTH(E496+1,0),E496+6)-(E496+1)+1&gt;=3,MONTH(E496+1),MONTH(E496+6)))</f>
        <v/>
      </c>
      <c r="R496" s="22">
        <f>IFERROR(K496/P496, 0)</f>
        <v/>
      </c>
      <c r="S496" s="38">
        <f>IFERROR(N496/P496,0)</f>
        <v/>
      </c>
      <c r="T496" s="31">
        <f>IFERROR(IF(N496&gt;0,(N496/K496),MIN(1,M496/J496)),0)</f>
        <v/>
      </c>
      <c r="U496" s="33" t="n"/>
    </row>
    <row r="497" hidden="1" s="40">
      <c r="A497" s="23" t="inlineStr">
        <is>
          <t>Semana 3 - março</t>
        </is>
      </c>
      <c r="B497" s="27">
        <f>YEAR(E497)</f>
        <v/>
      </c>
      <c r="C497" s="18">
        <f>INDEX({"Janeiro";"Fevereiro";"Março";"Abril";"Maio";"Junho";"Julho";"Agosto";"Setembro";"Outubro";"Novembro";"Dezembro"},Q497)</f>
        <v/>
      </c>
      <c r="D497" s="24" t="n">
        <v>3</v>
      </c>
      <c r="E497" s="25" t="n">
        <v>46097</v>
      </c>
      <c r="F497" s="23" t="inlineStr">
        <is>
          <t>Manteiga 200g</t>
        </is>
      </c>
      <c r="G497" s="23" t="inlineStr">
        <is>
          <t>MANTEIGA</t>
        </is>
      </c>
      <c r="H497" s="26" t="n">
        <v>0.2</v>
      </c>
      <c r="I497" s="36" t="n">
        <v>2500</v>
      </c>
      <c r="J497" s="21">
        <f>I497*H497</f>
        <v/>
      </c>
      <c r="K497" s="21">
        <f>IFERROR(IF(J497/P497&gt;1,P497,J497),0)</f>
        <v/>
      </c>
      <c r="L497" s="36" t="n">
        <v>2230</v>
      </c>
      <c r="M497" s="21">
        <f>L497*H497</f>
        <v/>
      </c>
      <c r="N497" s="21">
        <f>IFERROR(IF(M497/K497&gt;1,K497,M497),0)</f>
        <v/>
      </c>
      <c r="O497" s="36" t="n">
        <v>2500</v>
      </c>
      <c r="P497" s="21">
        <f>O497*H497</f>
        <v/>
      </c>
      <c r="Q497" s="30">
        <f>IF(MONTH(E497+1)=MONTH(E497+6),MONTH(E497+1),IF(MIN(EOMONTH(E497+1,0),E497+6)-(E497+1)+1&gt;=3,MONTH(E497+1),MONTH(E497+6)))</f>
        <v/>
      </c>
      <c r="R497" s="22">
        <f>IFERROR(K497/P497, 0)</f>
        <v/>
      </c>
      <c r="S497" s="38">
        <f>IFERROR(N497/P497,0)</f>
        <v/>
      </c>
      <c r="T497" s="31">
        <f>IFERROR(IF(N497&gt;0,(N497/K497),MIN(1,M497/J497)),0)</f>
        <v/>
      </c>
      <c r="U497" s="33" t="n"/>
    </row>
    <row r="498" hidden="1" s="40">
      <c r="A498" s="18" t="inlineStr">
        <is>
          <t>Semana 3 - março</t>
        </is>
      </c>
      <c r="B498" s="27">
        <f>YEAR(E498)</f>
        <v/>
      </c>
      <c r="C498" s="18">
        <f>INDEX({"Janeiro";"Fevereiro";"Março";"Abril";"Maio";"Junho";"Julho";"Agosto";"Setembro";"Outubro";"Novembro";"Dezembro"},Q498)</f>
        <v/>
      </c>
      <c r="D498" s="19" t="n">
        <v>3</v>
      </c>
      <c r="E498" s="20" t="n">
        <v>46097</v>
      </c>
      <c r="F498" s="18" t="inlineStr">
        <is>
          <t>Manteiga 500g</t>
        </is>
      </c>
      <c r="G498" s="18" t="inlineStr">
        <is>
          <t>MANTEIGA</t>
        </is>
      </c>
      <c r="H498" s="21" t="n">
        <v>0.5</v>
      </c>
      <c r="I498" s="36" t="n">
        <v>1100</v>
      </c>
      <c r="J498" s="21">
        <f>I498*H498</f>
        <v/>
      </c>
      <c r="K498" s="21">
        <f>IFERROR(IF(J498/P498&gt;1,P498,J498),0)</f>
        <v/>
      </c>
      <c r="L498" s="36" t="n">
        <v>1073</v>
      </c>
      <c r="M498" s="21">
        <f>L498*H498</f>
        <v/>
      </c>
      <c r="N498" s="21">
        <f>IFERROR(IF(M498/K498&gt;1,K498,M498),0)</f>
        <v/>
      </c>
      <c r="O498" s="36" t="n">
        <v>550</v>
      </c>
      <c r="P498" s="21">
        <f>O498*H498</f>
        <v/>
      </c>
      <c r="Q498" s="30">
        <f>IF(MONTH(E498+1)=MONTH(E498+6),MONTH(E498+1),IF(MIN(EOMONTH(E498+1,0),E498+6)-(E498+1)+1&gt;=3,MONTH(E498+1),MONTH(E498+6)))</f>
        <v/>
      </c>
      <c r="R498" s="22">
        <f>IFERROR(K498/P498, 0)</f>
        <v/>
      </c>
      <c r="S498" s="38">
        <f>IFERROR(N498/P498,0)</f>
        <v/>
      </c>
      <c r="T498" s="31">
        <f>IFERROR(IF(N498&gt;0,(N498/K498),MIN(1,M498/J498)),0)</f>
        <v/>
      </c>
      <c r="U498" s="33" t="n"/>
    </row>
    <row r="499" hidden="1" s="40">
      <c r="A499" s="23" t="inlineStr">
        <is>
          <t>Semana 3 - março</t>
        </is>
      </c>
      <c r="B499" s="27">
        <f>YEAR(E499)</f>
        <v/>
      </c>
      <c r="C499" s="18">
        <f>INDEX({"Janeiro";"Fevereiro";"Março";"Abril";"Maio";"Junho";"Julho";"Agosto";"Setembro";"Outubro";"Novembro";"Dezembro"},Q499)</f>
        <v/>
      </c>
      <c r="D499" s="24" t="n">
        <v>3</v>
      </c>
      <c r="E499" s="25" t="n">
        <v>46097</v>
      </c>
      <c r="F499" s="23" t="inlineStr">
        <is>
          <t>QUEIJO MINAS MEIA CURA (FRACIONADO)</t>
        </is>
      </c>
      <c r="G499" s="23" t="inlineStr">
        <is>
          <t>QUEIJO</t>
        </is>
      </c>
      <c r="H499" s="26" t="n">
        <v>1</v>
      </c>
      <c r="I499" s="36" t="n">
        <v>200</v>
      </c>
      <c r="J499" s="21">
        <f>I499*H499</f>
        <v/>
      </c>
      <c r="K499" s="21">
        <f>IFERROR(IF(J499/P499&gt;1,P499,J499),0)</f>
        <v/>
      </c>
      <c r="L499" s="36" t="n">
        <v>0</v>
      </c>
      <c r="M499" s="21">
        <f>L499*H499</f>
        <v/>
      </c>
      <c r="N499" s="21">
        <f>IFERROR(IF(M499/K499&gt;1,K499,M499),0)</f>
        <v/>
      </c>
      <c r="O499" s="36" t="n">
        <v>200</v>
      </c>
      <c r="P499" s="21">
        <f>O499*H499</f>
        <v/>
      </c>
      <c r="Q499" s="30">
        <f>IF(MONTH(E499+1)=MONTH(E499+6),MONTH(E499+1),IF(MIN(EOMONTH(E499+1,0),E499+6)-(E499+1)+1&gt;=3,MONTH(E499+1),MONTH(E499+6)))</f>
        <v/>
      </c>
      <c r="R499" s="22">
        <f>IFERROR(K499/P499, 0)</f>
        <v/>
      </c>
      <c r="S499" s="38">
        <f>IFERROR(N499/P499,0)</f>
        <v/>
      </c>
      <c r="T499" s="31">
        <f>IFERROR(IF(N499&gt;0,(N499/K499),MIN(1,M499/J499)),0)</f>
        <v/>
      </c>
      <c r="U499" s="33" t="n"/>
    </row>
    <row r="500" hidden="1" s="40">
      <c r="A500" s="18" t="inlineStr">
        <is>
          <t>Semana 3 - março</t>
        </is>
      </c>
      <c r="B500" s="27">
        <f>YEAR(E500)</f>
        <v/>
      </c>
      <c r="C500" s="18">
        <f>INDEX({"Janeiro";"Fevereiro";"Março";"Abril";"Maio";"Junho";"Julho";"Agosto";"Setembro";"Outubro";"Novembro";"Dezembro"},Q500)</f>
        <v/>
      </c>
      <c r="D500" s="19" t="n">
        <v>3</v>
      </c>
      <c r="E500" s="20" t="n">
        <v>46097</v>
      </c>
      <c r="F500" s="18" t="inlineStr">
        <is>
          <t>QUEIJO MINAS MEIA CURA (INTEIRO)</t>
        </is>
      </c>
      <c r="G500" s="18" t="inlineStr">
        <is>
          <t>QUEIJO</t>
        </is>
      </c>
      <c r="H500" s="21" t="n">
        <v>1</v>
      </c>
      <c r="I500" s="36" t="n">
        <v>0</v>
      </c>
      <c r="J500" s="21">
        <f>I500*H500</f>
        <v/>
      </c>
      <c r="K500" s="21">
        <f>IFERROR(IF(J500/P500&gt;1,P500,J500),0)</f>
        <v/>
      </c>
      <c r="L500" s="36" t="n">
        <v>0</v>
      </c>
      <c r="M500" s="21">
        <f>L500*H500</f>
        <v/>
      </c>
      <c r="N500" s="21">
        <f>IFERROR(IF(M500/K500&gt;1,K500,M500),0)</f>
        <v/>
      </c>
      <c r="O500" s="36" t="n">
        <v>0</v>
      </c>
      <c r="P500" s="21">
        <f>O500*H500</f>
        <v/>
      </c>
      <c r="Q500" s="30">
        <f>IF(MONTH(E500+1)=MONTH(E500+6),MONTH(E500+1),IF(MIN(EOMONTH(E500+1,0),E500+6)-(E500+1)+1&gt;=3,MONTH(E500+1),MONTH(E500+6)))</f>
        <v/>
      </c>
      <c r="R500" s="22">
        <f>IFERROR(K500/P500, 0)</f>
        <v/>
      </c>
      <c r="S500" s="38">
        <f>IFERROR(N500/P500,0)</f>
        <v/>
      </c>
      <c r="T500" s="31">
        <f>IFERROR(IF(N500&gt;0,(N500/K500),MIN(1,M500/J500)),0)</f>
        <v/>
      </c>
      <c r="U500" s="33" t="n"/>
    </row>
    <row r="501" hidden="1" s="40">
      <c r="A501" s="23" t="inlineStr">
        <is>
          <t>Semana 3 - março</t>
        </is>
      </c>
      <c r="B501" s="27">
        <f>YEAR(E501)</f>
        <v/>
      </c>
      <c r="C501" s="18">
        <f>INDEX({"Janeiro";"Fevereiro";"Março";"Abril";"Maio";"Junho";"Julho";"Agosto";"Setembro";"Outubro";"Novembro";"Dezembro"},Q501)</f>
        <v/>
      </c>
      <c r="D501" s="24" t="n">
        <v>3</v>
      </c>
      <c r="E501" s="25" t="n">
        <v>46097</v>
      </c>
      <c r="F501" s="23" t="inlineStr">
        <is>
          <t xml:space="preserve">QUEIJO MINAS PADRÃO VIÇOSA FRACIONADO </t>
        </is>
      </c>
      <c r="G501" s="23" t="inlineStr">
        <is>
          <t>QUEIJO</t>
        </is>
      </c>
      <c r="H501" s="26" t="n">
        <v>1</v>
      </c>
      <c r="I501" s="36" t="n">
        <v>200</v>
      </c>
      <c r="J501" s="21">
        <f>I501*H501</f>
        <v/>
      </c>
      <c r="K501" s="21">
        <f>IFERROR(IF(J501/P501&gt;1,P501,J501),0)</f>
        <v/>
      </c>
      <c r="L501" s="36" t="n">
        <v>200</v>
      </c>
      <c r="M501" s="21">
        <f>L501*H501</f>
        <v/>
      </c>
      <c r="N501" s="21">
        <f>IFERROR(IF(M501/K501&gt;1,K501,M501),0)</f>
        <v/>
      </c>
      <c r="O501" s="36" t="n">
        <v>200</v>
      </c>
      <c r="P501" s="21">
        <f>O501*H501</f>
        <v/>
      </c>
      <c r="Q501" s="30">
        <f>IF(MONTH(E501+1)=MONTH(E501+6),MONTH(E501+1),IF(MIN(EOMONTH(E501+1,0),E501+6)-(E501+1)+1&gt;=3,MONTH(E501+1),MONTH(E501+6)))</f>
        <v/>
      </c>
      <c r="R501" s="22">
        <f>IFERROR(K501/P501, 0)</f>
        <v/>
      </c>
      <c r="S501" s="38">
        <f>IFERROR(N501/P501,0)</f>
        <v/>
      </c>
      <c r="T501" s="31">
        <f>IFERROR(IF(N501&gt;0,(N501/K501),MIN(1,M501/J501)),0)</f>
        <v/>
      </c>
      <c r="U501" s="33" t="n"/>
    </row>
    <row r="502" hidden="1" s="40">
      <c r="A502" s="18" t="inlineStr">
        <is>
          <t>Semana 3 - março</t>
        </is>
      </c>
      <c r="B502" s="27">
        <f>YEAR(E502)</f>
        <v/>
      </c>
      <c r="C502" s="18">
        <f>INDEX({"Janeiro";"Fevereiro";"Março";"Abril";"Maio";"Junho";"Julho";"Agosto";"Setembro";"Outubro";"Novembro";"Dezembro"},Q502)</f>
        <v/>
      </c>
      <c r="D502" s="19" t="n">
        <v>3</v>
      </c>
      <c r="E502" s="20" t="n">
        <v>46097</v>
      </c>
      <c r="F502" s="18" t="inlineStr">
        <is>
          <t>QUEIJO MUSSARELA 3KG</t>
        </is>
      </c>
      <c r="G502" s="18" t="inlineStr">
        <is>
          <t>QUEIJO</t>
        </is>
      </c>
      <c r="H502" s="21" t="n">
        <v>1</v>
      </c>
      <c r="I502" s="36" t="n">
        <v>1000</v>
      </c>
      <c r="J502" s="21">
        <f>I502*H502</f>
        <v/>
      </c>
      <c r="K502" s="21">
        <f>IFERROR(IF(J502/P502&gt;1,P502,J502),0)</f>
        <v/>
      </c>
      <c r="L502" s="36" t="n">
        <v>1000</v>
      </c>
      <c r="M502" s="21">
        <f>L502*H502</f>
        <v/>
      </c>
      <c r="N502" s="21">
        <f>IFERROR(IF(M502/K502&gt;1,K502,M502),0)</f>
        <v/>
      </c>
      <c r="O502" s="36" t="n">
        <v>1000</v>
      </c>
      <c r="P502" s="21">
        <f>O502*H502</f>
        <v/>
      </c>
      <c r="Q502" s="30">
        <f>IF(MONTH(E502+1)=MONTH(E502+6),MONTH(E502+1),IF(MIN(EOMONTH(E502+1,0),E502+6)-(E502+1)+1&gt;=3,MONTH(E502+1),MONTH(E502+6)))</f>
        <v/>
      </c>
      <c r="R502" s="22">
        <f>IFERROR(K502/P502, 0)</f>
        <v/>
      </c>
      <c r="S502" s="38">
        <f>IFERROR(N502/P502,0)</f>
        <v/>
      </c>
      <c r="T502" s="31">
        <f>IFERROR(IF(N502&gt;0,(N502/K502),MIN(1,M502/J502)),0)</f>
        <v/>
      </c>
      <c r="U502" s="33" t="n"/>
    </row>
    <row r="503" hidden="1" s="40">
      <c r="A503" s="23" t="inlineStr">
        <is>
          <t>Semana 3 - março</t>
        </is>
      </c>
      <c r="B503" s="27">
        <f>YEAR(E503)</f>
        <v/>
      </c>
      <c r="C503" s="18">
        <f>INDEX({"Janeiro";"Fevereiro";"Março";"Abril";"Maio";"Junho";"Julho";"Agosto";"Setembro";"Outubro";"Novembro";"Dezembro"},Q503)</f>
        <v/>
      </c>
      <c r="D503" s="24" t="n">
        <v>3</v>
      </c>
      <c r="E503" s="25" t="n">
        <v>46097</v>
      </c>
      <c r="F503" s="23" t="inlineStr">
        <is>
          <t>QUEIJO MUSSARELA LANCHE</t>
        </is>
      </c>
      <c r="G503" s="23" t="inlineStr">
        <is>
          <t>QUEIJO</t>
        </is>
      </c>
      <c r="H503" s="26" t="n">
        <v>1</v>
      </c>
      <c r="I503" s="36" t="n">
        <v>0</v>
      </c>
      <c r="J503" s="21">
        <f>I503*H503</f>
        <v/>
      </c>
      <c r="K503" s="21">
        <f>IFERROR(IF(J503/P503&gt;1,P503,J503),0)</f>
        <v/>
      </c>
      <c r="L503" s="36" t="n">
        <v>0</v>
      </c>
      <c r="M503" s="21">
        <f>L503*H503</f>
        <v/>
      </c>
      <c r="N503" s="21">
        <f>IFERROR(IF(M503/K503&gt;1,K503,M503),0)</f>
        <v/>
      </c>
      <c r="O503" s="36" t="n">
        <v>0</v>
      </c>
      <c r="P503" s="21">
        <f>O503*H503</f>
        <v/>
      </c>
      <c r="Q503" s="30">
        <f>IF(MONTH(E503+1)=MONTH(E503+6),MONTH(E503+1),IF(MIN(EOMONTH(E503+1,0),E503+6)-(E503+1)+1&gt;=3,MONTH(E503+1),MONTH(E503+6)))</f>
        <v/>
      </c>
      <c r="R503" s="22">
        <f>IFERROR(K503/P503, 0)</f>
        <v/>
      </c>
      <c r="S503" s="38">
        <f>IFERROR(N503/P503,0)</f>
        <v/>
      </c>
      <c r="T503" s="31">
        <f>IFERROR(IF(N503&gt;0,(N503/K503),MIN(1,M503/J503)),0)</f>
        <v/>
      </c>
      <c r="U503" s="33" t="n"/>
    </row>
    <row r="504" hidden="1" s="40">
      <c r="A504" s="18" t="inlineStr">
        <is>
          <t>Semana 3 - março</t>
        </is>
      </c>
      <c r="B504" s="27">
        <f>YEAR(E504)</f>
        <v/>
      </c>
      <c r="C504" s="18">
        <f>INDEX({"Janeiro";"Fevereiro";"Março";"Abril";"Maio";"Junho";"Julho";"Agosto";"Setembro";"Outubro";"Novembro";"Dezembro"},Q504)</f>
        <v/>
      </c>
      <c r="D504" s="19" t="n">
        <v>3</v>
      </c>
      <c r="E504" s="20" t="n">
        <v>46097</v>
      </c>
      <c r="F504" s="18" t="inlineStr">
        <is>
          <t>REQUEIJÃO VIÇOSA 200g</t>
        </is>
      </c>
      <c r="G504" s="18" t="inlineStr">
        <is>
          <t>REQUEIJÃO</t>
        </is>
      </c>
      <c r="H504" s="21" t="n">
        <v>0.2</v>
      </c>
      <c r="I504" s="36" t="n">
        <v>4000</v>
      </c>
      <c r="J504" s="21">
        <f>I504*H504</f>
        <v/>
      </c>
      <c r="K504" s="21">
        <f>IFERROR(IF(J504/P504&gt;1,P504,J504),0)</f>
        <v/>
      </c>
      <c r="L504" s="36" t="n">
        <v>6554</v>
      </c>
      <c r="M504" s="21">
        <f>L504*H504</f>
        <v/>
      </c>
      <c r="N504" s="21">
        <f>IFERROR(IF(M504/K504&gt;1,K504,M504),0)</f>
        <v/>
      </c>
      <c r="O504" s="36" t="n">
        <v>3200</v>
      </c>
      <c r="P504" s="21">
        <f>O504*H504</f>
        <v/>
      </c>
      <c r="Q504" s="30">
        <f>IF(MONTH(E504+1)=MONTH(E504+6),MONTH(E504+1),IF(MIN(EOMONTH(E504+1,0),E504+6)-(E504+1)+1&gt;=3,MONTH(E504+1),MONTH(E504+6)))</f>
        <v/>
      </c>
      <c r="R504" s="22">
        <f>IFERROR(K504/P504, 0)</f>
        <v/>
      </c>
      <c r="S504" s="38">
        <f>IFERROR(N504/P504,0)</f>
        <v/>
      </c>
      <c r="T504" s="31">
        <f>IFERROR(IF(N504&gt;0,(N504/K504),MIN(1,M504/J504)),0)</f>
        <v/>
      </c>
      <c r="U504" s="33" t="n"/>
    </row>
    <row r="505" hidden="1" s="40">
      <c r="A505" s="23" t="inlineStr">
        <is>
          <t>Semana 3 - março</t>
        </is>
      </c>
      <c r="B505" s="27">
        <f>YEAR(E505)</f>
        <v/>
      </c>
      <c r="C505" s="18">
        <f>INDEX({"Janeiro";"Fevereiro";"Março";"Abril";"Maio";"Junho";"Julho";"Agosto";"Setembro";"Outubro";"Novembro";"Dezembro"},Q505)</f>
        <v/>
      </c>
      <c r="D505" s="24" t="n">
        <v>3</v>
      </c>
      <c r="E505" s="25" t="n">
        <v>46097</v>
      </c>
      <c r="F505" s="23" t="inlineStr">
        <is>
          <t>REQUEIJÃO VIÇOSA 400g</t>
        </is>
      </c>
      <c r="G505" s="23" t="inlineStr">
        <is>
          <t>REQUEIJÃO</t>
        </is>
      </c>
      <c r="H505" s="26" t="n">
        <v>0.4</v>
      </c>
      <c r="I505" s="36" t="n">
        <v>2310</v>
      </c>
      <c r="J505" s="21">
        <f>I505*H505</f>
        <v/>
      </c>
      <c r="K505" s="21">
        <f>IFERROR(IF(J505/P505&gt;1,P505,J505),0)</f>
        <v/>
      </c>
      <c r="L505" s="36" t="n">
        <v>2833</v>
      </c>
      <c r="M505" s="21">
        <f>L505*H505</f>
        <v/>
      </c>
      <c r="N505" s="21">
        <f>IFERROR(IF(M505/K505&gt;1,K505,M505),0)</f>
        <v/>
      </c>
      <c r="O505" s="36" t="n">
        <v>2800</v>
      </c>
      <c r="P505" s="21">
        <f>O505*H505</f>
        <v/>
      </c>
      <c r="Q505" s="30">
        <f>IF(MONTH(E505+1)=MONTH(E505+6),MONTH(E505+1),IF(MIN(EOMONTH(E505+1,0),E505+6)-(E505+1)+1&gt;=3,MONTH(E505+1),MONTH(E505+6)))</f>
        <v/>
      </c>
      <c r="R505" s="22">
        <f>IFERROR(K505/P505, 0)</f>
        <v/>
      </c>
      <c r="S505" s="38">
        <f>IFERROR(N505/P505,0)</f>
        <v/>
      </c>
      <c r="T505" s="31">
        <f>IFERROR(IF(N505&gt;0,(N505/K505),MIN(1,M505/J505)),0)</f>
        <v/>
      </c>
      <c r="U505" s="33" t="n"/>
    </row>
    <row r="506" hidden="1" s="40">
      <c r="A506" s="18" t="inlineStr">
        <is>
          <t>Semana 3 - março</t>
        </is>
      </c>
      <c r="B506" s="27">
        <f>YEAR(E506)</f>
        <v/>
      </c>
      <c r="C506" s="18">
        <f>INDEX({"Janeiro";"Fevereiro";"Março";"Abril";"Maio";"Junho";"Julho";"Agosto";"Setembro";"Outubro";"Novembro";"Dezembro"},Q506)</f>
        <v/>
      </c>
      <c r="D506" s="19" t="n">
        <v>3</v>
      </c>
      <c r="E506" s="20" t="n">
        <v>46097</v>
      </c>
      <c r="F506" s="18" t="inlineStr">
        <is>
          <t>Requeijão Light 200g</t>
        </is>
      </c>
      <c r="G506" s="18" t="inlineStr">
        <is>
          <t>REQUEIJÃO</t>
        </is>
      </c>
      <c r="H506" s="21" t="n">
        <v>0.2</v>
      </c>
      <c r="I506" s="36" t="n">
        <v>1200</v>
      </c>
      <c r="J506" s="21">
        <f>I506*H506</f>
        <v/>
      </c>
      <c r="K506" s="21">
        <f>IFERROR(IF(J506/P506&gt;1,P506,J506),0)</f>
        <v/>
      </c>
      <c r="L506" s="36" t="n">
        <v>1383</v>
      </c>
      <c r="M506" s="21">
        <f>L506*H506</f>
        <v/>
      </c>
      <c r="N506" s="21">
        <f>IFERROR(IF(M506/K506&gt;1,K506,M506),0)</f>
        <v/>
      </c>
      <c r="O506" s="36" t="n">
        <v>1500</v>
      </c>
      <c r="P506" s="21">
        <f>O506*H506</f>
        <v/>
      </c>
      <c r="Q506" s="30">
        <f>IF(MONTH(E506+1)=MONTH(E506+6),MONTH(E506+1),IF(MIN(EOMONTH(E506+1,0),E506+6)-(E506+1)+1&gt;=3,MONTH(E506+1),MONTH(E506+6)))</f>
        <v/>
      </c>
      <c r="R506" s="22">
        <f>IFERROR(K506/P506, 0)</f>
        <v/>
      </c>
      <c r="S506" s="38">
        <f>IFERROR(N506/P506,0)</f>
        <v/>
      </c>
      <c r="T506" s="31">
        <f>IFERROR(IF(N506&gt;0,(N506/K506),MIN(1,M506/J506)),0)</f>
        <v/>
      </c>
      <c r="U506" s="33" t="n"/>
    </row>
    <row r="507" hidden="1" s="40">
      <c r="A507" s="23" t="inlineStr">
        <is>
          <t>Semana 3 - março</t>
        </is>
      </c>
      <c r="B507" s="27">
        <f>YEAR(E507)</f>
        <v/>
      </c>
      <c r="C507" s="18">
        <f>INDEX({"Janeiro";"Fevereiro";"Março";"Abril";"Maio";"Junho";"Julho";"Agosto";"Setembro";"Outubro";"Novembro";"Dezembro"},Q507)</f>
        <v/>
      </c>
      <c r="D507" s="24" t="n">
        <v>3</v>
      </c>
      <c r="E507" s="25" t="n">
        <v>46097</v>
      </c>
      <c r="F507" s="23" t="inlineStr">
        <is>
          <t>Creme de Ricota 200g</t>
        </is>
      </c>
      <c r="G507" s="23" t="inlineStr">
        <is>
          <t>RICOTA</t>
        </is>
      </c>
      <c r="H507" s="26" t="n">
        <v>0.2</v>
      </c>
      <c r="I507" s="36" t="n">
        <v>0</v>
      </c>
      <c r="J507" s="21">
        <f>I507*H507</f>
        <v/>
      </c>
      <c r="K507" s="21">
        <f>IFERROR(IF(J507/P507&gt;1,P507,J507),0)</f>
        <v/>
      </c>
      <c r="L507" s="36" t="n">
        <v>969</v>
      </c>
      <c r="M507" s="21">
        <f>L507*H507</f>
        <v/>
      </c>
      <c r="N507" s="21">
        <f>IFERROR(IF(M507/K507&gt;1,K507,M507),0)</f>
        <v/>
      </c>
      <c r="O507" s="36" t="n">
        <v>1200</v>
      </c>
      <c r="P507" s="21">
        <f>O507*H507</f>
        <v/>
      </c>
      <c r="Q507" s="30">
        <f>IF(MONTH(E507+1)=MONTH(E507+6),MONTH(E507+1),IF(MIN(EOMONTH(E507+1,0),E507+6)-(E507+1)+1&gt;=3,MONTH(E507+1),MONTH(E507+6)))</f>
        <v/>
      </c>
      <c r="R507" s="22">
        <f>IFERROR(K507/P507, 0)</f>
        <v/>
      </c>
      <c r="S507" s="38">
        <f>IFERROR(N507/P507,0)</f>
        <v/>
      </c>
      <c r="T507" s="31">
        <f>IFERROR(IF(N507&gt;0,(N507/K507),MIN(1,M507/J507)),0)</f>
        <v/>
      </c>
      <c r="U507" s="33" t="n"/>
    </row>
    <row r="508" hidden="1" s="40">
      <c r="A508" s="18" t="inlineStr">
        <is>
          <t>Semana 4 - março</t>
        </is>
      </c>
      <c r="B508" s="27">
        <f>YEAR(E508)</f>
        <v/>
      </c>
      <c r="C508" s="18">
        <f>INDEX({"Janeiro";"Fevereiro";"Março";"Abril";"Maio";"Junho";"Julho";"Agosto";"Setembro";"Outubro";"Novembro";"Dezembro"},Q508)</f>
        <v/>
      </c>
      <c r="D508" s="19" t="n">
        <v>4</v>
      </c>
      <c r="E508" s="20" t="n">
        <v>46104</v>
      </c>
      <c r="F508" s="18" t="inlineStr">
        <is>
          <t>Doce de Leite 400g</t>
        </is>
      </c>
      <c r="G508" s="18" t="inlineStr">
        <is>
          <t>DOCE</t>
        </is>
      </c>
      <c r="H508" s="21" t="n">
        <v>0.4</v>
      </c>
      <c r="I508" s="36" t="n">
        <v>24000</v>
      </c>
      <c r="J508" s="21">
        <f>I508*H508</f>
        <v/>
      </c>
      <c r="K508" s="21">
        <f>IFERROR(IF(J508/P508&gt;1,P508,J508),0)</f>
        <v/>
      </c>
      <c r="L508" s="36" t="n">
        <v>24920</v>
      </c>
      <c r="M508" s="21">
        <f>L508*H508</f>
        <v/>
      </c>
      <c r="N508" s="21">
        <f>IFERROR(IF(M508/K508&gt;1,K508,M508),0)</f>
        <v/>
      </c>
      <c r="O508" s="36" t="n">
        <v>24000</v>
      </c>
      <c r="P508" s="21">
        <f>O508*H508</f>
        <v/>
      </c>
      <c r="Q508" s="30">
        <f>IF(MONTH(E508+1)=MONTH(E508+6),MONTH(E508+1),IF(MIN(EOMONTH(E508+1,0),E508+6)-(E508+1)+1&gt;=3,MONTH(E508+1),MONTH(E508+6)))</f>
        <v/>
      </c>
      <c r="R508" s="22">
        <f>IFERROR(K508/P508, 0)</f>
        <v/>
      </c>
      <c r="S508" s="38">
        <f>IFERROR(N508/P508,0)</f>
        <v/>
      </c>
      <c r="T508" s="31">
        <f>IFERROR(IF(N508&gt;0,(N508/K508),MIN(1,M508/J508)),0)</f>
        <v/>
      </c>
      <c r="U508" s="33" t="n"/>
    </row>
    <row r="509" hidden="1" s="40">
      <c r="A509" s="23" t="inlineStr">
        <is>
          <t>Semana 4 - março</t>
        </is>
      </c>
      <c r="B509" s="27">
        <f>YEAR(E509)</f>
        <v/>
      </c>
      <c r="C509" s="18">
        <f>INDEX({"Janeiro";"Fevereiro";"Março";"Abril";"Maio";"Junho";"Julho";"Agosto";"Setembro";"Outubro";"Novembro";"Dezembro"},Q509)</f>
        <v/>
      </c>
      <c r="D509" s="24" t="n">
        <v>4</v>
      </c>
      <c r="E509" s="25" t="n">
        <v>46104</v>
      </c>
      <c r="F509" s="23" t="inlineStr">
        <is>
          <t>Doce de Leite 5kg</t>
        </is>
      </c>
      <c r="G509" s="23" t="inlineStr">
        <is>
          <t>DOCE</t>
        </is>
      </c>
      <c r="H509" s="26" t="n">
        <v>5</v>
      </c>
      <c r="I509" s="36" t="n">
        <v>1705</v>
      </c>
      <c r="J509" s="21">
        <f>I509*H509</f>
        <v/>
      </c>
      <c r="K509" s="21">
        <f>IFERROR(IF(J509/P509&gt;1,P509,J509),0)</f>
        <v/>
      </c>
      <c r="L509" s="36" t="n">
        <v>877</v>
      </c>
      <c r="M509" s="21">
        <f>L509*H509</f>
        <v/>
      </c>
      <c r="N509" s="21">
        <f>IFERROR(IF(M509/K509&gt;1,K509,M509),0)</f>
        <v/>
      </c>
      <c r="O509" s="36" t="n">
        <v>2325</v>
      </c>
      <c r="P509" s="21">
        <f>O509*H509</f>
        <v/>
      </c>
      <c r="Q509" s="30">
        <f>IF(MONTH(E509+1)=MONTH(E509+6),MONTH(E509+1),IF(MIN(EOMONTH(E509+1,0),E509+6)-(E509+1)+1&gt;=3,MONTH(E509+1),MONTH(E509+6)))</f>
        <v/>
      </c>
      <c r="R509" s="22">
        <f>IFERROR(K509/P509, 0)</f>
        <v/>
      </c>
      <c r="S509" s="38">
        <f>IFERROR(N509/P509,0)</f>
        <v/>
      </c>
      <c r="T509" s="31">
        <f>IFERROR(IF(N509&gt;0,(N509/K509),MIN(1,M509/J509)),0)</f>
        <v/>
      </c>
      <c r="U509" s="33" t="n"/>
    </row>
    <row r="510" hidden="1" s="40">
      <c r="A510" s="18" t="inlineStr">
        <is>
          <t>Semana 4 - março</t>
        </is>
      </c>
      <c r="B510" s="27">
        <f>YEAR(E510)</f>
        <v/>
      </c>
      <c r="C510" s="18">
        <f>INDEX({"Janeiro";"Fevereiro";"Março";"Abril";"Maio";"Junho";"Julho";"Agosto";"Setembro";"Outubro";"Novembro";"Dezembro"},Q510)</f>
        <v/>
      </c>
      <c r="D510" s="19" t="n">
        <v>4</v>
      </c>
      <c r="E510" s="20" t="n">
        <v>46104</v>
      </c>
      <c r="F510" s="18" t="inlineStr">
        <is>
          <t>Doce de Leite 5kg - Bombeável</t>
        </is>
      </c>
      <c r="G510" s="18" t="inlineStr">
        <is>
          <t>DOCE</t>
        </is>
      </c>
      <c r="H510" s="21" t="n">
        <v>5</v>
      </c>
      <c r="I510" s="36" t="n">
        <v>0</v>
      </c>
      <c r="J510" s="21">
        <f>I510*H510</f>
        <v/>
      </c>
      <c r="K510" s="21">
        <f>IFERROR(IF(J510/P510&gt;1,P510,J510),0)</f>
        <v/>
      </c>
      <c r="L510" s="36" t="n">
        <v>0</v>
      </c>
      <c r="M510" s="21">
        <f>L510*H510</f>
        <v/>
      </c>
      <c r="N510" s="21">
        <f>IFERROR(IF(M510/K510&gt;1,K510,M510),0)</f>
        <v/>
      </c>
      <c r="O510" s="36" t="n">
        <v>0</v>
      </c>
      <c r="P510" s="21">
        <f>O510*H510</f>
        <v/>
      </c>
      <c r="Q510" s="30">
        <f>IF(MONTH(E510+1)=MONTH(E510+6),MONTH(E510+1),IF(MIN(EOMONTH(E510+1,0),E510+6)-(E510+1)+1&gt;=3,MONTH(E510+1),MONTH(E510+6)))</f>
        <v/>
      </c>
      <c r="R510" s="22">
        <f>IFERROR(K510/P510, 0)</f>
        <v/>
      </c>
      <c r="S510" s="38">
        <f>IFERROR(N510/P510,0)</f>
        <v/>
      </c>
      <c r="T510" s="31">
        <f>IFERROR(IF(N510&gt;0,(N510/K510),MIN(1,M510/J510)),0)</f>
        <v/>
      </c>
      <c r="U510" s="33" t="n"/>
    </row>
    <row r="511" hidden="1" s="40">
      <c r="A511" s="23" t="inlineStr">
        <is>
          <t>Semana 4 - março</t>
        </is>
      </c>
      <c r="B511" s="27">
        <f>YEAR(E511)</f>
        <v/>
      </c>
      <c r="C511" s="18">
        <f>INDEX({"Janeiro";"Fevereiro";"Março";"Abril";"Maio";"Junho";"Julho";"Agosto";"Setembro";"Outubro";"Novembro";"Dezembro"},Q511)</f>
        <v/>
      </c>
      <c r="D511" s="24" t="n">
        <v>4</v>
      </c>
      <c r="E511" s="25" t="n">
        <v>46104</v>
      </c>
      <c r="F511" s="23" t="inlineStr">
        <is>
          <t>Doce de Leite 5kg - Forneável</t>
        </is>
      </c>
      <c r="G511" s="23" t="inlineStr">
        <is>
          <t>DOCE</t>
        </is>
      </c>
      <c r="H511" s="26" t="n">
        <v>5</v>
      </c>
      <c r="I511" s="36" t="n">
        <v>160</v>
      </c>
      <c r="J511" s="21">
        <f>I511*H511</f>
        <v/>
      </c>
      <c r="K511" s="21">
        <f>IFERROR(IF(J511/P511&gt;1,P511,J511),0)</f>
        <v/>
      </c>
      <c r="L511" s="36" t="n">
        <v>0</v>
      </c>
      <c r="M511" s="21">
        <f>L511*H511</f>
        <v/>
      </c>
      <c r="N511" s="21">
        <f>IFERROR(IF(M511/K511&gt;1,K511,M511),0)</f>
        <v/>
      </c>
      <c r="O511" s="36" t="n">
        <v>0</v>
      </c>
      <c r="P511" s="21">
        <f>O511*H511</f>
        <v/>
      </c>
      <c r="Q511" s="30">
        <f>IF(MONTH(E511+1)=MONTH(E511+6),MONTH(E511+1),IF(MIN(EOMONTH(E511+1,0),E511+6)-(E511+1)+1&gt;=3,MONTH(E511+1),MONTH(E511+6)))</f>
        <v/>
      </c>
      <c r="R511" s="22">
        <f>IFERROR(K511/P511, 0)</f>
        <v/>
      </c>
      <c r="S511" s="38">
        <f>IFERROR(N511/P511,0)</f>
        <v/>
      </c>
      <c r="T511" s="31">
        <f>IFERROR(IF(N511&gt;0,(N511/K511),MIN(1,M511/J511)),0)</f>
        <v/>
      </c>
      <c r="U511" s="33" t="n"/>
    </row>
    <row r="512" hidden="1" s="40">
      <c r="A512" s="18" t="inlineStr">
        <is>
          <t>Semana 4 - março</t>
        </is>
      </c>
      <c r="B512" s="27">
        <f>YEAR(E512)</f>
        <v/>
      </c>
      <c r="C512" s="18">
        <f>INDEX({"Janeiro";"Fevereiro";"Março";"Abril";"Maio";"Junho";"Julho";"Agosto";"Setembro";"Outubro";"Novembro";"Dezembro"},Q512)</f>
        <v/>
      </c>
      <c r="D512" s="19" t="n">
        <v>4</v>
      </c>
      <c r="E512" s="20" t="n">
        <v>46104</v>
      </c>
      <c r="F512" s="18" t="inlineStr">
        <is>
          <t>Doce de Leite 800g</t>
        </is>
      </c>
      <c r="G512" s="18" t="inlineStr">
        <is>
          <t>DOCE</t>
        </is>
      </c>
      <c r="H512" s="21" t="n">
        <v>0.8</v>
      </c>
      <c r="I512" s="36" t="n">
        <v>21000</v>
      </c>
      <c r="J512" s="21">
        <f>I512*H512</f>
        <v/>
      </c>
      <c r="K512" s="21">
        <f>IFERROR(IF(J512/P512&gt;1,P512,J512),0)</f>
        <v/>
      </c>
      <c r="L512" s="36" t="n">
        <v>22772</v>
      </c>
      <c r="M512" s="21">
        <f>L512*H512</f>
        <v/>
      </c>
      <c r="N512" s="21">
        <f>IFERROR(IF(M512/K512&gt;1,K512,M512),0)</f>
        <v/>
      </c>
      <c r="O512" s="36" t="n">
        <v>21000</v>
      </c>
      <c r="P512" s="21">
        <f>O512*H512</f>
        <v/>
      </c>
      <c r="Q512" s="30">
        <f>IF(MONTH(E512+1)=MONTH(E512+6),MONTH(E512+1),IF(MIN(EOMONTH(E512+1,0),E512+6)-(E512+1)+1&gt;=3,MONTH(E512+1),MONTH(E512+6)))</f>
        <v/>
      </c>
      <c r="R512" s="22">
        <f>IFERROR(K512/P512, 0)</f>
        <v/>
      </c>
      <c r="S512" s="38">
        <f>IFERROR(N512/P512,0)</f>
        <v/>
      </c>
      <c r="T512" s="31">
        <f>IFERROR(IF(N512&gt;0,(N512/K512),MIN(1,M512/J512)),0)</f>
        <v/>
      </c>
      <c r="U512" s="33" t="n"/>
    </row>
    <row r="513" hidden="1" s="40">
      <c r="A513" s="23" t="inlineStr">
        <is>
          <t>Semana 4 - março</t>
        </is>
      </c>
      <c r="B513" s="27">
        <f>YEAR(E513)</f>
        <v/>
      </c>
      <c r="C513" s="18">
        <f>INDEX({"Janeiro";"Fevereiro";"Março";"Abril";"Maio";"Junho";"Julho";"Agosto";"Setembro";"Outubro";"Novembro";"Dezembro"},Q513)</f>
        <v/>
      </c>
      <c r="D513" s="24" t="n">
        <v>4</v>
      </c>
      <c r="E513" s="25" t="n">
        <v>46104</v>
      </c>
      <c r="F513" s="23" t="inlineStr">
        <is>
          <t>Doce de Leite Cacau 400g</t>
        </is>
      </c>
      <c r="G513" s="23" t="inlineStr">
        <is>
          <t>DOCE</t>
        </is>
      </c>
      <c r="H513" s="26" t="n">
        <v>0.4</v>
      </c>
      <c r="I513" s="36" t="n">
        <v>0</v>
      </c>
      <c r="J513" s="21">
        <f>I513*H513</f>
        <v/>
      </c>
      <c r="K513" s="21">
        <f>IFERROR(IF(J513/P513&gt;1,P513,J513),0)</f>
        <v/>
      </c>
      <c r="L513" s="36" t="n">
        <v>0</v>
      </c>
      <c r="M513" s="21">
        <f>L513*H513</f>
        <v/>
      </c>
      <c r="N513" s="21">
        <f>IFERROR(IF(M513/K513&gt;1,K513,M513),0)</f>
        <v/>
      </c>
      <c r="O513" s="36" t="n">
        <v>0</v>
      </c>
      <c r="P513" s="21">
        <f>O513*H513</f>
        <v/>
      </c>
      <c r="Q513" s="30">
        <f>IF(MONTH(E513+1)=MONTH(E513+6),MONTH(E513+1),IF(MIN(EOMONTH(E513+1,0),E513+6)-(E513+1)+1&gt;=3,MONTH(E513+1),MONTH(E513+6)))</f>
        <v/>
      </c>
      <c r="R513" s="22">
        <f>IFERROR(K513/P513, 0)</f>
        <v/>
      </c>
      <c r="S513" s="38">
        <f>IFERROR(N513/P513,0)</f>
        <v/>
      </c>
      <c r="T513" s="31">
        <f>IFERROR(IF(N513&gt;0,(N513/K513),MIN(1,M513/J513)),0)</f>
        <v/>
      </c>
      <c r="U513" s="33" t="n"/>
    </row>
    <row r="514" hidden="1" s="40">
      <c r="A514" s="18" t="inlineStr">
        <is>
          <t>Semana 4 - março</t>
        </is>
      </c>
      <c r="B514" s="27">
        <f>YEAR(E514)</f>
        <v/>
      </c>
      <c r="C514" s="18">
        <f>INDEX({"Janeiro";"Fevereiro";"Março";"Abril";"Maio";"Junho";"Julho";"Agosto";"Setembro";"Outubro";"Novembro";"Dezembro"},Q514)</f>
        <v/>
      </c>
      <c r="D514" s="19" t="n">
        <v>4</v>
      </c>
      <c r="E514" s="20" t="n">
        <v>46104</v>
      </c>
      <c r="F514" s="18" t="inlineStr">
        <is>
          <t>Doce de Leite Cacau 5kg - Bombeável</t>
        </is>
      </c>
      <c r="G514" s="18" t="inlineStr">
        <is>
          <t>DOCE</t>
        </is>
      </c>
      <c r="H514" s="21" t="n">
        <v>5</v>
      </c>
      <c r="I514" s="36" t="n">
        <v>0</v>
      </c>
      <c r="J514" s="21">
        <f>I514*H514</f>
        <v/>
      </c>
      <c r="K514" s="21">
        <f>IFERROR(IF(J514/P514&gt;1,P514,J514),0)</f>
        <v/>
      </c>
      <c r="L514" s="36" t="n">
        <v>0</v>
      </c>
      <c r="M514" s="21">
        <f>L514*H514</f>
        <v/>
      </c>
      <c r="N514" s="21">
        <f>IFERROR(IF(M514/K514&gt;1,K514,M514),0)</f>
        <v/>
      </c>
      <c r="O514" s="36" t="n">
        <v>0</v>
      </c>
      <c r="P514" s="21">
        <f>O514*H514</f>
        <v/>
      </c>
      <c r="Q514" s="30">
        <f>IF(MONTH(E514+1)=MONTH(E514+6),MONTH(E514+1),IF(MIN(EOMONTH(E514+1,0),E514+6)-(E514+1)+1&gt;=3,MONTH(E514+1),MONTH(E514+6)))</f>
        <v/>
      </c>
      <c r="R514" s="22">
        <f>IFERROR(K514/P514, 0)</f>
        <v/>
      </c>
      <c r="S514" s="38">
        <f>IFERROR(N514/P514,0)</f>
        <v/>
      </c>
      <c r="T514" s="31">
        <f>IFERROR(IF(N514&gt;0,(N514/K514),MIN(1,M514/J514)),0)</f>
        <v/>
      </c>
      <c r="U514" s="33" t="n"/>
    </row>
    <row r="515" hidden="1" s="40">
      <c r="A515" s="23" t="inlineStr">
        <is>
          <t>Semana 4 - março</t>
        </is>
      </c>
      <c r="B515" s="27">
        <f>YEAR(E515)</f>
        <v/>
      </c>
      <c r="C515" s="18">
        <f>INDEX({"Janeiro";"Fevereiro";"Março";"Abril";"Maio";"Junho";"Julho";"Agosto";"Setembro";"Outubro";"Novembro";"Dezembro"},Q515)</f>
        <v/>
      </c>
      <c r="D515" s="24" t="n">
        <v>4</v>
      </c>
      <c r="E515" s="25" t="n">
        <v>46104</v>
      </c>
      <c r="F515" s="23" t="inlineStr">
        <is>
          <t>Doce de Leite Cacau 5kg - FOOD</t>
        </is>
      </c>
      <c r="G515" s="23" t="inlineStr">
        <is>
          <t>DOCE</t>
        </is>
      </c>
      <c r="H515" s="26" t="n">
        <v>5</v>
      </c>
      <c r="I515" s="36" t="n">
        <v>930</v>
      </c>
      <c r="J515" s="21">
        <f>I515*H515</f>
        <v/>
      </c>
      <c r="K515" s="21">
        <f>IFERROR(IF(J515/P515&gt;1,P515,J515),0)</f>
        <v/>
      </c>
      <c r="L515" s="36" t="n">
        <v>410</v>
      </c>
      <c r="M515" s="21">
        <f>L515*H515</f>
        <v/>
      </c>
      <c r="N515" s="21">
        <f>IFERROR(IF(M515/K515&gt;1,K515,M515),0)</f>
        <v/>
      </c>
      <c r="O515" s="36" t="n">
        <v>0</v>
      </c>
      <c r="P515" s="21">
        <f>O515*H515</f>
        <v/>
      </c>
      <c r="Q515" s="30">
        <f>IF(MONTH(E515+1)=MONTH(E515+6),MONTH(E515+1),IF(MIN(EOMONTH(E515+1,0),E515+6)-(E515+1)+1&gt;=3,MONTH(E515+1),MONTH(E515+6)))</f>
        <v/>
      </c>
      <c r="R515" s="22">
        <f>IFERROR(K515/P515, 0)</f>
        <v/>
      </c>
      <c r="S515" s="38">
        <f>IFERROR(N515/P515,0)</f>
        <v/>
      </c>
      <c r="T515" s="31">
        <f>IFERROR(IF(N515&gt;0,(N515/K515),MIN(1,M515/J515)),0)</f>
        <v/>
      </c>
      <c r="U515" s="33" t="n"/>
    </row>
    <row r="516" hidden="1" s="40">
      <c r="A516" s="18" t="inlineStr">
        <is>
          <t>Semana 4 - março</t>
        </is>
      </c>
      <c r="B516" s="27">
        <f>YEAR(E516)</f>
        <v/>
      </c>
      <c r="C516" s="18">
        <f>INDEX({"Janeiro";"Fevereiro";"Março";"Abril";"Maio";"Junho";"Julho";"Agosto";"Setembro";"Outubro";"Novembro";"Dezembro"},Q516)</f>
        <v/>
      </c>
      <c r="D516" s="19" t="n">
        <v>4</v>
      </c>
      <c r="E516" s="20" t="n">
        <v>46104</v>
      </c>
      <c r="F516" s="18" t="inlineStr">
        <is>
          <t>Doce de Leite c/ Café 400</t>
        </is>
      </c>
      <c r="G516" s="18" t="inlineStr">
        <is>
          <t>DOCE</t>
        </is>
      </c>
      <c r="H516" s="21" t="n">
        <v>0.4</v>
      </c>
      <c r="I516" s="36" t="n">
        <v>0</v>
      </c>
      <c r="J516" s="21">
        <f>I516*H516</f>
        <v/>
      </c>
      <c r="K516" s="21">
        <f>IFERROR(IF(J516/P516&gt;1,P516,J516),0)</f>
        <v/>
      </c>
      <c r="L516" s="36" t="n">
        <v>0</v>
      </c>
      <c r="M516" s="21">
        <f>L516*H516</f>
        <v/>
      </c>
      <c r="N516" s="21">
        <f>IFERROR(IF(M516/K516&gt;1,K516,M516),0)</f>
        <v/>
      </c>
      <c r="O516" s="36" t="n">
        <v>6000</v>
      </c>
      <c r="P516" s="21">
        <f>O516*H516</f>
        <v/>
      </c>
      <c r="Q516" s="30">
        <f>IF(MONTH(E516+1)=MONTH(E516+6),MONTH(E516+1),IF(MIN(EOMONTH(E516+1,0),E516+6)-(E516+1)+1&gt;=3,MONTH(E516+1),MONTH(E516+6)))</f>
        <v/>
      </c>
      <c r="R516" s="22">
        <f>IFERROR(K516/P516, 0)</f>
        <v/>
      </c>
      <c r="S516" s="38">
        <f>IFERROR(N516/P516,0)</f>
        <v/>
      </c>
      <c r="T516" s="31">
        <f>IFERROR(IF(N516&gt;0,(N516/K516),MIN(1,M516/J516)),0)</f>
        <v/>
      </c>
      <c r="U516" s="33" t="n"/>
    </row>
    <row r="517" hidden="1" s="40">
      <c r="A517" s="23" t="inlineStr">
        <is>
          <t>Semana 4 - março</t>
        </is>
      </c>
      <c r="B517" s="27">
        <f>YEAR(E517)</f>
        <v/>
      </c>
      <c r="C517" s="18">
        <f>INDEX({"Janeiro";"Fevereiro";"Março";"Abril";"Maio";"Junho";"Julho";"Agosto";"Setembro";"Outubro";"Novembro";"Dezembro"},Q517)</f>
        <v/>
      </c>
      <c r="D517" s="24" t="n">
        <v>4</v>
      </c>
      <c r="E517" s="25" t="n">
        <v>46104</v>
      </c>
      <c r="F517" s="23" t="inlineStr">
        <is>
          <t>Doce de Leite c/ Café 5kg</t>
        </is>
      </c>
      <c r="G517" s="23" t="inlineStr">
        <is>
          <t>DOCE</t>
        </is>
      </c>
      <c r="H517" s="26" t="n">
        <v>5</v>
      </c>
      <c r="I517" s="36" t="n">
        <v>160</v>
      </c>
      <c r="J517" s="21">
        <f>I517*H517</f>
        <v/>
      </c>
      <c r="K517" s="21">
        <f>IFERROR(IF(J517/P517&gt;1,P517,J517),0)</f>
        <v/>
      </c>
      <c r="L517" s="36" t="n">
        <v>650</v>
      </c>
      <c r="M517" s="21">
        <f>L517*H517</f>
        <v/>
      </c>
      <c r="N517" s="21">
        <f>IFERROR(IF(M517/K517&gt;1,K517,M517),0)</f>
        <v/>
      </c>
      <c r="O517" s="36" t="n">
        <v>0</v>
      </c>
      <c r="P517" s="21">
        <f>O517*H517</f>
        <v/>
      </c>
      <c r="Q517" s="30">
        <f>IF(MONTH(E517+1)=MONTH(E517+6),MONTH(E517+1),IF(MIN(EOMONTH(E517+1,0),E517+6)-(E517+1)+1&gt;=3,MONTH(E517+1),MONTH(E517+6)))</f>
        <v/>
      </c>
      <c r="R517" s="22">
        <f>IFERROR(K517/P517, 0)</f>
        <v/>
      </c>
      <c r="S517" s="38">
        <f>IFERROR(N517/P517,0)</f>
        <v/>
      </c>
      <c r="T517" s="31">
        <f>IFERROR(IF(N517&gt;0,(N517/K517),MIN(1,M517/J517)),0)</f>
        <v/>
      </c>
      <c r="U517" s="33" t="n"/>
    </row>
    <row r="518" hidden="1" s="40">
      <c r="A518" s="18" t="inlineStr">
        <is>
          <t>Semana 4 - março</t>
        </is>
      </c>
      <c r="B518" s="27">
        <f>YEAR(E518)</f>
        <v/>
      </c>
      <c r="C518" s="18">
        <f>INDEX({"Janeiro";"Fevereiro";"Março";"Abril";"Maio";"Junho";"Julho";"Agosto";"Setembro";"Outubro";"Novembro";"Dezembro"},Q518)</f>
        <v/>
      </c>
      <c r="D518" s="19" t="n">
        <v>4</v>
      </c>
      <c r="E518" s="20" t="n">
        <v>46104</v>
      </c>
      <c r="F518" s="18" t="inlineStr">
        <is>
          <t>Doce de Leite c/ coco 400</t>
        </is>
      </c>
      <c r="G518" s="18" t="inlineStr">
        <is>
          <t>DOCE</t>
        </is>
      </c>
      <c r="H518" s="21" t="n">
        <v>0.4</v>
      </c>
      <c r="I518" s="36" t="n">
        <v>0</v>
      </c>
      <c r="J518" s="21">
        <f>I518*H518</f>
        <v/>
      </c>
      <c r="K518" s="21">
        <f>IFERROR(IF(J518/P518&gt;1,P518,J518),0)</f>
        <v/>
      </c>
      <c r="L518" s="36" t="n">
        <v>0</v>
      </c>
      <c r="M518" s="21">
        <f>L518*H518</f>
        <v/>
      </c>
      <c r="N518" s="21">
        <f>IFERROR(IF(M518/K518&gt;1,K518,M518),0)</f>
        <v/>
      </c>
      <c r="O518" s="36" t="n">
        <v>0</v>
      </c>
      <c r="P518" s="21">
        <f>O518*H518</f>
        <v/>
      </c>
      <c r="Q518" s="30">
        <f>IF(MONTH(E518+1)=MONTH(E518+6),MONTH(E518+1),IF(MIN(EOMONTH(E518+1,0),E518+6)-(E518+1)+1&gt;=3,MONTH(E518+1),MONTH(E518+6)))</f>
        <v/>
      </c>
      <c r="R518" s="22">
        <f>IFERROR(K518/P518, 0)</f>
        <v/>
      </c>
      <c r="S518" s="38">
        <f>IFERROR(N518/P518,0)</f>
        <v/>
      </c>
      <c r="T518" s="31">
        <f>IFERROR(IF(N518&gt;0,(N518/K518),MIN(1,M518/J518)),0)</f>
        <v/>
      </c>
      <c r="U518" s="33" t="n"/>
    </row>
    <row r="519" hidden="1" s="40">
      <c r="A519" s="23" t="inlineStr">
        <is>
          <t>Semana 4 - março</t>
        </is>
      </c>
      <c r="B519" s="27">
        <f>YEAR(E519)</f>
        <v/>
      </c>
      <c r="C519" s="18">
        <f>INDEX({"Janeiro";"Fevereiro";"Março";"Abril";"Maio";"Junho";"Julho";"Agosto";"Setembro";"Outubro";"Novembro";"Dezembro"},Q519)</f>
        <v/>
      </c>
      <c r="D519" s="24" t="n">
        <v>4</v>
      </c>
      <c r="E519" s="25" t="n">
        <v>46104</v>
      </c>
      <c r="F519" s="23" t="inlineStr">
        <is>
          <t>IOGURTE VIÇOSA MORANGO LIGHT 180g</t>
        </is>
      </c>
      <c r="G519" s="23" t="inlineStr">
        <is>
          <t>IOGURTE</t>
        </is>
      </c>
      <c r="H519" s="26" t="n">
        <v>0.18</v>
      </c>
      <c r="I519" s="36" t="n">
        <v>0</v>
      </c>
      <c r="J519" s="21">
        <f>I519*H519</f>
        <v/>
      </c>
      <c r="K519" s="21">
        <f>IFERROR(IF(J519/P519&gt;1,P519,J519),0)</f>
        <v/>
      </c>
      <c r="L519" s="36" t="n">
        <v>0</v>
      </c>
      <c r="M519" s="21">
        <f>L519*H519</f>
        <v/>
      </c>
      <c r="N519" s="21">
        <f>IFERROR(IF(M519/K519&gt;1,K519,M519),0)</f>
        <v/>
      </c>
      <c r="O519" s="36" t="n">
        <v>0</v>
      </c>
      <c r="P519" s="21">
        <f>O519*H519</f>
        <v/>
      </c>
      <c r="Q519" s="30">
        <f>IF(MONTH(E519+1)=MONTH(E519+6),MONTH(E519+1),IF(MIN(EOMONTH(E519+1,0),E519+6)-(E519+1)+1&gt;=3,MONTH(E519+1),MONTH(E519+6)))</f>
        <v/>
      </c>
      <c r="R519" s="22">
        <f>IFERROR(K519/P519, 0)</f>
        <v/>
      </c>
      <c r="S519" s="38">
        <f>IFERROR(N519/P519,0)</f>
        <v/>
      </c>
      <c r="T519" s="31">
        <f>IFERROR(IF(N519&gt;0,(N519/K519),MIN(1,M519/J519)),0)</f>
        <v/>
      </c>
      <c r="U519" s="33" t="n"/>
    </row>
    <row r="520" hidden="1" s="40">
      <c r="A520" s="18" t="inlineStr">
        <is>
          <t>Semana 4 - março</t>
        </is>
      </c>
      <c r="B520" s="27">
        <f>YEAR(E520)</f>
        <v/>
      </c>
      <c r="C520" s="18">
        <f>INDEX({"Janeiro";"Fevereiro";"Março";"Abril";"Maio";"Junho";"Julho";"Agosto";"Setembro";"Outubro";"Novembro";"Dezembro"},Q520)</f>
        <v/>
      </c>
      <c r="D520" s="19" t="n">
        <v>4</v>
      </c>
      <c r="E520" s="20" t="n">
        <v>46104</v>
      </c>
      <c r="F520" s="18" t="inlineStr">
        <is>
          <t>IOGURTE VIÇOSA MORANGO LIGHT 800g</t>
        </is>
      </c>
      <c r="G520" s="18" t="inlineStr">
        <is>
          <t>IOGURTE</t>
        </is>
      </c>
      <c r="H520" s="21" t="n">
        <v>0.8</v>
      </c>
      <c r="I520" s="36" t="n">
        <v>0</v>
      </c>
      <c r="J520" s="21">
        <f>I520*H520</f>
        <v/>
      </c>
      <c r="K520" s="21">
        <f>IFERROR(IF(J520/P520&gt;1,P520,J520),0)</f>
        <v/>
      </c>
      <c r="L520" s="36" t="n">
        <v>0</v>
      </c>
      <c r="M520" s="21">
        <f>L520*H520</f>
        <v/>
      </c>
      <c r="N520" s="21">
        <f>IFERROR(IF(M520/K520&gt;1,K520,M520),0)</f>
        <v/>
      </c>
      <c r="O520" s="36" t="n">
        <v>0</v>
      </c>
      <c r="P520" s="21">
        <f>O520*H520</f>
        <v/>
      </c>
      <c r="Q520" s="30">
        <f>IF(MONTH(E520+1)=MONTH(E520+6),MONTH(E520+1),IF(MIN(EOMONTH(E520+1,0),E520+6)-(E520+1)+1&gt;=3,MONTH(E520+1),MONTH(E520+6)))</f>
        <v/>
      </c>
      <c r="R520" s="22">
        <f>IFERROR(K520/P520, 0)</f>
        <v/>
      </c>
      <c r="S520" s="38">
        <f>IFERROR(N520/P520,0)</f>
        <v/>
      </c>
      <c r="T520" s="31">
        <f>IFERROR(IF(N520&gt;0,(N520/K520),MIN(1,M520/J520)),0)</f>
        <v/>
      </c>
      <c r="U520" s="33" t="n"/>
    </row>
    <row r="521" hidden="1" s="40">
      <c r="A521" s="18" t="inlineStr">
        <is>
          <t>Semana 4 - março</t>
        </is>
      </c>
      <c r="B521" s="27">
        <f>YEAR(E521)</f>
        <v/>
      </c>
      <c r="C521" s="18">
        <f>INDEX({"Janeiro";"Fevereiro";"Março";"Abril";"Maio";"Junho";"Julho";"Agosto";"Setembro";"Outubro";"Novembro";"Dezembro"},Q521)</f>
        <v/>
      </c>
      <c r="D521" s="19" t="n">
        <v>4</v>
      </c>
      <c r="E521" s="20" t="n">
        <v>46104</v>
      </c>
      <c r="F521" s="18" t="inlineStr">
        <is>
          <t>Iogurte Abacaxi c/ Coco 120g</t>
        </is>
      </c>
      <c r="G521" s="18" t="inlineStr">
        <is>
          <t>IOGURTE</t>
        </is>
      </c>
      <c r="H521" s="21" t="n">
        <v>0.12</v>
      </c>
      <c r="I521" s="36" t="n">
        <v>0</v>
      </c>
      <c r="J521" s="21">
        <f>I521*H521</f>
        <v/>
      </c>
      <c r="K521" s="21">
        <f>IFERROR(IF(J521/P521&gt;1,P521,J521),0)</f>
        <v/>
      </c>
      <c r="L521" s="36" t="n">
        <v>0</v>
      </c>
      <c r="M521" s="21">
        <f>L521*H521</f>
        <v/>
      </c>
      <c r="N521" s="21">
        <f>IFERROR(IF(M521/K521&gt;1,K521,M521),0)</f>
        <v/>
      </c>
      <c r="O521" s="36" t="n">
        <v>3000</v>
      </c>
      <c r="P521" s="21">
        <f>O521*H521</f>
        <v/>
      </c>
      <c r="Q521" s="30">
        <f>IF(MONTH(E521+1)=MONTH(E521+6),MONTH(E521+1),IF(MIN(EOMONTH(E521+1,0),E521+6)-(E521+1)+1&gt;=3,MONTH(E521+1),MONTH(E521+6)))</f>
        <v/>
      </c>
      <c r="R521" s="22">
        <f>IFERROR(K521/P521, 0)</f>
        <v/>
      </c>
      <c r="S521" s="38">
        <f>IFERROR(N521/P521,0)</f>
        <v/>
      </c>
      <c r="T521" s="31">
        <f>IFERROR(IF(N521&gt;0,(N521/K521),MIN(1,M521/J521)),0)</f>
        <v/>
      </c>
      <c r="U521" s="33" t="n"/>
    </row>
    <row r="522" hidden="1" s="40">
      <c r="A522" s="23" t="inlineStr">
        <is>
          <t>Semana 4 - março</t>
        </is>
      </c>
      <c r="B522" s="27">
        <f>YEAR(E522)</f>
        <v/>
      </c>
      <c r="C522" s="18">
        <f>INDEX({"Janeiro";"Fevereiro";"Março";"Abril";"Maio";"Junho";"Julho";"Agosto";"Setembro";"Outubro";"Novembro";"Dezembro"},Q522)</f>
        <v/>
      </c>
      <c r="D522" s="24" t="n">
        <v>4</v>
      </c>
      <c r="E522" s="25" t="n">
        <v>46104</v>
      </c>
      <c r="F522" s="23" t="inlineStr">
        <is>
          <t>Iogurte Abacaxi c/ Coco 185g</t>
        </is>
      </c>
      <c r="G522" s="23" t="inlineStr">
        <is>
          <t>IOGURTE</t>
        </is>
      </c>
      <c r="H522" s="26" t="n">
        <v>0.185</v>
      </c>
      <c r="I522" s="36" t="n">
        <v>0</v>
      </c>
      <c r="J522" s="21">
        <f>I522*H522</f>
        <v/>
      </c>
      <c r="K522" s="21">
        <f>IFERROR(IF(J522/P522&gt;1,P522,J522),0)</f>
        <v/>
      </c>
      <c r="L522" s="36" t="n">
        <v>0</v>
      </c>
      <c r="M522" s="21">
        <f>L522*H522</f>
        <v/>
      </c>
      <c r="N522" s="21">
        <f>IFERROR(IF(M522/K522&gt;1,K522,M522),0)</f>
        <v/>
      </c>
      <c r="O522" s="36" t="n">
        <v>520</v>
      </c>
      <c r="P522" s="21">
        <f>O522*H522</f>
        <v/>
      </c>
      <c r="Q522" s="30">
        <f>IF(MONTH(E522+1)=MONTH(E522+6),MONTH(E522+1),IF(MIN(EOMONTH(E522+1,0),E522+6)-(E522+1)+1&gt;=3,MONTH(E522+1),MONTH(E522+6)))</f>
        <v/>
      </c>
      <c r="R522" s="22">
        <f>IFERROR(K522/P522, 0)</f>
        <v/>
      </c>
      <c r="S522" s="38">
        <f>IFERROR(N522/P522,0)</f>
        <v/>
      </c>
      <c r="T522" s="31">
        <f>IFERROR(IF(N522&gt;0,(N522/K522),MIN(1,M522/J522)),0)</f>
        <v/>
      </c>
      <c r="U522" s="33" t="n"/>
    </row>
    <row r="523" hidden="1" s="40">
      <c r="A523" s="18" t="inlineStr">
        <is>
          <t>Semana 4 - março</t>
        </is>
      </c>
      <c r="B523" s="27">
        <f>YEAR(E523)</f>
        <v/>
      </c>
      <c r="C523" s="18">
        <f>INDEX({"Janeiro";"Fevereiro";"Março";"Abril";"Maio";"Junho";"Julho";"Agosto";"Setembro";"Outubro";"Novembro";"Dezembro"},Q523)</f>
        <v/>
      </c>
      <c r="D523" s="19" t="n">
        <v>4</v>
      </c>
      <c r="E523" s="20" t="n">
        <v>46104</v>
      </c>
      <c r="F523" s="18" t="inlineStr">
        <is>
          <t>Iogurte Abacaxi c/ Coco 900g</t>
        </is>
      </c>
      <c r="G523" s="18" t="inlineStr">
        <is>
          <t>IOGURTE</t>
        </is>
      </c>
      <c r="H523" s="21" t="n">
        <v>0.9</v>
      </c>
      <c r="I523" s="36" t="n">
        <v>0</v>
      </c>
      <c r="J523" s="21">
        <f>I523*H523</f>
        <v/>
      </c>
      <c r="K523" s="21">
        <f>IFERROR(IF(J523/P523&gt;1,P523,J523),0)</f>
        <v/>
      </c>
      <c r="L523" s="36" t="n">
        <v>0</v>
      </c>
      <c r="M523" s="21">
        <f>L523*H523</f>
        <v/>
      </c>
      <c r="N523" s="21">
        <f>IFERROR(IF(M523/K523&gt;1,K523,M523),0)</f>
        <v/>
      </c>
      <c r="O523" s="36" t="n">
        <v>1080</v>
      </c>
      <c r="P523" s="21">
        <f>O523*H523</f>
        <v/>
      </c>
      <c r="Q523" s="30">
        <f>IF(MONTH(E523+1)=MONTH(E523+6),MONTH(E523+1),IF(MIN(EOMONTH(E523+1,0),E523+6)-(E523+1)+1&gt;=3,MONTH(E523+1),MONTH(E523+6)))</f>
        <v/>
      </c>
      <c r="R523" s="22">
        <f>IFERROR(K523/P523, 0)</f>
        <v/>
      </c>
      <c r="S523" s="38">
        <f>IFERROR(N523/P523,0)</f>
        <v/>
      </c>
      <c r="T523" s="31">
        <f>IFERROR(IF(N523&gt;0,(N523/K523),MIN(1,M523/J523)),0)</f>
        <v/>
      </c>
      <c r="U523" s="33" t="n"/>
    </row>
    <row r="524" hidden="1" s="40">
      <c r="A524" s="18" t="inlineStr">
        <is>
          <t>Semana 4 - março</t>
        </is>
      </c>
      <c r="B524" s="27">
        <f>YEAR(E524)</f>
        <v/>
      </c>
      <c r="C524" s="18">
        <f>INDEX({"Janeiro";"Fevereiro";"Março";"Abril";"Maio";"Junho";"Julho";"Agosto";"Setembro";"Outubro";"Novembro";"Dezembro"},Q524)</f>
        <v/>
      </c>
      <c r="D524" s="19" t="n">
        <v>4</v>
      </c>
      <c r="E524" s="20" t="n">
        <v>46104</v>
      </c>
      <c r="F524" s="18" t="inlineStr">
        <is>
          <t>Iogurte Coco 120g</t>
        </is>
      </c>
      <c r="G524" s="18" t="inlineStr">
        <is>
          <t>IOGURTE</t>
        </is>
      </c>
      <c r="H524" s="21" t="n">
        <v>0.12</v>
      </c>
      <c r="I524" s="36" t="n">
        <v>5000</v>
      </c>
      <c r="J524" s="21">
        <f>I524*H524</f>
        <v/>
      </c>
      <c r="K524" s="21">
        <f>IFERROR(IF(J524/P524&gt;1,P524,J524),0)</f>
        <v/>
      </c>
      <c r="L524" s="36" t="n">
        <v>5036</v>
      </c>
      <c r="M524" s="21">
        <f>L524*H524</f>
        <v/>
      </c>
      <c r="N524" s="21">
        <f>IFERROR(IF(M524/K524&gt;1,K524,M524),0)</f>
        <v/>
      </c>
      <c r="O524" s="36" t="n">
        <v>5000</v>
      </c>
      <c r="P524" s="21">
        <f>O524*H524</f>
        <v/>
      </c>
      <c r="Q524" s="30">
        <f>IF(MONTH(E524+1)=MONTH(E524+6),MONTH(E524+1),IF(MIN(EOMONTH(E524+1,0),E524+6)-(E524+1)+1&gt;=3,MONTH(E524+1),MONTH(E524+6)))</f>
        <v/>
      </c>
      <c r="R524" s="22">
        <f>IFERROR(K524/P524, 0)</f>
        <v/>
      </c>
      <c r="S524" s="38">
        <f>IFERROR(N524/P524,0)</f>
        <v/>
      </c>
      <c r="T524" s="31">
        <f>IFERROR(IF(N524&gt;0,(N524/K524),MIN(1,M524/J524)),0)</f>
        <v/>
      </c>
      <c r="U524" s="33" t="n"/>
    </row>
    <row r="525" hidden="1" s="40">
      <c r="A525" s="23" t="inlineStr">
        <is>
          <t>Semana 4 - março</t>
        </is>
      </c>
      <c r="B525" s="27">
        <f>YEAR(E525)</f>
        <v/>
      </c>
      <c r="C525" s="18">
        <f>INDEX({"Janeiro";"Fevereiro";"Março";"Abril";"Maio";"Junho";"Julho";"Agosto";"Setembro";"Outubro";"Novembro";"Dezembro"},Q525)</f>
        <v/>
      </c>
      <c r="D525" s="24" t="n">
        <v>4</v>
      </c>
      <c r="E525" s="25" t="n">
        <v>46104</v>
      </c>
      <c r="F525" s="23" t="inlineStr">
        <is>
          <t>Iogurte Coco 185g</t>
        </is>
      </c>
      <c r="G525" s="23" t="inlineStr">
        <is>
          <t>IOGURTE</t>
        </is>
      </c>
      <c r="H525" s="26" t="n">
        <v>0.185</v>
      </c>
      <c r="I525" s="36" t="n">
        <v>520</v>
      </c>
      <c r="J525" s="21">
        <f>I525*H525</f>
        <v/>
      </c>
      <c r="K525" s="21">
        <f>IFERROR(IF(J525/P525&gt;1,P525,J525),0)</f>
        <v/>
      </c>
      <c r="L525" s="36" t="n">
        <v>512</v>
      </c>
      <c r="M525" s="21">
        <f>L525*H525</f>
        <v/>
      </c>
      <c r="N525" s="21">
        <f>IFERROR(IF(M525/K525&gt;1,K525,M525),0)</f>
        <v/>
      </c>
      <c r="O525" s="36" t="n">
        <v>520</v>
      </c>
      <c r="P525" s="21">
        <f>O525*H525</f>
        <v/>
      </c>
      <c r="Q525" s="30">
        <f>IF(MONTH(E525+1)=MONTH(E525+6),MONTH(E525+1),IF(MIN(EOMONTH(E525+1,0),E525+6)-(E525+1)+1&gt;=3,MONTH(E525+1),MONTH(E525+6)))</f>
        <v/>
      </c>
      <c r="R525" s="22">
        <f>IFERROR(K525/P525, 0)</f>
        <v/>
      </c>
      <c r="S525" s="38">
        <f>IFERROR(N525/P525,0)</f>
        <v/>
      </c>
      <c r="T525" s="31">
        <f>IFERROR(IF(N525&gt;0,(N525/K525),MIN(1,M525/J525)),0)</f>
        <v/>
      </c>
      <c r="U525" s="33" t="n"/>
    </row>
    <row r="526" hidden="1" s="40">
      <c r="A526" s="18" t="inlineStr">
        <is>
          <t>Semana 4 - março</t>
        </is>
      </c>
      <c r="B526" s="27">
        <f>YEAR(E526)</f>
        <v/>
      </c>
      <c r="C526" s="18">
        <f>INDEX({"Janeiro";"Fevereiro";"Março";"Abril";"Maio";"Junho";"Julho";"Agosto";"Setembro";"Outubro";"Novembro";"Dezembro"},Q526)</f>
        <v/>
      </c>
      <c r="D526" s="19" t="n">
        <v>4</v>
      </c>
      <c r="E526" s="20" t="n">
        <v>46104</v>
      </c>
      <c r="F526" s="18" t="inlineStr">
        <is>
          <t>Iogurte Coco 900g</t>
        </is>
      </c>
      <c r="G526" s="18" t="inlineStr">
        <is>
          <t>IOGURTE</t>
        </is>
      </c>
      <c r="H526" s="21" t="n">
        <v>0.9</v>
      </c>
      <c r="I526" s="36" t="n">
        <v>1800</v>
      </c>
      <c r="J526" s="21">
        <f>I526*H526</f>
        <v/>
      </c>
      <c r="K526" s="21">
        <f>IFERROR(IF(J526/P526&gt;1,P526,J526),0)</f>
        <v/>
      </c>
      <c r="L526" s="36" t="n">
        <v>1707</v>
      </c>
      <c r="M526" s="21">
        <f>L526*H526</f>
        <v/>
      </c>
      <c r="N526" s="21">
        <f>IFERROR(IF(M526/K526&gt;1,K526,M526),0)</f>
        <v/>
      </c>
      <c r="O526" s="36" t="n">
        <v>1800</v>
      </c>
      <c r="P526" s="21">
        <f>O526*H526</f>
        <v/>
      </c>
      <c r="Q526" s="30">
        <f>IF(MONTH(E526+1)=MONTH(E526+6),MONTH(E526+1),IF(MIN(EOMONTH(E526+1,0),E526+6)-(E526+1)+1&gt;=3,MONTH(E526+1),MONTH(E526+6)))</f>
        <v/>
      </c>
      <c r="R526" s="22">
        <f>IFERROR(K526/P526, 0)</f>
        <v/>
      </c>
      <c r="S526" s="38">
        <f>IFERROR(N526/P526,0)</f>
        <v/>
      </c>
      <c r="T526" s="31">
        <f>IFERROR(IF(N526&gt;0,(N526/K526),MIN(1,M526/J526)),0)</f>
        <v/>
      </c>
      <c r="U526" s="33" t="n"/>
    </row>
    <row r="527" hidden="1" s="40">
      <c r="A527" s="23" t="inlineStr">
        <is>
          <t>Semana 4 - março</t>
        </is>
      </c>
      <c r="B527" s="27">
        <f>YEAR(E527)</f>
        <v/>
      </c>
      <c r="C527" s="18">
        <f>INDEX({"Janeiro";"Fevereiro";"Março";"Abril";"Maio";"Junho";"Julho";"Agosto";"Setembro";"Outubro";"Novembro";"Dezembro"},Q527)</f>
        <v/>
      </c>
      <c r="D527" s="24" t="n">
        <v>4</v>
      </c>
      <c r="E527" s="25" t="n">
        <v>46104</v>
      </c>
      <c r="F527" s="23" t="inlineStr">
        <is>
          <t>Iogurte Grego Frutas vermelhas 120g</t>
        </is>
      </c>
      <c r="G527" s="23" t="inlineStr">
        <is>
          <t>IOGURTE</t>
        </is>
      </c>
      <c r="H527" s="26" t="n">
        <v>0.17</v>
      </c>
      <c r="I527" s="36" t="n">
        <v>0</v>
      </c>
      <c r="J527" s="21">
        <f>I527*H527</f>
        <v/>
      </c>
      <c r="K527" s="21">
        <f>IFERROR(IF(J527/P527&gt;1,P527,J527),0)</f>
        <v/>
      </c>
      <c r="L527" s="36" t="n">
        <v>0</v>
      </c>
      <c r="M527" s="21">
        <f>L527*H527</f>
        <v/>
      </c>
      <c r="N527" s="21">
        <f>IFERROR(IF(M527/K527&gt;1,K527,M527),0)</f>
        <v/>
      </c>
      <c r="O527" s="36" t="n">
        <v>1400</v>
      </c>
      <c r="P527" s="21">
        <f>O527*H527</f>
        <v/>
      </c>
      <c r="Q527" s="30">
        <f>IF(MONTH(E527+1)=MONTH(E527+6),MONTH(E527+1),IF(MIN(EOMONTH(E527+1,0),E527+6)-(E527+1)+1&gt;=3,MONTH(E527+1),MONTH(E527+6)))</f>
        <v/>
      </c>
      <c r="R527" s="22">
        <f>IFERROR(K527/P527, 0)</f>
        <v/>
      </c>
      <c r="S527" s="38">
        <f>IFERROR(N527/P527,0)</f>
        <v/>
      </c>
      <c r="T527" s="31">
        <f>IFERROR(IF(N527&gt;0,(N527/K527),MIN(1,M527/J527)),0)</f>
        <v/>
      </c>
      <c r="U527" s="33" t="n"/>
    </row>
    <row r="528" hidden="1" s="40">
      <c r="A528" s="23" t="inlineStr">
        <is>
          <t>Semana 4 - março</t>
        </is>
      </c>
      <c r="B528" s="27">
        <f>YEAR(E528)</f>
        <v/>
      </c>
      <c r="C528" s="18">
        <f>INDEX({"Janeiro";"Fevereiro";"Março";"Abril";"Maio";"Junho";"Julho";"Agosto";"Setembro";"Outubro";"Novembro";"Dezembro"},Q528)</f>
        <v/>
      </c>
      <c r="D528" s="24" t="n">
        <v>4</v>
      </c>
      <c r="E528" s="25" t="n">
        <v>46104</v>
      </c>
      <c r="F528" s="23" t="inlineStr">
        <is>
          <t>Iogurte Morango 120g</t>
        </is>
      </c>
      <c r="G528" s="23" t="inlineStr">
        <is>
          <t>IOGURTE</t>
        </is>
      </c>
      <c r="H528" s="26" t="n">
        <v>0.12</v>
      </c>
      <c r="I528" s="36" t="n">
        <v>20000</v>
      </c>
      <c r="J528" s="21">
        <f>I528*H528</f>
        <v/>
      </c>
      <c r="K528" s="21">
        <f>IFERROR(IF(J528/P528&gt;1,P528,J528),0)</f>
        <v/>
      </c>
      <c r="L528" s="36" t="n">
        <v>19306</v>
      </c>
      <c r="M528" s="21">
        <f>L528*H528</f>
        <v/>
      </c>
      <c r="N528" s="21">
        <f>IFERROR(IF(M528/K528&gt;1,K528,M528),0)</f>
        <v/>
      </c>
      <c r="O528" s="36" t="n">
        <v>32000</v>
      </c>
      <c r="P528" s="21">
        <f>O528*H528</f>
        <v/>
      </c>
      <c r="Q528" s="30">
        <f>IF(MONTH(E528+1)=MONTH(E528+6),MONTH(E528+1),IF(MIN(EOMONTH(E528+1,0),E528+6)-(E528+1)+1&gt;=3,MONTH(E528+1),MONTH(E528+6)))</f>
        <v/>
      </c>
      <c r="R528" s="22">
        <f>IFERROR(K528/P528, 0)</f>
        <v/>
      </c>
      <c r="S528" s="38">
        <f>IFERROR(N528/P528,0)</f>
        <v/>
      </c>
      <c r="T528" s="31">
        <f>IFERROR(IF(N528&gt;0,(N528/K528),MIN(1,M528/J528)),0)</f>
        <v/>
      </c>
      <c r="U528" s="33" t="n"/>
    </row>
    <row r="529" hidden="1" s="40">
      <c r="A529" s="18" t="inlineStr">
        <is>
          <t>Semana 4 - março</t>
        </is>
      </c>
      <c r="B529" s="27">
        <f>YEAR(E529)</f>
        <v/>
      </c>
      <c r="C529" s="18">
        <f>INDEX({"Janeiro";"Fevereiro";"Março";"Abril";"Maio";"Junho";"Julho";"Agosto";"Setembro";"Outubro";"Novembro";"Dezembro"},Q529)</f>
        <v/>
      </c>
      <c r="D529" s="19" t="n">
        <v>4</v>
      </c>
      <c r="E529" s="20" t="n">
        <v>46104</v>
      </c>
      <c r="F529" s="18" t="inlineStr">
        <is>
          <t>Iogurte Morango 185g</t>
        </is>
      </c>
      <c r="G529" s="18" t="inlineStr">
        <is>
          <t>IOGURTE</t>
        </is>
      </c>
      <c r="H529" s="21" t="n">
        <v>0.185</v>
      </c>
      <c r="I529" s="36" t="n">
        <v>2600</v>
      </c>
      <c r="J529" s="21">
        <f>I529*H529</f>
        <v/>
      </c>
      <c r="K529" s="21">
        <f>IFERROR(IF(J529/P529&gt;1,P529,J529),0)</f>
        <v/>
      </c>
      <c r="L529" s="36" t="n">
        <v>1283</v>
      </c>
      <c r="M529" s="21">
        <f>L529*H529</f>
        <v/>
      </c>
      <c r="N529" s="21">
        <f>IFERROR(IF(M529/K529&gt;1,K529,M529),0)</f>
        <v/>
      </c>
      <c r="O529" s="36" t="n">
        <v>1300</v>
      </c>
      <c r="P529" s="21">
        <f>O529*H529</f>
        <v/>
      </c>
      <c r="Q529" s="30">
        <f>IF(MONTH(E529+1)=MONTH(E529+6),MONTH(E529+1),IF(MIN(EOMONTH(E529+1,0),E529+6)-(E529+1)+1&gt;=3,MONTH(E529+1),MONTH(E529+6)))</f>
        <v/>
      </c>
      <c r="R529" s="22">
        <f>IFERROR(K529/P529, 0)</f>
        <v/>
      </c>
      <c r="S529" s="38">
        <f>IFERROR(N529/P529,0)</f>
        <v/>
      </c>
      <c r="T529" s="31">
        <f>IFERROR(IF(N529&gt;0,(N529/K529),MIN(1,M529/J529)),0)</f>
        <v/>
      </c>
      <c r="U529" s="33" t="n"/>
    </row>
    <row r="530" hidden="1" s="40">
      <c r="A530" s="23" t="inlineStr">
        <is>
          <t>Semana 4 - março</t>
        </is>
      </c>
      <c r="B530" s="27">
        <f>YEAR(E530)</f>
        <v/>
      </c>
      <c r="C530" s="18">
        <f>INDEX({"Janeiro";"Fevereiro";"Março";"Abril";"Maio";"Junho";"Julho";"Agosto";"Setembro";"Outubro";"Novembro";"Dezembro"},Q530)</f>
        <v/>
      </c>
      <c r="D530" s="24" t="n">
        <v>4</v>
      </c>
      <c r="E530" s="25" t="n">
        <v>46104</v>
      </c>
      <c r="F530" s="23" t="inlineStr">
        <is>
          <t>Iogurte Morango 900G</t>
        </is>
      </c>
      <c r="G530" s="23" t="inlineStr">
        <is>
          <t>IOGURTE</t>
        </is>
      </c>
      <c r="H530" s="26" t="n">
        <v>0.9</v>
      </c>
      <c r="I530" s="36" t="n">
        <v>7130</v>
      </c>
      <c r="J530" s="21">
        <f>I530*H530</f>
        <v/>
      </c>
      <c r="K530" s="21">
        <f>IFERROR(IF(J530/P530&gt;1,P530,J530),0)</f>
        <v/>
      </c>
      <c r="L530" s="36" t="n">
        <v>7046</v>
      </c>
      <c r="M530" s="21">
        <f>L530*H530</f>
        <v/>
      </c>
      <c r="N530" s="21">
        <f>IFERROR(IF(M530/K530&gt;1,K530,M530),0)</f>
        <v/>
      </c>
      <c r="O530" s="36" t="n">
        <v>5200</v>
      </c>
      <c r="P530" s="21">
        <f>O530*H530</f>
        <v/>
      </c>
      <c r="Q530" s="30">
        <f>IF(MONTH(E530+1)=MONTH(E530+6),MONTH(E530+1),IF(MIN(EOMONTH(E530+1,0),E530+6)-(E530+1)+1&gt;=3,MONTH(E530+1),MONTH(E530+6)))</f>
        <v/>
      </c>
      <c r="R530" s="22">
        <f>IFERROR(K530/P530, 0)</f>
        <v/>
      </c>
      <c r="S530" s="38">
        <f>IFERROR(N530/P530,0)</f>
        <v/>
      </c>
      <c r="T530" s="31">
        <f>IFERROR(IF(N530&gt;0,(N530/K530),MIN(1,M530/J530)),0)</f>
        <v/>
      </c>
      <c r="U530" s="33" t="n"/>
    </row>
    <row r="531" hidden="1" s="40">
      <c r="A531" s="18" t="inlineStr">
        <is>
          <t>Semana 4 - março</t>
        </is>
      </c>
      <c r="B531" s="27">
        <f>YEAR(E531)</f>
        <v/>
      </c>
      <c r="C531" s="18">
        <f>INDEX({"Janeiro";"Fevereiro";"Março";"Abril";"Maio";"Junho";"Julho";"Agosto";"Setembro";"Outubro";"Novembro";"Dezembro"},Q531)</f>
        <v/>
      </c>
      <c r="D531" s="19" t="n">
        <v>4</v>
      </c>
      <c r="E531" s="20" t="n">
        <v>46104</v>
      </c>
      <c r="F531" s="18" t="inlineStr">
        <is>
          <t>Iogurte Natural Integral 170g</t>
        </is>
      </c>
      <c r="G531" s="18" t="inlineStr">
        <is>
          <t>IOGURTE</t>
        </is>
      </c>
      <c r="H531" s="21" t="n">
        <v>0.17</v>
      </c>
      <c r="I531" s="36" t="n">
        <v>3820</v>
      </c>
      <c r="J531" s="21">
        <f>I531*H531</f>
        <v/>
      </c>
      <c r="K531" s="21">
        <f>IFERROR(IF(J531/P531&gt;1,P531,J531),0)</f>
        <v/>
      </c>
      <c r="L531" s="36" t="n">
        <v>3292</v>
      </c>
      <c r="M531" s="21">
        <f>L531*H531</f>
        <v/>
      </c>
      <c r="N531" s="21">
        <f>IFERROR(IF(M531/K531&gt;1,K531,M531),0)</f>
        <v/>
      </c>
      <c r="O531" s="36" t="n">
        <v>3800</v>
      </c>
      <c r="P531" s="21">
        <f>O531*H531</f>
        <v/>
      </c>
      <c r="Q531" s="30">
        <f>IF(MONTH(E531+1)=MONTH(E531+6),MONTH(E531+1),IF(MIN(EOMONTH(E531+1,0),E531+6)-(E531+1)+1&gt;=3,MONTH(E531+1),MONTH(E531+6)))</f>
        <v/>
      </c>
      <c r="R531" s="22">
        <f>IFERROR(K531/P531, 0)</f>
        <v/>
      </c>
      <c r="S531" s="38">
        <f>IFERROR(N531/P531,0)</f>
        <v/>
      </c>
      <c r="T531" s="31">
        <f>IFERROR(IF(N531&gt;0,(N531/K531),MIN(1,M531/J531)),0)</f>
        <v/>
      </c>
      <c r="U531" s="33" t="n"/>
    </row>
    <row r="532" hidden="1" s="40">
      <c r="A532" s="23" t="inlineStr">
        <is>
          <t>Semana 4 - março</t>
        </is>
      </c>
      <c r="B532" s="27">
        <f>YEAR(E532)</f>
        <v/>
      </c>
      <c r="C532" s="18">
        <f>INDEX({"Janeiro";"Fevereiro";"Março";"Abril";"Maio";"Junho";"Julho";"Agosto";"Setembro";"Outubro";"Novembro";"Dezembro"},Q532)</f>
        <v/>
      </c>
      <c r="D532" s="24" t="n">
        <v>4</v>
      </c>
      <c r="E532" s="25" t="n">
        <v>46104</v>
      </c>
      <c r="F532" s="23" t="inlineStr">
        <is>
          <t>Iogurte Natural Triplo Zero 170g</t>
        </is>
      </c>
      <c r="G532" s="23" t="inlineStr">
        <is>
          <t>IOGURTE</t>
        </is>
      </c>
      <c r="H532" s="26" t="n">
        <v>0.17</v>
      </c>
      <c r="I532" s="36" t="n">
        <v>3820</v>
      </c>
      <c r="J532" s="21">
        <f>I532*H532</f>
        <v/>
      </c>
      <c r="K532" s="21">
        <f>IFERROR(IF(J532/P532&gt;1,P532,J532),0)</f>
        <v/>
      </c>
      <c r="L532" s="36" t="n">
        <v>3624</v>
      </c>
      <c r="M532" s="21">
        <f>L532*H532</f>
        <v/>
      </c>
      <c r="N532" s="21">
        <f>IFERROR(IF(M532/K532&gt;1,K532,M532),0)</f>
        <v/>
      </c>
      <c r="O532" s="36" t="n">
        <v>3800</v>
      </c>
      <c r="P532" s="21">
        <f>O532*H532</f>
        <v/>
      </c>
      <c r="Q532" s="30">
        <f>IF(MONTH(E532+1)=MONTH(E532+6),MONTH(E532+1),IF(MIN(EOMONTH(E532+1,0),E532+6)-(E532+1)+1&gt;=3,MONTH(E532+1),MONTH(E532+6)))</f>
        <v/>
      </c>
      <c r="R532" s="22">
        <f>IFERROR(K532/P532, 0)</f>
        <v/>
      </c>
      <c r="S532" s="38">
        <f>IFERROR(N532/P532,0)</f>
        <v/>
      </c>
      <c r="T532" s="31">
        <f>IFERROR(IF(N532&gt;0,(N532/K532),MIN(1,M532/J532)),0)</f>
        <v/>
      </c>
      <c r="U532" s="33" t="n"/>
    </row>
    <row r="533" hidden="1" s="40">
      <c r="A533" s="23" t="inlineStr">
        <is>
          <t>Semana 4 - março</t>
        </is>
      </c>
      <c r="B533" s="27">
        <f>YEAR(E533)</f>
        <v/>
      </c>
      <c r="C533" s="18">
        <f>INDEX({"Janeiro";"Fevereiro";"Março";"Abril";"Maio";"Junho";"Julho";"Agosto";"Setembro";"Outubro";"Novembro";"Dezembro"},Q533)</f>
        <v/>
      </c>
      <c r="D533" s="24" t="n">
        <v>4</v>
      </c>
      <c r="E533" s="25" t="n">
        <v>46104</v>
      </c>
      <c r="F533" s="23" t="inlineStr">
        <is>
          <t>Iogurte Salada 120g</t>
        </is>
      </c>
      <c r="G533" s="23" t="inlineStr">
        <is>
          <t>IOGURTE</t>
        </is>
      </c>
      <c r="H533" s="26" t="n">
        <v>0.12</v>
      </c>
      <c r="I533" s="36" t="n">
        <v>0</v>
      </c>
      <c r="J533" s="21">
        <f>I533*H533</f>
        <v/>
      </c>
      <c r="K533" s="21">
        <f>IFERROR(IF(J533/P533&gt;1,P533,J533),0)</f>
        <v/>
      </c>
      <c r="L533" s="36" t="n">
        <v>0</v>
      </c>
      <c r="M533" s="21">
        <f>L533*H533</f>
        <v/>
      </c>
      <c r="N533" s="21">
        <f>IFERROR(IF(M533/K533&gt;1,K533,M533),0)</f>
        <v/>
      </c>
      <c r="O533" s="36" t="n">
        <v>3000</v>
      </c>
      <c r="P533" s="21">
        <f>O533*H533</f>
        <v/>
      </c>
      <c r="Q533" s="30">
        <f>IF(MONTH(E533+1)=MONTH(E533+6),MONTH(E533+1),IF(MIN(EOMONTH(E533+1,0),E533+6)-(E533+1)+1&gt;=3,MONTH(E533+1),MONTH(E533+6)))</f>
        <v/>
      </c>
      <c r="R533" s="22">
        <f>IFERROR(K533/P533, 0)</f>
        <v/>
      </c>
      <c r="S533" s="38">
        <f>IFERROR(N533/P533,0)</f>
        <v/>
      </c>
      <c r="T533" s="31">
        <f>IFERROR(IF(N533&gt;0,(N533/K533),MIN(1,M533/J533)),0)</f>
        <v/>
      </c>
      <c r="U533" s="33" t="n"/>
    </row>
    <row r="534" hidden="1" s="40">
      <c r="A534" s="18" t="inlineStr">
        <is>
          <t>Semana 4 - março</t>
        </is>
      </c>
      <c r="B534" s="27">
        <f>YEAR(E534)</f>
        <v/>
      </c>
      <c r="C534" s="18">
        <f>INDEX({"Janeiro";"Fevereiro";"Março";"Abril";"Maio";"Junho";"Julho";"Agosto";"Setembro";"Outubro";"Novembro";"Dezembro"},Q534)</f>
        <v/>
      </c>
      <c r="D534" s="19" t="n">
        <v>4</v>
      </c>
      <c r="E534" s="20" t="n">
        <v>46104</v>
      </c>
      <c r="F534" s="18" t="inlineStr">
        <is>
          <t>Iogurte Salada 185g</t>
        </is>
      </c>
      <c r="G534" s="18" t="inlineStr">
        <is>
          <t>IOGURTE</t>
        </is>
      </c>
      <c r="H534" s="21" t="n">
        <v>0.185</v>
      </c>
      <c r="I534" s="36" t="n">
        <v>260</v>
      </c>
      <c r="J534" s="21">
        <f>I534*H534</f>
        <v/>
      </c>
      <c r="K534" s="21">
        <f>IFERROR(IF(J534/P534&gt;1,P534,J534),0)</f>
        <v/>
      </c>
      <c r="L534" s="36" t="n">
        <v>226</v>
      </c>
      <c r="M534" s="21">
        <f>L534*H534</f>
        <v/>
      </c>
      <c r="N534" s="21">
        <f>IFERROR(IF(M534/K534&gt;1,K534,M534),0)</f>
        <v/>
      </c>
      <c r="O534" s="36" t="n">
        <v>520</v>
      </c>
      <c r="P534" s="21">
        <f>O534*H534</f>
        <v/>
      </c>
      <c r="Q534" s="30">
        <f>IF(MONTH(E534+1)=MONTH(E534+6),MONTH(E534+1),IF(MIN(EOMONTH(E534+1,0),E534+6)-(E534+1)+1&gt;=3,MONTH(E534+1),MONTH(E534+6)))</f>
        <v/>
      </c>
      <c r="R534" s="22">
        <f>IFERROR(K534/P534, 0)</f>
        <v/>
      </c>
      <c r="S534" s="38">
        <f>IFERROR(N534/P534,0)</f>
        <v/>
      </c>
      <c r="T534" s="31">
        <f>IFERROR(IF(N534&gt;0,(N534/K534),MIN(1,M534/J534)),0)</f>
        <v/>
      </c>
      <c r="U534" s="33" t="n"/>
    </row>
    <row r="535" hidden="1" s="40">
      <c r="A535" s="23" t="inlineStr">
        <is>
          <t>Semana 4 - março</t>
        </is>
      </c>
      <c r="B535" s="27">
        <f>YEAR(E535)</f>
        <v/>
      </c>
      <c r="C535" s="18">
        <f>INDEX({"Janeiro";"Fevereiro";"Março";"Abril";"Maio";"Junho";"Julho";"Agosto";"Setembro";"Outubro";"Novembro";"Dezembro"},Q535)</f>
        <v/>
      </c>
      <c r="D535" s="24" t="n">
        <v>4</v>
      </c>
      <c r="E535" s="25" t="n">
        <v>46104</v>
      </c>
      <c r="F535" s="23" t="inlineStr">
        <is>
          <t>Iogurte Salada 900g</t>
        </is>
      </c>
      <c r="G535" s="23" t="inlineStr">
        <is>
          <t>IOGURTE</t>
        </is>
      </c>
      <c r="H535" s="26" t="n">
        <v>0.9</v>
      </c>
      <c r="I535" s="36" t="n">
        <v>1420</v>
      </c>
      <c r="J535" s="21">
        <f>I535*H535</f>
        <v/>
      </c>
      <c r="K535" s="21">
        <f>IFERROR(IF(J535/P535&gt;1,P535,J535),0)</f>
        <v/>
      </c>
      <c r="L535" s="36" t="n">
        <v>1419</v>
      </c>
      <c r="M535" s="21">
        <f>L535*H535</f>
        <v/>
      </c>
      <c r="N535" s="21">
        <f>IFERROR(IF(M535/K535&gt;1,K535,M535),0)</f>
        <v/>
      </c>
      <c r="O535" s="36" t="n">
        <v>1080</v>
      </c>
      <c r="P535" s="21">
        <f>O535*H535</f>
        <v/>
      </c>
      <c r="Q535" s="30">
        <f>IF(MONTH(E535+1)=MONTH(E535+6),MONTH(E535+1),IF(MIN(EOMONTH(E535+1,0),E535+6)-(E535+1)+1&gt;=3,MONTH(E535+1),MONTH(E535+6)))</f>
        <v/>
      </c>
      <c r="R535" s="22">
        <f>IFERROR(K535/P535, 0)</f>
        <v/>
      </c>
      <c r="S535" s="38">
        <f>IFERROR(N535/P535,0)</f>
        <v/>
      </c>
      <c r="T535" s="31">
        <f>IFERROR(IF(N535&gt;0,(N535/K535),MIN(1,M535/J535)),0)</f>
        <v/>
      </c>
      <c r="U535" s="33" t="n"/>
    </row>
    <row r="536" hidden="1" s="40">
      <c r="A536" s="18" t="inlineStr">
        <is>
          <t>Semana 4 - março</t>
        </is>
      </c>
      <c r="B536" s="27">
        <f>YEAR(E536)</f>
        <v/>
      </c>
      <c r="C536" s="18">
        <f>INDEX({"Janeiro";"Fevereiro";"Março";"Abril";"Maio";"Junho";"Julho";"Agosto";"Setembro";"Outubro";"Novembro";"Dezembro"},Q536)</f>
        <v/>
      </c>
      <c r="D536" s="19" t="n">
        <v>4</v>
      </c>
      <c r="E536" s="20" t="n">
        <v>46104</v>
      </c>
      <c r="F536" s="18" t="inlineStr">
        <is>
          <t>Iogurte Vida Leve Ameixa c/ Grãos 180g</t>
        </is>
      </c>
      <c r="G536" s="18" t="inlineStr">
        <is>
          <t>IOGURTE</t>
        </is>
      </c>
      <c r="H536" s="21" t="n">
        <v>0.18</v>
      </c>
      <c r="I536" s="36" t="n">
        <v>1100</v>
      </c>
      <c r="J536" s="21">
        <f>I536*H536</f>
        <v/>
      </c>
      <c r="K536" s="21">
        <f>IFERROR(IF(J536/P536&gt;1,P536,J536),0)</f>
        <v/>
      </c>
      <c r="L536" s="36" t="n">
        <v>893</v>
      </c>
      <c r="M536" s="21">
        <f>L536*H536</f>
        <v/>
      </c>
      <c r="N536" s="21">
        <f>IFERROR(IF(M536/K536&gt;1,K536,M536),0)</f>
        <v/>
      </c>
      <c r="O536" s="36" t="n">
        <v>0</v>
      </c>
      <c r="P536" s="21">
        <f>O536*H536</f>
        <v/>
      </c>
      <c r="Q536" s="30">
        <f>IF(MONTH(E536+1)=MONTH(E536+6),MONTH(E536+1),IF(MIN(EOMONTH(E536+1,0),E536+6)-(E536+1)+1&gt;=3,MONTH(E536+1),MONTH(E536+6)))</f>
        <v/>
      </c>
      <c r="R536" s="22">
        <f>IFERROR(K536/P536, 0)</f>
        <v/>
      </c>
      <c r="S536" s="38">
        <f>IFERROR(N536/P536,0)</f>
        <v/>
      </c>
      <c r="T536" s="31">
        <f>IFERROR(IF(N536&gt;0,(N536/K536),MIN(1,M536/J536)),0)</f>
        <v/>
      </c>
      <c r="U536" s="33" t="n"/>
    </row>
    <row r="537" hidden="1" s="40">
      <c r="A537" s="23" t="inlineStr">
        <is>
          <t>Semana 4 - março</t>
        </is>
      </c>
      <c r="B537" s="27">
        <f>YEAR(E537)</f>
        <v/>
      </c>
      <c r="C537" s="18">
        <f>INDEX({"Janeiro";"Fevereiro";"Março";"Abril";"Maio";"Junho";"Julho";"Agosto";"Setembro";"Outubro";"Novembro";"Dezembro"},Q537)</f>
        <v/>
      </c>
      <c r="D537" s="24" t="n">
        <v>4</v>
      </c>
      <c r="E537" s="25" t="n">
        <v>46104</v>
      </c>
      <c r="F537" s="23" t="inlineStr">
        <is>
          <t>Iogurte Vida Leve Ameixa c/ Grãos 500g</t>
        </is>
      </c>
      <c r="G537" s="23" t="inlineStr">
        <is>
          <t>IOGURTE</t>
        </is>
      </c>
      <c r="H537" s="26" t="n">
        <v>0.5</v>
      </c>
      <c r="I537" s="36" t="n">
        <v>1300</v>
      </c>
      <c r="J537" s="21">
        <f>I537*H537</f>
        <v/>
      </c>
      <c r="K537" s="21">
        <f>IFERROR(IF(J537/P537&gt;1,P537,J537),0)</f>
        <v/>
      </c>
      <c r="L537" s="36" t="n">
        <v>1303</v>
      </c>
      <c r="M537" s="21">
        <f>L537*H537</f>
        <v/>
      </c>
      <c r="N537" s="21">
        <f>IFERROR(IF(M537/K537&gt;1,K537,M537),0)</f>
        <v/>
      </c>
      <c r="O537" s="36" t="n">
        <v>0</v>
      </c>
      <c r="P537" s="21">
        <f>O537*H537</f>
        <v/>
      </c>
      <c r="Q537" s="30">
        <f>IF(MONTH(E537+1)=MONTH(E537+6),MONTH(E537+1),IF(MIN(EOMONTH(E537+1,0),E537+6)-(E537+1)+1&gt;=3,MONTH(E537+1),MONTH(E537+6)))</f>
        <v/>
      </c>
      <c r="R537" s="22">
        <f>IFERROR(K537/P537, 0)</f>
        <v/>
      </c>
      <c r="S537" s="38">
        <f>IFERROR(N537/P537,0)</f>
        <v/>
      </c>
      <c r="T537" s="31">
        <f>IFERROR(IF(N537&gt;0,(N537/K537),MIN(1,M537/J537)),0)</f>
        <v/>
      </c>
      <c r="U537" s="33" t="n"/>
    </row>
    <row r="538" hidden="1" s="40">
      <c r="A538" s="18" t="inlineStr">
        <is>
          <t>Semana 4 - março</t>
        </is>
      </c>
      <c r="B538" s="27">
        <f>YEAR(E538)</f>
        <v/>
      </c>
      <c r="C538" s="18">
        <f>INDEX({"Janeiro";"Fevereiro";"Março";"Abril";"Maio";"Junho";"Julho";"Agosto";"Setembro";"Outubro";"Novembro";"Dezembro"},Q538)</f>
        <v/>
      </c>
      <c r="D538" s="19" t="n">
        <v>4</v>
      </c>
      <c r="E538" s="20" t="n">
        <v>46104</v>
      </c>
      <c r="F538" s="18" t="inlineStr">
        <is>
          <t>Iogurte Vida Leve Morango 180g</t>
        </is>
      </c>
      <c r="G538" s="18" t="inlineStr">
        <is>
          <t>IOGURTE</t>
        </is>
      </c>
      <c r="H538" s="21" t="n">
        <v>0.185</v>
      </c>
      <c r="I538" s="36" t="n">
        <v>1800</v>
      </c>
      <c r="J538" s="21">
        <f>I538*H538</f>
        <v/>
      </c>
      <c r="K538" s="21">
        <f>IFERROR(IF(J538/P538&gt;1,P538,J538),0)</f>
        <v/>
      </c>
      <c r="L538" s="36" t="n">
        <v>1820</v>
      </c>
      <c r="M538" s="21">
        <f>L538*H538</f>
        <v/>
      </c>
      <c r="N538" s="21">
        <f>IFERROR(IF(M538/K538&gt;1,K538,M538),0)</f>
        <v/>
      </c>
      <c r="O538" s="36" t="n">
        <v>0</v>
      </c>
      <c r="P538" s="21">
        <f>O538*H538</f>
        <v/>
      </c>
      <c r="Q538" s="30">
        <f>IF(MONTH(E538+1)=MONTH(E538+6),MONTH(E538+1),IF(MIN(EOMONTH(E538+1,0),E538+6)-(E538+1)+1&gt;=3,MONTH(E538+1),MONTH(E538+6)))</f>
        <v/>
      </c>
      <c r="R538" s="22">
        <f>IFERROR(K538/P538, 0)</f>
        <v/>
      </c>
      <c r="S538" s="38">
        <f>IFERROR(N538/P538,0)</f>
        <v/>
      </c>
      <c r="T538" s="31">
        <f>IFERROR(IF(N538&gt;0,(N538/K538),MIN(1,M538/J538)),0)</f>
        <v/>
      </c>
      <c r="U538" s="33" t="n"/>
    </row>
    <row r="539" hidden="1" s="40">
      <c r="A539" s="23" t="inlineStr">
        <is>
          <t>Semana 4 - março</t>
        </is>
      </c>
      <c r="B539" s="27">
        <f>YEAR(E539)</f>
        <v/>
      </c>
      <c r="C539" s="18">
        <f>INDEX({"Janeiro";"Fevereiro";"Março";"Abril";"Maio";"Junho";"Julho";"Agosto";"Setembro";"Outubro";"Novembro";"Dezembro"},Q539)</f>
        <v/>
      </c>
      <c r="D539" s="24" t="n">
        <v>4</v>
      </c>
      <c r="E539" s="25" t="n">
        <v>46104</v>
      </c>
      <c r="F539" s="23" t="inlineStr">
        <is>
          <t>Iogurte Vida Leve Morango 500g</t>
        </is>
      </c>
      <c r="G539" s="23" t="inlineStr">
        <is>
          <t>IOGURTE</t>
        </is>
      </c>
      <c r="H539" s="26" t="n">
        <v>0.5</v>
      </c>
      <c r="I539" s="36" t="n">
        <v>2500</v>
      </c>
      <c r="J539" s="21">
        <f>I539*H539</f>
        <v/>
      </c>
      <c r="K539" s="21">
        <f>IFERROR(IF(J539/P539&gt;1,P539,J539),0)</f>
        <v/>
      </c>
      <c r="L539" s="36" t="n">
        <v>2087</v>
      </c>
      <c r="M539" s="21">
        <f>L539*H539</f>
        <v/>
      </c>
      <c r="N539" s="21">
        <f>IFERROR(IF(M539/K539&gt;1,K539,M539),0)</f>
        <v/>
      </c>
      <c r="O539" s="36" t="n">
        <v>0</v>
      </c>
      <c r="P539" s="21">
        <f>O539*H539</f>
        <v/>
      </c>
      <c r="Q539" s="30">
        <f>IF(MONTH(E539+1)=MONTH(E539+6),MONTH(E539+1),IF(MIN(EOMONTH(E539+1,0),E539+6)-(E539+1)+1&gt;=3,MONTH(E539+1),MONTH(E539+6)))</f>
        <v/>
      </c>
      <c r="R539" s="22">
        <f>IFERROR(K539/P539, 0)</f>
        <v/>
      </c>
      <c r="S539" s="38">
        <f>IFERROR(N539/P539,0)</f>
        <v/>
      </c>
      <c r="T539" s="31">
        <f>IFERROR(IF(N539&gt;0,(N539/K539),MIN(1,M539/J539)),0)</f>
        <v/>
      </c>
      <c r="U539" s="33" t="n"/>
    </row>
    <row r="540" hidden="1" s="40">
      <c r="A540" s="18" t="inlineStr">
        <is>
          <t>Semana 4 - março</t>
        </is>
      </c>
      <c r="B540" s="27">
        <f>YEAR(E540)</f>
        <v/>
      </c>
      <c r="C540" s="18">
        <f>INDEX({"Janeiro";"Fevereiro";"Março";"Abril";"Maio";"Junho";"Julho";"Agosto";"Setembro";"Outubro";"Novembro";"Dezembro"},Q540)</f>
        <v/>
      </c>
      <c r="D540" s="19" t="n">
        <v>4</v>
      </c>
      <c r="E540" s="20" t="n">
        <v>46104</v>
      </c>
      <c r="F540" s="18" t="inlineStr">
        <is>
          <t>LEITE PASTEURIZADO VIÇOSA DESNATADO</t>
        </is>
      </c>
      <c r="G540" s="18" t="inlineStr">
        <is>
          <t>LEITE PAST.</t>
        </is>
      </c>
      <c r="H540" s="21" t="n">
        <v>1</v>
      </c>
      <c r="I540" s="36" t="n">
        <v>530</v>
      </c>
      <c r="J540" s="21">
        <f>I540*H540</f>
        <v/>
      </c>
      <c r="K540" s="21">
        <f>IFERROR(IF(J540/P540&gt;1,P540,J540),0)</f>
        <v/>
      </c>
      <c r="L540" s="36" t="n">
        <v>630</v>
      </c>
      <c r="M540" s="21">
        <f>L540*H540</f>
        <v/>
      </c>
      <c r="N540" s="21">
        <f>IFERROR(IF(M540/K540&gt;1,K540,M540),0)</f>
        <v/>
      </c>
      <c r="O540" s="36" t="n">
        <v>530</v>
      </c>
      <c r="P540" s="21">
        <f>O540*H540</f>
        <v/>
      </c>
      <c r="Q540" s="30">
        <f>IF(MONTH(E540+1)=MONTH(E540+6),MONTH(E540+1),IF(MIN(EOMONTH(E540+1,0),E540+6)-(E540+1)+1&gt;=3,MONTH(E540+1),MONTH(E540+6)))</f>
        <v/>
      </c>
      <c r="R540" s="22">
        <f>IFERROR(K540/P540, 0)</f>
        <v/>
      </c>
      <c r="S540" s="38">
        <f>IFERROR(N540/P540,0)</f>
        <v/>
      </c>
      <c r="T540" s="31">
        <f>IFERROR(IF(N540&gt;0,(N540/K540),MIN(1,M540/J540)),0)</f>
        <v/>
      </c>
      <c r="U540" s="33" t="n"/>
    </row>
    <row r="541" hidden="1" s="40">
      <c r="A541" s="23" t="inlineStr">
        <is>
          <t>Semana 4 - março</t>
        </is>
      </c>
      <c r="B541" s="27">
        <f>YEAR(E541)</f>
        <v/>
      </c>
      <c r="C541" s="18">
        <f>INDEX({"Janeiro";"Fevereiro";"Março";"Abril";"Maio";"Junho";"Julho";"Agosto";"Setembro";"Outubro";"Novembro";"Dezembro"},Q541)</f>
        <v/>
      </c>
      <c r="D541" s="24" t="n">
        <v>4</v>
      </c>
      <c r="E541" s="25" t="n">
        <v>46104</v>
      </c>
      <c r="F541" s="23" t="inlineStr">
        <is>
          <t>LEITE PASTEURIZADO VIÇOSA INTEGRAL</t>
        </is>
      </c>
      <c r="G541" s="23" t="inlineStr">
        <is>
          <t>LEITE PAST.</t>
        </is>
      </c>
      <c r="H541" s="26" t="n">
        <v>1</v>
      </c>
      <c r="I541" s="36" t="n">
        <v>14900</v>
      </c>
      <c r="J541" s="21">
        <f>I541*H541</f>
        <v/>
      </c>
      <c r="K541" s="21">
        <f>IFERROR(IF(J541/P541&gt;1,P541,J541),0)</f>
        <v/>
      </c>
      <c r="L541" s="36" t="n">
        <v>18762</v>
      </c>
      <c r="M541" s="21">
        <f>L541*H541</f>
        <v/>
      </c>
      <c r="N541" s="21">
        <f>IFERROR(IF(M541/K541&gt;1,K541,M541),0)</f>
        <v/>
      </c>
      <c r="O541" s="36" t="n">
        <v>14900</v>
      </c>
      <c r="P541" s="21">
        <f>O541*H541</f>
        <v/>
      </c>
      <c r="Q541" s="30">
        <f>IF(MONTH(E541+1)=MONTH(E541+6),MONTH(E541+1),IF(MIN(EOMONTH(E541+1,0),E541+6)-(E541+1)+1&gt;=3,MONTH(E541+1),MONTH(E541+6)))</f>
        <v/>
      </c>
      <c r="R541" s="22">
        <f>IFERROR(K541/P541, 0)</f>
        <v/>
      </c>
      <c r="S541" s="38">
        <f>IFERROR(N541/P541,0)</f>
        <v/>
      </c>
      <c r="T541" s="31">
        <f>IFERROR(IF(N541&gt;0,(N541/K541),MIN(1,M541/J541)),0)</f>
        <v/>
      </c>
      <c r="U541" s="33" t="n"/>
    </row>
    <row r="542" hidden="1" s="40">
      <c r="A542" s="18" t="inlineStr">
        <is>
          <t>Semana 4 - março</t>
        </is>
      </c>
      <c r="B542" s="27">
        <f>YEAR(E542)</f>
        <v/>
      </c>
      <c r="C542" s="18">
        <f>INDEX({"Janeiro";"Fevereiro";"Março";"Abril";"Maio";"Junho";"Julho";"Agosto";"Setembro";"Outubro";"Novembro";"Dezembro"},Q542)</f>
        <v/>
      </c>
      <c r="D542" s="19" t="n">
        <v>4</v>
      </c>
      <c r="E542" s="20" t="n">
        <v>46104</v>
      </c>
      <c r="F542" s="18" t="inlineStr">
        <is>
          <t>LEITE PASTEURIZADO VIÇOSA ZERO LACTOSE INTEGRAL 1 L</t>
        </is>
      </c>
      <c r="G542" s="18" t="inlineStr">
        <is>
          <t>LEITE PAST.</t>
        </is>
      </c>
      <c r="H542" s="21" t="n">
        <v>1</v>
      </c>
      <c r="I542" s="36" t="n">
        <v>620</v>
      </c>
      <c r="J542" s="21">
        <f>I542*H542</f>
        <v/>
      </c>
      <c r="K542" s="21">
        <f>IFERROR(IF(J542/P542&gt;1,P542,J542),0)</f>
        <v/>
      </c>
      <c r="L542" s="36" t="n">
        <v>765</v>
      </c>
      <c r="M542" s="21">
        <f>L542*H542</f>
        <v/>
      </c>
      <c r="N542" s="21">
        <f>IFERROR(IF(M542/K542&gt;1,K542,M542),0)</f>
        <v/>
      </c>
      <c r="O542" s="36" t="n">
        <v>620</v>
      </c>
      <c r="P542" s="21">
        <f>O542*H542</f>
        <v/>
      </c>
      <c r="Q542" s="30">
        <f>IF(MONTH(E542+1)=MONTH(E542+6),MONTH(E542+1),IF(MIN(EOMONTH(E542+1,0),E542+6)-(E542+1)+1&gt;=3,MONTH(E542+1),MONTH(E542+6)))</f>
        <v/>
      </c>
      <c r="R542" s="22">
        <f>IFERROR(K542/P542, 0)</f>
        <v/>
      </c>
      <c r="S542" s="38">
        <f>IFERROR(N542/P542,0)</f>
        <v/>
      </c>
      <c r="T542" s="31">
        <f>IFERROR(IF(N542&gt;0,(N542/K542),MIN(1,M542/J542)),0)</f>
        <v/>
      </c>
      <c r="U542" s="33" t="n"/>
    </row>
    <row r="543" hidden="1" s="40">
      <c r="A543" s="23" t="inlineStr">
        <is>
          <t>Semana 4 - março</t>
        </is>
      </c>
      <c r="B543" s="27">
        <f>YEAR(E543)</f>
        <v/>
      </c>
      <c r="C543" s="18">
        <f>INDEX({"Janeiro";"Fevereiro";"Março";"Abril";"Maio";"Junho";"Julho";"Agosto";"Setembro";"Outubro";"Novembro";"Dezembro"},Q543)</f>
        <v/>
      </c>
      <c r="D543" s="24" t="n">
        <v>4</v>
      </c>
      <c r="E543" s="25" t="n">
        <v>46104</v>
      </c>
      <c r="F543" s="23" t="inlineStr">
        <is>
          <t>Manteiga 200g</t>
        </is>
      </c>
      <c r="G543" s="23" t="inlineStr">
        <is>
          <t>MANTEIGA</t>
        </is>
      </c>
      <c r="H543" s="26" t="n">
        <v>0.2</v>
      </c>
      <c r="I543" s="36" t="n">
        <v>3750</v>
      </c>
      <c r="J543" s="21">
        <f>I543*H543</f>
        <v/>
      </c>
      <c r="K543" s="21">
        <f>IFERROR(IF(J543/P543&gt;1,P543,J543),0)</f>
        <v/>
      </c>
      <c r="L543" s="36" t="n">
        <v>3536</v>
      </c>
      <c r="M543" s="21">
        <f>L543*H543</f>
        <v/>
      </c>
      <c r="N543" s="21">
        <f>IFERROR(IF(M543/K543&gt;1,K543,M543),0)</f>
        <v/>
      </c>
      <c r="O543" s="36" t="n">
        <v>2500</v>
      </c>
      <c r="P543" s="21">
        <f>O543*H543</f>
        <v/>
      </c>
      <c r="Q543" s="30">
        <f>IF(MONTH(E543+1)=MONTH(E543+6),MONTH(E543+1),IF(MIN(EOMONTH(E543+1,0),E543+6)-(E543+1)+1&gt;=3,MONTH(E543+1),MONTH(E543+6)))</f>
        <v/>
      </c>
      <c r="R543" s="22">
        <f>IFERROR(K543/P543, 0)</f>
        <v/>
      </c>
      <c r="S543" s="38">
        <f>IFERROR(N543/P543,0)</f>
        <v/>
      </c>
      <c r="T543" s="31">
        <f>IFERROR(IF(N543&gt;0,(N543/K543),MIN(1,M543/J543)),0)</f>
        <v/>
      </c>
      <c r="U543" s="33" t="n"/>
    </row>
    <row r="544" hidden="1" s="40">
      <c r="A544" s="18" t="inlineStr">
        <is>
          <t>Semana 4 - março</t>
        </is>
      </c>
      <c r="B544" s="27">
        <f>YEAR(E544)</f>
        <v/>
      </c>
      <c r="C544" s="18">
        <f>INDEX({"Janeiro";"Fevereiro";"Março";"Abril";"Maio";"Junho";"Julho";"Agosto";"Setembro";"Outubro";"Novembro";"Dezembro"},Q544)</f>
        <v/>
      </c>
      <c r="D544" s="19" t="n">
        <v>4</v>
      </c>
      <c r="E544" s="20" t="n">
        <v>46104</v>
      </c>
      <c r="F544" s="18" t="inlineStr">
        <is>
          <t>Manteiga 500g</t>
        </is>
      </c>
      <c r="G544" s="18" t="inlineStr">
        <is>
          <t>MANTEIGA</t>
        </is>
      </c>
      <c r="H544" s="21" t="n">
        <v>0.5</v>
      </c>
      <c r="I544" s="36" t="n">
        <v>1100</v>
      </c>
      <c r="J544" s="21">
        <f>I544*H544</f>
        <v/>
      </c>
      <c r="K544" s="21">
        <f>IFERROR(IF(J544/P544&gt;1,P544,J544),0)</f>
        <v/>
      </c>
      <c r="L544" s="36" t="n">
        <v>1075</v>
      </c>
      <c r="M544" s="21">
        <f>L544*H544</f>
        <v/>
      </c>
      <c r="N544" s="21">
        <f>IFERROR(IF(M544/K544&gt;1,K544,M544),0)</f>
        <v/>
      </c>
      <c r="O544" s="36" t="n">
        <v>550</v>
      </c>
      <c r="P544" s="21">
        <f>O544*H544</f>
        <v/>
      </c>
      <c r="Q544" s="30">
        <f>IF(MONTH(E544+1)=MONTH(E544+6),MONTH(E544+1),IF(MIN(EOMONTH(E544+1,0),E544+6)-(E544+1)+1&gt;=3,MONTH(E544+1),MONTH(E544+6)))</f>
        <v/>
      </c>
      <c r="R544" s="22">
        <f>IFERROR(K544/P544, 0)</f>
        <v/>
      </c>
      <c r="S544" s="38">
        <f>IFERROR(N544/P544,0)</f>
        <v/>
      </c>
      <c r="T544" s="31">
        <f>IFERROR(IF(N544&gt;0,(N544/K544),MIN(1,M544/J544)),0)</f>
        <v/>
      </c>
      <c r="U544" s="33" t="n"/>
    </row>
    <row r="545" hidden="1" s="40">
      <c r="A545" s="23" t="inlineStr">
        <is>
          <t>Semana 4 - março</t>
        </is>
      </c>
      <c r="B545" s="27">
        <f>YEAR(E545)</f>
        <v/>
      </c>
      <c r="C545" s="18">
        <f>INDEX({"Janeiro";"Fevereiro";"Março";"Abril";"Maio";"Junho";"Julho";"Agosto";"Setembro";"Outubro";"Novembro";"Dezembro"},Q545)</f>
        <v/>
      </c>
      <c r="D545" s="24" t="n">
        <v>4</v>
      </c>
      <c r="E545" s="25" t="n">
        <v>46104</v>
      </c>
      <c r="F545" s="23" t="inlineStr">
        <is>
          <t>QUEIJO MINAS MEIA CURA (FRACIONADO)</t>
        </is>
      </c>
      <c r="G545" s="23" t="inlineStr">
        <is>
          <t>QUEIJO</t>
        </is>
      </c>
      <c r="H545" s="26" t="n">
        <v>1</v>
      </c>
      <c r="I545" s="36" t="n">
        <v>0</v>
      </c>
      <c r="J545" s="21">
        <f>I545*H545</f>
        <v/>
      </c>
      <c r="K545" s="21">
        <f>IFERROR(IF(J545/P545&gt;1,P545,J545),0)</f>
        <v/>
      </c>
      <c r="L545" s="36" t="n">
        <v>0</v>
      </c>
      <c r="M545" s="21">
        <f>L545*H545</f>
        <v/>
      </c>
      <c r="N545" s="21">
        <f>IFERROR(IF(M545/K545&gt;1,K545,M545),0)</f>
        <v/>
      </c>
      <c r="O545" s="36" t="n">
        <v>0</v>
      </c>
      <c r="P545" s="21">
        <f>O545*H545</f>
        <v/>
      </c>
      <c r="Q545" s="30">
        <f>IF(MONTH(E545+1)=MONTH(E545+6),MONTH(E545+1),IF(MIN(EOMONTH(E545+1,0),E545+6)-(E545+1)+1&gt;=3,MONTH(E545+1),MONTH(E545+6)))</f>
        <v/>
      </c>
      <c r="R545" s="22">
        <f>IFERROR(K545/P545, 0)</f>
        <v/>
      </c>
      <c r="S545" s="38">
        <f>IFERROR(N545/P545,0)</f>
        <v/>
      </c>
      <c r="T545" s="31">
        <f>IFERROR(IF(N545&gt;0,(N545/K545),MIN(1,M545/J545)),0)</f>
        <v/>
      </c>
      <c r="U545" s="33" t="n"/>
    </row>
    <row r="546" hidden="1" s="40">
      <c r="A546" s="18" t="inlineStr">
        <is>
          <t>Semana 4 - março</t>
        </is>
      </c>
      <c r="B546" s="27">
        <f>YEAR(E546)</f>
        <v/>
      </c>
      <c r="C546" s="18">
        <f>INDEX({"Janeiro";"Fevereiro";"Março";"Abril";"Maio";"Junho";"Julho";"Agosto";"Setembro";"Outubro";"Novembro";"Dezembro"},Q546)</f>
        <v/>
      </c>
      <c r="D546" s="19" t="n">
        <v>4</v>
      </c>
      <c r="E546" s="20" t="n">
        <v>46104</v>
      </c>
      <c r="F546" s="18" t="inlineStr">
        <is>
          <t>QUEIJO MINAS MEIA CURA (INTEIRO)</t>
        </is>
      </c>
      <c r="G546" s="18" t="inlineStr">
        <is>
          <t>QUEIJO</t>
        </is>
      </c>
      <c r="H546" s="21" t="n">
        <v>1</v>
      </c>
      <c r="I546" s="36" t="n">
        <v>0</v>
      </c>
      <c r="J546" s="21">
        <f>I546*H546</f>
        <v/>
      </c>
      <c r="K546" s="21">
        <f>IFERROR(IF(J546/P546&gt;1,P546,J546),0)</f>
        <v/>
      </c>
      <c r="L546" s="36" t="n">
        <v>200</v>
      </c>
      <c r="M546" s="21">
        <f>L546*H546</f>
        <v/>
      </c>
      <c r="N546" s="21">
        <f>IFERROR(IF(M546/K546&gt;1,K546,M546),0)</f>
        <v/>
      </c>
      <c r="O546" s="36" t="n">
        <v>0</v>
      </c>
      <c r="P546" s="21">
        <f>O546*H546</f>
        <v/>
      </c>
      <c r="Q546" s="30">
        <f>IF(MONTH(E546+1)=MONTH(E546+6),MONTH(E546+1),IF(MIN(EOMONTH(E546+1,0),E546+6)-(E546+1)+1&gt;=3,MONTH(E546+1),MONTH(E546+6)))</f>
        <v/>
      </c>
      <c r="R546" s="22">
        <f>IFERROR(K546/P546, 0)</f>
        <v/>
      </c>
      <c r="S546" s="38">
        <f>IFERROR(N546/P546,0)</f>
        <v/>
      </c>
      <c r="T546" s="31">
        <f>IFERROR(IF(N546&gt;0,(N546/K546),MIN(1,M546/J546)),0)</f>
        <v/>
      </c>
      <c r="U546" s="33" t="n"/>
    </row>
    <row r="547" hidden="1" s="40">
      <c r="A547" s="23" t="inlineStr">
        <is>
          <t>Semana 4 - março</t>
        </is>
      </c>
      <c r="B547" s="27">
        <f>YEAR(E547)</f>
        <v/>
      </c>
      <c r="C547" s="18">
        <f>INDEX({"Janeiro";"Fevereiro";"Março";"Abril";"Maio";"Junho";"Julho";"Agosto";"Setembro";"Outubro";"Novembro";"Dezembro"},Q547)</f>
        <v/>
      </c>
      <c r="D547" s="24" t="n">
        <v>4</v>
      </c>
      <c r="E547" s="25" t="n">
        <v>46104</v>
      </c>
      <c r="F547" s="23" t="inlineStr">
        <is>
          <t xml:space="preserve">QUEIJO MINAS PADRÃO VIÇOSA FRACIONADO </t>
        </is>
      </c>
      <c r="G547" s="23" t="inlineStr">
        <is>
          <t>QUEIJO</t>
        </is>
      </c>
      <c r="H547" s="26" t="n">
        <v>1</v>
      </c>
      <c r="I547" s="36" t="n">
        <v>200</v>
      </c>
      <c r="J547" s="21">
        <f>I547*H547</f>
        <v/>
      </c>
      <c r="K547" s="21">
        <f>IFERROR(IF(J547/P547&gt;1,P547,J547),0)</f>
        <v/>
      </c>
      <c r="L547" s="36" t="n">
        <v>0</v>
      </c>
      <c r="M547" s="21">
        <f>L547*H547</f>
        <v/>
      </c>
      <c r="N547" s="21">
        <f>IFERROR(IF(M547/K547&gt;1,K547,M547),0)</f>
        <v/>
      </c>
      <c r="O547" s="36" t="n">
        <v>200</v>
      </c>
      <c r="P547" s="21">
        <f>O547*H547</f>
        <v/>
      </c>
      <c r="Q547" s="30">
        <f>IF(MONTH(E547+1)=MONTH(E547+6),MONTH(E547+1),IF(MIN(EOMONTH(E547+1,0),E547+6)-(E547+1)+1&gt;=3,MONTH(E547+1),MONTH(E547+6)))</f>
        <v/>
      </c>
      <c r="R547" s="22">
        <f>IFERROR(K547/P547, 0)</f>
        <v/>
      </c>
      <c r="S547" s="38">
        <f>IFERROR(N547/P547,0)</f>
        <v/>
      </c>
      <c r="T547" s="31">
        <f>IFERROR(IF(N547&gt;0,(N547/K547),MIN(1,M547/J547)),0)</f>
        <v/>
      </c>
      <c r="U547" s="33" t="n"/>
    </row>
    <row r="548" hidden="1" s="40">
      <c r="A548" s="18" t="inlineStr">
        <is>
          <t>Semana 4 - março</t>
        </is>
      </c>
      <c r="B548" s="27">
        <f>YEAR(E548)</f>
        <v/>
      </c>
      <c r="C548" s="18">
        <f>INDEX({"Janeiro";"Fevereiro";"Março";"Abril";"Maio";"Junho";"Julho";"Agosto";"Setembro";"Outubro";"Novembro";"Dezembro"},Q548)</f>
        <v/>
      </c>
      <c r="D548" s="19" t="n">
        <v>4</v>
      </c>
      <c r="E548" s="20" t="n">
        <v>46104</v>
      </c>
      <c r="F548" s="18" t="inlineStr">
        <is>
          <t>QUEIJO MUSSARELA 3KG</t>
        </is>
      </c>
      <c r="G548" s="18" t="inlineStr">
        <is>
          <t>QUEIJO</t>
        </is>
      </c>
      <c r="H548" s="21" t="n">
        <v>1</v>
      </c>
      <c r="I548" s="36" t="n">
        <v>800</v>
      </c>
      <c r="J548" s="21">
        <f>I548*H548</f>
        <v/>
      </c>
      <c r="K548" s="21">
        <f>IFERROR(IF(J548/P548&gt;1,P548,J548),0)</f>
        <v/>
      </c>
      <c r="L548" s="36" t="n">
        <v>800</v>
      </c>
      <c r="M548" s="21">
        <f>L548*H548</f>
        <v/>
      </c>
      <c r="N548" s="21">
        <f>IFERROR(IF(M548/K548&gt;1,K548,M548),0)</f>
        <v/>
      </c>
      <c r="O548" s="36" t="n">
        <v>800</v>
      </c>
      <c r="P548" s="21">
        <f>O548*H548</f>
        <v/>
      </c>
      <c r="Q548" s="30">
        <f>IF(MONTH(E548+1)=MONTH(E548+6),MONTH(E548+1),IF(MIN(EOMONTH(E548+1,0),E548+6)-(E548+1)+1&gt;=3,MONTH(E548+1),MONTH(E548+6)))</f>
        <v/>
      </c>
      <c r="R548" s="22">
        <f>IFERROR(K548/P548, 0)</f>
        <v/>
      </c>
      <c r="S548" s="38">
        <f>IFERROR(N548/P548,0)</f>
        <v/>
      </c>
      <c r="T548" s="31">
        <f>IFERROR(IF(N548&gt;0,(N548/K548),MIN(1,M548/J548)),0)</f>
        <v/>
      </c>
      <c r="U548" s="33" t="n"/>
    </row>
    <row r="549" hidden="1" s="40">
      <c r="A549" s="23" t="inlineStr">
        <is>
          <t>Semana 4 - março</t>
        </is>
      </c>
      <c r="B549" s="27">
        <f>YEAR(E549)</f>
        <v/>
      </c>
      <c r="C549" s="18">
        <f>INDEX({"Janeiro";"Fevereiro";"Março";"Abril";"Maio";"Junho";"Julho";"Agosto";"Setembro";"Outubro";"Novembro";"Dezembro"},Q549)</f>
        <v/>
      </c>
      <c r="D549" s="24" t="n">
        <v>4</v>
      </c>
      <c r="E549" s="25" t="n">
        <v>46104</v>
      </c>
      <c r="F549" s="23" t="inlineStr">
        <is>
          <t>QUEIJO MUSSARELA LANCHE</t>
        </is>
      </c>
      <c r="G549" s="23" t="inlineStr">
        <is>
          <t>QUEIJO</t>
        </is>
      </c>
      <c r="H549" s="26" t="n">
        <v>1</v>
      </c>
      <c r="I549" s="36" t="n">
        <v>200</v>
      </c>
      <c r="J549" s="21">
        <f>I549*H549</f>
        <v/>
      </c>
      <c r="K549" s="21">
        <f>IFERROR(IF(J549/P549&gt;1,P549,J549),0)</f>
        <v/>
      </c>
      <c r="L549" s="36" t="n">
        <v>200</v>
      </c>
      <c r="M549" s="21">
        <f>L549*H549</f>
        <v/>
      </c>
      <c r="N549" s="21">
        <f>IFERROR(IF(M549/K549&gt;1,K549,M549),0)</f>
        <v/>
      </c>
      <c r="O549" s="36" t="n">
        <v>200</v>
      </c>
      <c r="P549" s="21">
        <f>O549*H549</f>
        <v/>
      </c>
      <c r="Q549" s="30">
        <f>IF(MONTH(E549+1)=MONTH(E549+6),MONTH(E549+1),IF(MIN(EOMONTH(E549+1,0),E549+6)-(E549+1)+1&gt;=3,MONTH(E549+1),MONTH(E549+6)))</f>
        <v/>
      </c>
      <c r="R549" s="22">
        <f>IFERROR(K549/P549, 0)</f>
        <v/>
      </c>
      <c r="S549" s="38">
        <f>IFERROR(N549/P549,0)</f>
        <v/>
      </c>
      <c r="T549" s="31">
        <f>IFERROR(IF(N549&gt;0,(N549/K549),MIN(1,M549/J549)),0)</f>
        <v/>
      </c>
      <c r="U549" s="33" t="n"/>
    </row>
    <row r="550" hidden="1" s="40">
      <c r="A550" s="18" t="inlineStr">
        <is>
          <t>Semana 4 - março</t>
        </is>
      </c>
      <c r="B550" s="27">
        <f>YEAR(E550)</f>
        <v/>
      </c>
      <c r="C550" s="18">
        <f>INDEX({"Janeiro";"Fevereiro";"Março";"Abril";"Maio";"Junho";"Julho";"Agosto";"Setembro";"Outubro";"Novembro";"Dezembro"},Q550)</f>
        <v/>
      </c>
      <c r="D550" s="19" t="n">
        <v>4</v>
      </c>
      <c r="E550" s="20" t="n">
        <v>46104</v>
      </c>
      <c r="F550" s="18" t="inlineStr">
        <is>
          <t>REQUEIJÃO VIÇOSA 200g</t>
        </is>
      </c>
      <c r="G550" s="18" t="inlineStr">
        <is>
          <t>REQUEIJÃO</t>
        </is>
      </c>
      <c r="H550" s="21" t="n">
        <v>0.2</v>
      </c>
      <c r="I550" s="36" t="n">
        <v>2000</v>
      </c>
      <c r="J550" s="21">
        <f>I550*H550</f>
        <v/>
      </c>
      <c r="K550" s="21">
        <f>IFERROR(IF(J550/P550&gt;1,P550,J550),0)</f>
        <v/>
      </c>
      <c r="L550" s="36" t="n">
        <v>8915</v>
      </c>
      <c r="M550" s="21">
        <f>L550*H550</f>
        <v/>
      </c>
      <c r="N550" s="21">
        <f>IFERROR(IF(M550/K550&gt;1,K550,M550),0)</f>
        <v/>
      </c>
      <c r="O550" s="36" t="n">
        <v>2800</v>
      </c>
      <c r="P550" s="21">
        <f>O550*H550</f>
        <v/>
      </c>
      <c r="Q550" s="30">
        <f>IF(MONTH(E550+1)=MONTH(E550+6),MONTH(E550+1),IF(MIN(EOMONTH(E550+1,0),E550+6)-(E550+1)+1&gt;=3,MONTH(E550+1),MONTH(E550+6)))</f>
        <v/>
      </c>
      <c r="R550" s="22">
        <f>IFERROR(K550/P550, 0)</f>
        <v/>
      </c>
      <c r="S550" s="38">
        <f>IFERROR(N550/P550,0)</f>
        <v/>
      </c>
      <c r="T550" s="31">
        <f>IFERROR(IF(N550&gt;0,(N550/K550),MIN(1,M550/J550)),0)</f>
        <v/>
      </c>
      <c r="U550" s="33" t="n"/>
    </row>
    <row r="551" hidden="1" s="40">
      <c r="A551" s="23" t="inlineStr">
        <is>
          <t>Semana 4 - março</t>
        </is>
      </c>
      <c r="B551" s="27">
        <f>YEAR(E551)</f>
        <v/>
      </c>
      <c r="C551" s="18">
        <f>INDEX({"Janeiro";"Fevereiro";"Março";"Abril";"Maio";"Junho";"Julho";"Agosto";"Setembro";"Outubro";"Novembro";"Dezembro"},Q551)</f>
        <v/>
      </c>
      <c r="D551" s="24" t="n">
        <v>4</v>
      </c>
      <c r="E551" s="25" t="n">
        <v>46104</v>
      </c>
      <c r="F551" s="23" t="inlineStr">
        <is>
          <t>REQUEIJÃO VIÇOSA 400g</t>
        </is>
      </c>
      <c r="G551" s="23" t="inlineStr">
        <is>
          <t>REQUEIJÃO</t>
        </is>
      </c>
      <c r="H551" s="26" t="n">
        <v>0.4</v>
      </c>
      <c r="I551" s="36" t="n">
        <v>4620</v>
      </c>
      <c r="J551" s="21">
        <f>I551*H551</f>
        <v/>
      </c>
      <c r="K551" s="21">
        <f>IFERROR(IF(J551/P551&gt;1,P551,J551),0)</f>
        <v/>
      </c>
      <c r="L551" s="36" t="n">
        <v>4209</v>
      </c>
      <c r="M551" s="21">
        <f>L551*H551</f>
        <v/>
      </c>
      <c r="N551" s="21">
        <f>IFERROR(IF(M551/K551&gt;1,K551,M551),0)</f>
        <v/>
      </c>
      <c r="O551" s="36" t="n">
        <v>3200</v>
      </c>
      <c r="P551" s="21">
        <f>O551*H551</f>
        <v/>
      </c>
      <c r="Q551" s="30">
        <f>IF(MONTH(E551+1)=MONTH(E551+6),MONTH(E551+1),IF(MIN(EOMONTH(E551+1,0),E551+6)-(E551+1)+1&gt;=3,MONTH(E551+1),MONTH(E551+6)))</f>
        <v/>
      </c>
      <c r="R551" s="22">
        <f>IFERROR(K551/P551, 0)</f>
        <v/>
      </c>
      <c r="S551" s="38">
        <f>IFERROR(N551/P551,0)</f>
        <v/>
      </c>
      <c r="T551" s="31">
        <f>IFERROR(IF(N551&gt;0,(N551/K551),MIN(1,M551/J551)),0)</f>
        <v/>
      </c>
      <c r="U551" s="33" t="n"/>
    </row>
    <row r="552" hidden="1" s="40">
      <c r="A552" s="18" t="inlineStr">
        <is>
          <t>Semana 4 - março</t>
        </is>
      </c>
      <c r="B552" s="27">
        <f>YEAR(E552)</f>
        <v/>
      </c>
      <c r="C552" s="18">
        <f>INDEX({"Janeiro";"Fevereiro";"Março";"Abril";"Maio";"Junho";"Julho";"Agosto";"Setembro";"Outubro";"Novembro";"Dezembro"},Q552)</f>
        <v/>
      </c>
      <c r="D552" s="19" t="n">
        <v>4</v>
      </c>
      <c r="E552" s="20" t="n">
        <v>46104</v>
      </c>
      <c r="F552" s="18" t="inlineStr">
        <is>
          <t>Requeijão Light 200g</t>
        </is>
      </c>
      <c r="G552" s="18" t="inlineStr">
        <is>
          <t>REQUEIJÃO</t>
        </is>
      </c>
      <c r="H552" s="21" t="n">
        <v>0.2</v>
      </c>
      <c r="I552" s="36" t="n">
        <v>1200</v>
      </c>
      <c r="J552" s="21">
        <f>I552*H552</f>
        <v/>
      </c>
      <c r="K552" s="21">
        <f>IFERROR(IF(J552/P552&gt;1,P552,J552),0)</f>
        <v/>
      </c>
      <c r="L552" s="36" t="n">
        <v>1170</v>
      </c>
      <c r="M552" s="21">
        <f>L552*H552</f>
        <v/>
      </c>
      <c r="N552" s="21">
        <f>IFERROR(IF(M552/K552&gt;1,K552,M552),0)</f>
        <v/>
      </c>
      <c r="O552" s="36" t="n">
        <v>1500</v>
      </c>
      <c r="P552" s="21">
        <f>O552*H552</f>
        <v/>
      </c>
      <c r="Q552" s="30">
        <f>IF(MONTH(E552+1)=MONTH(E552+6),MONTH(E552+1),IF(MIN(EOMONTH(E552+1,0),E552+6)-(E552+1)+1&gt;=3,MONTH(E552+1),MONTH(E552+6)))</f>
        <v/>
      </c>
      <c r="R552" s="22">
        <f>IFERROR(K552/P552, 0)</f>
        <v/>
      </c>
      <c r="S552" s="38">
        <f>IFERROR(N552/P552,0)</f>
        <v/>
      </c>
      <c r="T552" s="31">
        <f>IFERROR(IF(N552&gt;0,(N552/K552),MIN(1,M552/J552)),0)</f>
        <v/>
      </c>
      <c r="U552" s="33" t="n"/>
    </row>
    <row r="553" hidden="1" s="40">
      <c r="A553" s="23" t="inlineStr">
        <is>
          <t>Semana 4 - março</t>
        </is>
      </c>
      <c r="B553" s="27">
        <f>YEAR(E553)</f>
        <v/>
      </c>
      <c r="C553" s="18">
        <f>INDEX({"Janeiro";"Fevereiro";"Março";"Abril";"Maio";"Junho";"Julho";"Agosto";"Setembro";"Outubro";"Novembro";"Dezembro"},Q553)</f>
        <v/>
      </c>
      <c r="D553" s="24" t="n">
        <v>4</v>
      </c>
      <c r="E553" s="25" t="n">
        <v>46104</v>
      </c>
      <c r="F553" s="23" t="inlineStr">
        <is>
          <t>Creme de Ricota 200g</t>
        </is>
      </c>
      <c r="G553" s="23" t="inlineStr">
        <is>
          <t>RICOTA</t>
        </is>
      </c>
      <c r="H553" s="26" t="n">
        <v>0.2</v>
      </c>
      <c r="I553" s="36" t="n">
        <v>1000</v>
      </c>
      <c r="J553" s="21">
        <f>I553*H553</f>
        <v/>
      </c>
      <c r="K553" s="21">
        <f>IFERROR(IF(J553/P553&gt;1,P553,J553),0)</f>
        <v/>
      </c>
      <c r="L553" s="36" t="n">
        <v>0</v>
      </c>
      <c r="M553" s="21">
        <f>L553*H553</f>
        <v/>
      </c>
      <c r="N553" s="21">
        <f>IFERROR(IF(M553/K553&gt;1,K553,M553),0)</f>
        <v/>
      </c>
      <c r="O553" s="36" t="n">
        <v>1200</v>
      </c>
      <c r="P553" s="21">
        <f>O553*H553</f>
        <v/>
      </c>
      <c r="Q553" s="30">
        <f>IF(MONTH(E553+1)=MONTH(E553+6),MONTH(E553+1),IF(MIN(EOMONTH(E553+1,0),E553+6)-(E553+1)+1&gt;=3,MONTH(E553+1),MONTH(E553+6)))</f>
        <v/>
      </c>
      <c r="R553" s="22">
        <f>IFERROR(K553/P553, 0)</f>
        <v/>
      </c>
      <c r="S553" s="38">
        <f>IFERROR(N553/P553,0)</f>
        <v/>
      </c>
      <c r="T553" s="31">
        <f>IFERROR(IF(N553&gt;0,(N553/K553),MIN(1,M553/J553)),0)</f>
        <v/>
      </c>
      <c r="U553" s="33" t="n"/>
    </row>
    <row r="554" hidden="1" s="40">
      <c r="A554" s="18" t="inlineStr">
        <is>
          <t>Semana 1 - abril</t>
        </is>
      </c>
      <c r="B554" s="27">
        <f>YEAR(E554)</f>
        <v/>
      </c>
      <c r="C554" s="18">
        <f>INDEX({"Janeiro";"Fevereiro";"Março";"Abril";"Maio";"Junho";"Julho";"Agosto";"Setembro";"Outubro";"Novembro";"Dezembro"},Q554)</f>
        <v/>
      </c>
      <c r="D554" s="19" t="n">
        <v>1</v>
      </c>
      <c r="E554" s="20" t="n">
        <v>46113</v>
      </c>
      <c r="F554" s="18" t="inlineStr">
        <is>
          <t>Doce de Leite 400g</t>
        </is>
      </c>
      <c r="G554" s="18" t="inlineStr">
        <is>
          <t>DOCE</t>
        </is>
      </c>
      <c r="H554" s="21" t="n">
        <v>0.4</v>
      </c>
      <c r="I554" s="36" t="n">
        <v>18000</v>
      </c>
      <c r="J554" s="21">
        <f>I554*H554</f>
        <v/>
      </c>
      <c r="K554" s="21">
        <f>IFERROR(IF(J554/P554&gt;1,P554,J554),0)</f>
        <v/>
      </c>
      <c r="L554" s="36" t="n">
        <v>18486</v>
      </c>
      <c r="M554" s="21">
        <f>L554*H554</f>
        <v/>
      </c>
      <c r="N554" s="21">
        <f>IFERROR(IF(M554/K554&gt;1,K554,M554),0)</f>
        <v/>
      </c>
      <c r="O554" s="36" t="n">
        <v>18000</v>
      </c>
      <c r="P554" s="21">
        <f>O554*H554</f>
        <v/>
      </c>
      <c r="Q554" s="30">
        <f>IF(MONTH(E554+1)=MONTH(E554+6),MONTH(E554+1),IF(MIN(EOMONTH(E554+1,0),E554+6)-(E554+1)+1&gt;=3,MONTH(E554+1),MONTH(E554+6)))</f>
        <v/>
      </c>
      <c r="R554" s="22">
        <f>IFERROR(K554/P554, 0)</f>
        <v/>
      </c>
      <c r="S554" s="38">
        <f>IFERROR(N554/P554,0)</f>
        <v/>
      </c>
      <c r="T554" s="31">
        <f>IFERROR(IF(N554&gt;0,(N554/K554),MIN(1,M554/J554)),0)</f>
        <v/>
      </c>
      <c r="U554" s="33" t="n"/>
    </row>
    <row r="555" hidden="1" s="40">
      <c r="A555" s="23" t="inlineStr">
        <is>
          <t>Semana 1 - abril</t>
        </is>
      </c>
      <c r="B555" s="27">
        <f>YEAR(E555)</f>
        <v/>
      </c>
      <c r="C555" s="18">
        <f>INDEX({"Janeiro";"Fevereiro";"Março";"Abril";"Maio";"Junho";"Julho";"Agosto";"Setembro";"Outubro";"Novembro";"Dezembro"},Q555)</f>
        <v/>
      </c>
      <c r="D555" s="24" t="n">
        <v>1</v>
      </c>
      <c r="E555" s="25" t="n">
        <v>46113</v>
      </c>
      <c r="F555" s="23" t="inlineStr">
        <is>
          <t>Doce de Leite 5kg</t>
        </is>
      </c>
      <c r="G555" s="23" t="inlineStr">
        <is>
          <t>DOCE</t>
        </is>
      </c>
      <c r="H555" s="26" t="n">
        <v>5</v>
      </c>
      <c r="I555" s="36" t="n">
        <v>1860</v>
      </c>
      <c r="J555" s="21">
        <f>I555*H555</f>
        <v/>
      </c>
      <c r="K555" s="21">
        <f>IFERROR(IF(J555/P555&gt;1,P555,J555),0)</f>
        <v/>
      </c>
      <c r="L555" s="36" t="n">
        <v>1848</v>
      </c>
      <c r="M555" s="21">
        <f>L555*H555</f>
        <v/>
      </c>
      <c r="N555" s="21">
        <f>IFERROR(IF(M555/K555&gt;1,K555,M555),0)</f>
        <v/>
      </c>
      <c r="O555" s="36" t="n">
        <v>2790</v>
      </c>
      <c r="P555" s="21">
        <f>O555*H555</f>
        <v/>
      </c>
      <c r="Q555" s="30">
        <f>IF(MONTH(E555+1)=MONTH(E555+6),MONTH(E555+1),IF(MIN(EOMONTH(E555+1,0),E555+6)-(E555+1)+1&gt;=3,MONTH(E555+1),MONTH(E555+6)))</f>
        <v/>
      </c>
      <c r="R555" s="22">
        <f>IFERROR(K555/P555, 0)</f>
        <v/>
      </c>
      <c r="S555" s="38">
        <f>IFERROR(N555/P555,0)</f>
        <v/>
      </c>
      <c r="T555" s="31">
        <f>IFERROR(IF(N555&gt;0,(N555/K555),MIN(1,M555/J555)),0)</f>
        <v/>
      </c>
      <c r="U555" s="33" t="n"/>
    </row>
    <row r="556" hidden="1" s="40">
      <c r="A556" s="18" t="inlineStr">
        <is>
          <t>Semana 1 - abril</t>
        </is>
      </c>
      <c r="B556" s="27">
        <f>YEAR(E556)</f>
        <v/>
      </c>
      <c r="C556" s="18">
        <f>INDEX({"Janeiro";"Fevereiro";"Março";"Abril";"Maio";"Junho";"Julho";"Agosto";"Setembro";"Outubro";"Novembro";"Dezembro"},Q556)</f>
        <v/>
      </c>
      <c r="D556" s="19" t="n">
        <v>1</v>
      </c>
      <c r="E556" s="20" t="n">
        <v>46113</v>
      </c>
      <c r="F556" s="18" t="inlineStr">
        <is>
          <t>Doce de Leite 5kg - Bombeável</t>
        </is>
      </c>
      <c r="G556" s="18" t="inlineStr">
        <is>
          <t>DOCE</t>
        </is>
      </c>
      <c r="H556" s="21" t="n">
        <v>5</v>
      </c>
      <c r="I556" s="36" t="n">
        <v>0</v>
      </c>
      <c r="J556" s="21">
        <f>I556*H556</f>
        <v/>
      </c>
      <c r="K556" s="21">
        <f>IFERROR(IF(J556/P556&gt;1,P556,J556),0)</f>
        <v/>
      </c>
      <c r="L556" s="36" t="n">
        <v>0</v>
      </c>
      <c r="M556" s="21">
        <f>L556*H556</f>
        <v/>
      </c>
      <c r="N556" s="21">
        <f>IFERROR(IF(M556/K556&gt;1,K556,M556),0)</f>
        <v/>
      </c>
      <c r="O556" s="36" t="n">
        <v>0</v>
      </c>
      <c r="P556" s="21">
        <f>O556*H556</f>
        <v/>
      </c>
      <c r="Q556" s="30">
        <f>IF(MONTH(E556+1)=MONTH(E556+6),MONTH(E556+1),IF(MIN(EOMONTH(E556+1,0),E556+6)-(E556+1)+1&gt;=3,MONTH(E556+1),MONTH(E556+6)))</f>
        <v/>
      </c>
      <c r="R556" s="22">
        <f>IFERROR(K556/P556, 0)</f>
        <v/>
      </c>
      <c r="S556" s="38">
        <f>IFERROR(N556/P556,0)</f>
        <v/>
      </c>
      <c r="T556" s="31">
        <f>IFERROR(IF(N556&gt;0,(N556/K556),MIN(1,M556/J556)),0)</f>
        <v/>
      </c>
      <c r="U556" s="33" t="n"/>
    </row>
    <row r="557" hidden="1" s="40">
      <c r="A557" s="23" t="inlineStr">
        <is>
          <t>Semana 1 - abril</t>
        </is>
      </c>
      <c r="B557" s="27">
        <f>YEAR(E557)</f>
        <v/>
      </c>
      <c r="C557" s="18">
        <f>INDEX({"Janeiro";"Fevereiro";"Março";"Abril";"Maio";"Junho";"Julho";"Agosto";"Setembro";"Outubro";"Novembro";"Dezembro"},Q557)</f>
        <v/>
      </c>
      <c r="D557" s="24" t="n">
        <v>1</v>
      </c>
      <c r="E557" s="25" t="n">
        <v>46113</v>
      </c>
      <c r="F557" s="23" t="inlineStr">
        <is>
          <t>Doce de Leite 5kg - Forneável</t>
        </is>
      </c>
      <c r="G557" s="23" t="inlineStr">
        <is>
          <t>DOCE</t>
        </is>
      </c>
      <c r="H557" s="26" t="n">
        <v>5</v>
      </c>
      <c r="I557" s="36" t="n">
        <v>0</v>
      </c>
      <c r="J557" s="21">
        <f>I557*H557</f>
        <v/>
      </c>
      <c r="K557" s="21">
        <f>IFERROR(IF(J557/P557&gt;1,P557,J557),0)</f>
        <v/>
      </c>
      <c r="L557" s="36" t="n">
        <v>0</v>
      </c>
      <c r="M557" s="21">
        <f>L557*H557</f>
        <v/>
      </c>
      <c r="N557" s="21">
        <f>IFERROR(IF(M557/K557&gt;1,K557,M557),0)</f>
        <v/>
      </c>
      <c r="O557" s="36" t="n">
        <v>0</v>
      </c>
      <c r="P557" s="21">
        <f>O557*H557</f>
        <v/>
      </c>
      <c r="Q557" s="30">
        <f>IF(MONTH(E557+1)=MONTH(E557+6),MONTH(E557+1),IF(MIN(EOMONTH(E557+1,0),E557+6)-(E557+1)+1&gt;=3,MONTH(E557+1),MONTH(E557+6)))</f>
        <v/>
      </c>
      <c r="R557" s="22">
        <f>IFERROR(K557/P557, 0)</f>
        <v/>
      </c>
      <c r="S557" s="38">
        <f>IFERROR(N557/P557,0)</f>
        <v/>
      </c>
      <c r="T557" s="31">
        <f>IFERROR(IF(N557&gt;0,(N557/K557),MIN(1,M557/J557)),0)</f>
        <v/>
      </c>
      <c r="U557" s="33" t="n"/>
    </row>
    <row r="558" hidden="1" s="40">
      <c r="A558" s="18" t="inlineStr">
        <is>
          <t>Semana 1 - abril</t>
        </is>
      </c>
      <c r="B558" s="27">
        <f>YEAR(E558)</f>
        <v/>
      </c>
      <c r="C558" s="18">
        <f>INDEX({"Janeiro";"Fevereiro";"Março";"Abril";"Maio";"Junho";"Julho";"Agosto";"Setembro";"Outubro";"Novembro";"Dezembro"},Q558)</f>
        <v/>
      </c>
      <c r="D558" s="19" t="n">
        <v>1</v>
      </c>
      <c r="E558" s="20" t="n">
        <v>46113</v>
      </c>
      <c r="F558" s="18" t="inlineStr">
        <is>
          <t>Doce de Leite 800g</t>
        </is>
      </c>
      <c r="G558" s="18" t="inlineStr">
        <is>
          <t>DOCE</t>
        </is>
      </c>
      <c r="H558" s="21" t="n">
        <v>0.8</v>
      </c>
      <c r="I558" s="36" t="n">
        <v>15000</v>
      </c>
      <c r="J558" s="21">
        <f>I558*H558</f>
        <v/>
      </c>
      <c r="K558" s="21">
        <f>IFERROR(IF(J558/P558&gt;1,P558,J558),0)</f>
        <v/>
      </c>
      <c r="L558" s="36" t="n">
        <v>16694</v>
      </c>
      <c r="M558" s="21">
        <f>L558*H558</f>
        <v/>
      </c>
      <c r="N558" s="21">
        <f>IFERROR(IF(M558/K558&gt;1,K558,M558),0)</f>
        <v/>
      </c>
      <c r="O558" s="36" t="n">
        <v>15000</v>
      </c>
      <c r="P558" s="21">
        <f>O558*H558</f>
        <v/>
      </c>
      <c r="Q558" s="30">
        <f>IF(MONTH(E558+1)=MONTH(E558+6),MONTH(E558+1),IF(MIN(EOMONTH(E558+1,0),E558+6)-(E558+1)+1&gt;=3,MONTH(E558+1),MONTH(E558+6)))</f>
        <v/>
      </c>
      <c r="R558" s="22">
        <f>IFERROR(K558/P558, 0)</f>
        <v/>
      </c>
      <c r="S558" s="38">
        <f>IFERROR(N558/P558,0)</f>
        <v/>
      </c>
      <c r="T558" s="31">
        <f>IFERROR(IF(N558&gt;0,(N558/K558),MIN(1,M558/J558)),0)</f>
        <v/>
      </c>
      <c r="U558" s="33" t="n"/>
    </row>
    <row r="559" hidden="1" s="40">
      <c r="A559" s="23" t="inlineStr">
        <is>
          <t>Semana 1 - abril</t>
        </is>
      </c>
      <c r="B559" s="27">
        <f>YEAR(E559)</f>
        <v/>
      </c>
      <c r="C559" s="18">
        <f>INDEX({"Janeiro";"Fevereiro";"Março";"Abril";"Maio";"Junho";"Julho";"Agosto";"Setembro";"Outubro";"Novembro";"Dezembro"},Q559)</f>
        <v/>
      </c>
      <c r="D559" s="24" t="n">
        <v>1</v>
      </c>
      <c r="E559" s="25" t="n">
        <v>46113</v>
      </c>
      <c r="F559" s="23" t="inlineStr">
        <is>
          <t>Doce de Leite Cacau 400g</t>
        </is>
      </c>
      <c r="G559" s="23" t="inlineStr">
        <is>
          <t>DOCE</t>
        </is>
      </c>
      <c r="H559" s="26" t="n">
        <v>0.4</v>
      </c>
      <c r="I559" s="36" t="n">
        <v>6000</v>
      </c>
      <c r="J559" s="21">
        <f>I559*H559</f>
        <v/>
      </c>
      <c r="K559" s="21">
        <f>IFERROR(IF(J559/P559&gt;1,P559,J559),0)</f>
        <v/>
      </c>
      <c r="L559" s="36" t="n">
        <v>0</v>
      </c>
      <c r="M559" s="21">
        <f>L559*H559</f>
        <v/>
      </c>
      <c r="N559" s="21">
        <f>IFERROR(IF(M559/K559&gt;1,K559,M559),0)</f>
        <v/>
      </c>
      <c r="O559" s="36" t="n">
        <v>6000</v>
      </c>
      <c r="P559" s="21">
        <f>O559*H559</f>
        <v/>
      </c>
      <c r="Q559" s="30">
        <f>IF(MONTH(E559+1)=MONTH(E559+6),MONTH(E559+1),IF(MIN(EOMONTH(E559+1,0),E559+6)-(E559+1)+1&gt;=3,MONTH(E559+1),MONTH(E559+6)))</f>
        <v/>
      </c>
      <c r="R559" s="22">
        <f>IFERROR(K559/P559, 0)</f>
        <v/>
      </c>
      <c r="S559" s="38">
        <f>IFERROR(N559/P559,0)</f>
        <v/>
      </c>
      <c r="T559" s="31">
        <f>IFERROR(IF(N559&gt;0,(N559/K559),MIN(1,M559/J559)),0)</f>
        <v/>
      </c>
      <c r="U559" s="33" t="n"/>
    </row>
    <row r="560" hidden="1" s="40">
      <c r="A560" s="18" t="inlineStr">
        <is>
          <t>Semana 1 - abril</t>
        </is>
      </c>
      <c r="B560" s="27">
        <f>YEAR(E560)</f>
        <v/>
      </c>
      <c r="C560" s="18">
        <f>INDEX({"Janeiro";"Fevereiro";"Março";"Abril";"Maio";"Junho";"Julho";"Agosto";"Setembro";"Outubro";"Novembro";"Dezembro"},Q560)</f>
        <v/>
      </c>
      <c r="D560" s="19" t="n">
        <v>1</v>
      </c>
      <c r="E560" s="20" t="n">
        <v>46113</v>
      </c>
      <c r="F560" s="18" t="inlineStr">
        <is>
          <t>Doce de Leite Cacau 5kg - Bombeável</t>
        </is>
      </c>
      <c r="G560" s="18" t="inlineStr">
        <is>
          <t>DOCE</t>
        </is>
      </c>
      <c r="H560" s="21" t="n">
        <v>5</v>
      </c>
      <c r="I560" s="36" t="n">
        <v>0</v>
      </c>
      <c r="J560" s="21">
        <f>I560*H560</f>
        <v/>
      </c>
      <c r="K560" s="21">
        <f>IFERROR(IF(J560/P560&gt;1,P560,J560),0)</f>
        <v/>
      </c>
      <c r="L560" s="36" t="n">
        <v>0</v>
      </c>
      <c r="M560" s="21">
        <f>L560*H560</f>
        <v/>
      </c>
      <c r="N560" s="21">
        <f>IFERROR(IF(M560/K560&gt;1,K560,M560),0)</f>
        <v/>
      </c>
      <c r="O560" s="36" t="n">
        <v>0</v>
      </c>
      <c r="P560" s="21">
        <f>O560*H560</f>
        <v/>
      </c>
      <c r="Q560" s="30">
        <f>IF(MONTH(E560+1)=MONTH(E560+6),MONTH(E560+1),IF(MIN(EOMONTH(E560+1,0),E560+6)-(E560+1)+1&gt;=3,MONTH(E560+1),MONTH(E560+6)))</f>
        <v/>
      </c>
      <c r="R560" s="22">
        <f>IFERROR(K560/P560, 0)</f>
        <v/>
      </c>
      <c r="S560" s="38">
        <f>IFERROR(N560/P560,0)</f>
        <v/>
      </c>
      <c r="T560" s="31">
        <f>IFERROR(IF(N560&gt;0,(N560/K560),MIN(1,M560/J560)),0)</f>
        <v/>
      </c>
      <c r="U560" s="33" t="n"/>
    </row>
    <row r="561" hidden="1" s="40">
      <c r="A561" s="23" t="inlineStr">
        <is>
          <t>Semana 1 - abril</t>
        </is>
      </c>
      <c r="B561" s="27">
        <f>YEAR(E561)</f>
        <v/>
      </c>
      <c r="C561" s="18">
        <f>INDEX({"Janeiro";"Fevereiro";"Março";"Abril";"Maio";"Junho";"Julho";"Agosto";"Setembro";"Outubro";"Novembro";"Dezembro"},Q561)</f>
        <v/>
      </c>
      <c r="D561" s="24" t="n">
        <v>1</v>
      </c>
      <c r="E561" s="25" t="n">
        <v>46113</v>
      </c>
      <c r="F561" s="23" t="inlineStr">
        <is>
          <t>Doce de Leite Cacau 5kg - FOOD</t>
        </is>
      </c>
      <c r="G561" s="23" t="inlineStr">
        <is>
          <t>DOCE</t>
        </is>
      </c>
      <c r="H561" s="26" t="n">
        <v>5</v>
      </c>
      <c r="I561" s="36" t="n">
        <v>465</v>
      </c>
      <c r="J561" s="21">
        <f>I561*H561</f>
        <v/>
      </c>
      <c r="K561" s="21">
        <f>IFERROR(IF(J561/P561&gt;1,P561,J561),0)</f>
        <v/>
      </c>
      <c r="L561" s="36" t="n">
        <v>0</v>
      </c>
      <c r="M561" s="21">
        <f>L561*H561</f>
        <v/>
      </c>
      <c r="N561" s="21">
        <f>IFERROR(IF(M561/K561&gt;1,K561,M561),0)</f>
        <v/>
      </c>
      <c r="O561" s="36" t="n">
        <v>465</v>
      </c>
      <c r="P561" s="21">
        <f>O561*H561</f>
        <v/>
      </c>
      <c r="Q561" s="30">
        <f>IF(MONTH(E561+1)=MONTH(E561+6),MONTH(E561+1),IF(MIN(EOMONTH(E561+1,0),E561+6)-(E561+1)+1&gt;=3,MONTH(E561+1),MONTH(E561+6)))</f>
        <v/>
      </c>
      <c r="R561" s="22">
        <f>IFERROR(K561/P561, 0)</f>
        <v/>
      </c>
      <c r="S561" s="38">
        <f>IFERROR(N561/P561,0)</f>
        <v/>
      </c>
      <c r="T561" s="31">
        <f>IFERROR(IF(N561&gt;0,(N561/K561),MIN(1,M561/J561)),0)</f>
        <v/>
      </c>
      <c r="U561" s="33" t="n"/>
    </row>
    <row r="562" hidden="1" s="40">
      <c r="A562" s="18" t="inlineStr">
        <is>
          <t>Semana 1 - abril</t>
        </is>
      </c>
      <c r="B562" s="27">
        <f>YEAR(E562)</f>
        <v/>
      </c>
      <c r="C562" s="18">
        <f>INDEX({"Janeiro";"Fevereiro";"Março";"Abril";"Maio";"Junho";"Julho";"Agosto";"Setembro";"Outubro";"Novembro";"Dezembro"},Q562)</f>
        <v/>
      </c>
      <c r="D562" s="19" t="n">
        <v>1</v>
      </c>
      <c r="E562" s="20" t="n">
        <v>46113</v>
      </c>
      <c r="F562" s="18" t="inlineStr">
        <is>
          <t>Doce de Leite Zero Açúcar e Lactose 400g</t>
        </is>
      </c>
      <c r="G562" s="18" t="inlineStr">
        <is>
          <t>DOCE</t>
        </is>
      </c>
      <c r="H562" s="21" t="n">
        <v>0.4</v>
      </c>
      <c r="I562" s="36" t="n">
        <v>0</v>
      </c>
      <c r="J562" s="21">
        <f>I562*H562</f>
        <v/>
      </c>
      <c r="K562" s="21">
        <f>IFERROR(IF(J562/P562&gt;1,P562,J562),0)</f>
        <v/>
      </c>
      <c r="L562" s="36" t="n">
        <v>0</v>
      </c>
      <c r="M562" s="21">
        <f>L562*H562</f>
        <v/>
      </c>
      <c r="N562" s="21">
        <f>IFERROR(IF(M562/K562&gt;1,K562,M562),0)</f>
        <v/>
      </c>
      <c r="O562" s="36" t="n">
        <v>0</v>
      </c>
      <c r="P562" s="21">
        <f>O562*H562</f>
        <v/>
      </c>
      <c r="Q562" s="30">
        <f>IF(MONTH(E562+1)=MONTH(E562+6),MONTH(E562+1),IF(MIN(EOMONTH(E562+1,0),E562+6)-(E562+1)+1&gt;=3,MONTH(E562+1),MONTH(E562+6)))</f>
        <v/>
      </c>
      <c r="R562" s="22">
        <f>IFERROR(K562/P562, 0)</f>
        <v/>
      </c>
      <c r="S562" s="38">
        <f>IFERROR(N562/P562,0)</f>
        <v/>
      </c>
      <c r="T562" s="31">
        <f>IFERROR(IF(N562&gt;0,(N562/K562),MIN(1,M562/J562)),0)</f>
        <v/>
      </c>
      <c r="U562" s="33" t="n"/>
    </row>
    <row r="563" hidden="1" s="40">
      <c r="A563" s="23" t="inlineStr">
        <is>
          <t>Semana 1 - abril</t>
        </is>
      </c>
      <c r="B563" s="27">
        <f>YEAR(E563)</f>
        <v/>
      </c>
      <c r="C563" s="18">
        <f>INDEX({"Janeiro";"Fevereiro";"Março";"Abril";"Maio";"Junho";"Julho";"Agosto";"Setembro";"Outubro";"Novembro";"Dezembro"},Q563)</f>
        <v/>
      </c>
      <c r="D563" s="24" t="n">
        <v>1</v>
      </c>
      <c r="E563" s="25" t="n">
        <v>46113</v>
      </c>
      <c r="F563" s="23" t="inlineStr">
        <is>
          <t>Doce de Leite c/ Café 400</t>
        </is>
      </c>
      <c r="G563" s="23" t="inlineStr">
        <is>
          <t>DOCE</t>
        </is>
      </c>
      <c r="H563" s="26" t="n">
        <v>0.4</v>
      </c>
      <c r="I563" s="36" t="n">
        <v>0</v>
      </c>
      <c r="J563" s="21">
        <f>I563*H563</f>
        <v/>
      </c>
      <c r="K563" s="21">
        <f>IFERROR(IF(J563/P563&gt;1,P563,J563),0)</f>
        <v/>
      </c>
      <c r="L563" s="36" t="n">
        <v>0</v>
      </c>
      <c r="M563" s="21">
        <f>L563*H563</f>
        <v/>
      </c>
      <c r="N563" s="21">
        <f>IFERROR(IF(M563/K563&gt;1,K563,M563),0)</f>
        <v/>
      </c>
      <c r="O563" s="36" t="n">
        <v>0</v>
      </c>
      <c r="P563" s="21">
        <f>O563*H563</f>
        <v/>
      </c>
      <c r="Q563" s="30">
        <f>IF(MONTH(E563+1)=MONTH(E563+6),MONTH(E563+1),IF(MIN(EOMONTH(E563+1,0),E563+6)-(E563+1)+1&gt;=3,MONTH(E563+1),MONTH(E563+6)))</f>
        <v/>
      </c>
      <c r="R563" s="22">
        <f>IFERROR(K563/P563, 0)</f>
        <v/>
      </c>
      <c r="S563" s="38">
        <f>IFERROR(N563/P563,0)</f>
        <v/>
      </c>
      <c r="T563" s="31">
        <f>IFERROR(IF(N563&gt;0,(N563/K563),MIN(1,M563/J563)),0)</f>
        <v/>
      </c>
      <c r="U563" s="33" t="n"/>
    </row>
    <row r="564" hidden="1" s="40">
      <c r="A564" s="18" t="inlineStr">
        <is>
          <t>Semana 1 - abril</t>
        </is>
      </c>
      <c r="B564" s="27">
        <f>YEAR(E564)</f>
        <v/>
      </c>
      <c r="C564" s="18">
        <f>INDEX({"Janeiro";"Fevereiro";"Março";"Abril";"Maio";"Junho";"Julho";"Agosto";"Setembro";"Outubro";"Novembro";"Dezembro"},Q564)</f>
        <v/>
      </c>
      <c r="D564" s="19" t="n">
        <v>1</v>
      </c>
      <c r="E564" s="20" t="n">
        <v>46113</v>
      </c>
      <c r="F564" s="18" t="inlineStr">
        <is>
          <t>Doce de Leite c/ Café 5kg</t>
        </is>
      </c>
      <c r="G564" s="18" t="inlineStr">
        <is>
          <t>DOCE</t>
        </is>
      </c>
      <c r="H564" s="21" t="n">
        <v>5</v>
      </c>
      <c r="I564" s="36" t="n">
        <v>0</v>
      </c>
      <c r="J564" s="21">
        <f>I564*H564</f>
        <v/>
      </c>
      <c r="K564" s="21">
        <f>IFERROR(IF(J564/P564&gt;1,P564,J564),0)</f>
        <v/>
      </c>
      <c r="L564" s="36" t="n">
        <v>0</v>
      </c>
      <c r="M564" s="21">
        <f>L564*H564</f>
        <v/>
      </c>
      <c r="N564" s="21">
        <f>IFERROR(IF(M564/K564&gt;1,K564,M564),0)</f>
        <v/>
      </c>
      <c r="O564" s="36" t="n">
        <v>0</v>
      </c>
      <c r="P564" s="21">
        <f>O564*H564</f>
        <v/>
      </c>
      <c r="Q564" s="30">
        <f>IF(MONTH(E564+1)=MONTH(E564+6),MONTH(E564+1),IF(MIN(EOMONTH(E564+1,0),E564+6)-(E564+1)+1&gt;=3,MONTH(E564+1),MONTH(E564+6)))</f>
        <v/>
      </c>
      <c r="R564" s="22">
        <f>IFERROR(K564/P564, 0)</f>
        <v/>
      </c>
      <c r="S564" s="38">
        <f>IFERROR(N564/P564,0)</f>
        <v/>
      </c>
      <c r="T564" s="31">
        <f>IFERROR(IF(N564&gt;0,(N564/K564),MIN(1,M564/J564)),0)</f>
        <v/>
      </c>
      <c r="U564" s="33" t="n"/>
    </row>
    <row r="565" hidden="1" s="40">
      <c r="A565" s="23" t="inlineStr">
        <is>
          <t>Semana 1 - abril</t>
        </is>
      </c>
      <c r="B565" s="27">
        <f>YEAR(E565)</f>
        <v/>
      </c>
      <c r="C565" s="18">
        <f>INDEX({"Janeiro";"Fevereiro";"Março";"Abril";"Maio";"Junho";"Julho";"Agosto";"Setembro";"Outubro";"Novembro";"Dezembro"},Q565)</f>
        <v/>
      </c>
      <c r="D565" s="24" t="n">
        <v>1</v>
      </c>
      <c r="E565" s="25" t="n">
        <v>46113</v>
      </c>
      <c r="F565" s="23" t="inlineStr">
        <is>
          <t>Doce de Leite c/ coco 400</t>
        </is>
      </c>
      <c r="G565" s="23" t="inlineStr">
        <is>
          <t>DOCE</t>
        </is>
      </c>
      <c r="H565" s="26" t="n">
        <v>0.4</v>
      </c>
      <c r="I565" s="36" t="n">
        <v>6000</v>
      </c>
      <c r="J565" s="21">
        <f>I565*H565</f>
        <v/>
      </c>
      <c r="K565" s="21">
        <f>IFERROR(IF(J565/P565&gt;1,P565,J565),0)</f>
        <v/>
      </c>
      <c r="L565" s="36" t="n">
        <v>6225</v>
      </c>
      <c r="M565" s="21">
        <f>L565*H565</f>
        <v/>
      </c>
      <c r="N565" s="21">
        <f>IFERROR(IF(M565/K565&gt;1,K565,M565),0)</f>
        <v/>
      </c>
      <c r="O565" s="36" t="n">
        <v>6000</v>
      </c>
      <c r="P565" s="21">
        <f>O565*H565</f>
        <v/>
      </c>
      <c r="Q565" s="30">
        <f>IF(MONTH(E565+1)=MONTH(E565+6),MONTH(E565+1),IF(MIN(EOMONTH(E565+1,0),E565+6)-(E565+1)+1&gt;=3,MONTH(E565+1),MONTH(E565+6)))</f>
        <v/>
      </c>
      <c r="R565" s="22">
        <f>IFERROR(K565/P565, 0)</f>
        <v/>
      </c>
      <c r="S565" s="38">
        <f>IFERROR(N565/P565,0)</f>
        <v/>
      </c>
      <c r="T565" s="31">
        <f>IFERROR(IF(N565&gt;0,(N565/K565),MIN(1,M565/J565)),0)</f>
        <v/>
      </c>
      <c r="U565" s="33" t="n"/>
    </row>
    <row r="566" hidden="1" s="40">
      <c r="A566" s="18" t="inlineStr">
        <is>
          <t>Semana 1 - abril</t>
        </is>
      </c>
      <c r="B566" s="27">
        <f>YEAR(E566)</f>
        <v/>
      </c>
      <c r="C566" s="18">
        <f>INDEX({"Janeiro";"Fevereiro";"Março";"Abril";"Maio";"Junho";"Julho";"Agosto";"Setembro";"Outubro";"Novembro";"Dezembro"},Q566)</f>
        <v/>
      </c>
      <c r="D566" s="19" t="n">
        <v>1</v>
      </c>
      <c r="E566" s="20" t="n">
        <v>46113</v>
      </c>
      <c r="F566" s="18" t="inlineStr">
        <is>
          <t>IOGURTE VIÇOSA MORANGO LIGHT 180g</t>
        </is>
      </c>
      <c r="G566" s="18" t="inlineStr">
        <is>
          <t>IOGURTE</t>
        </is>
      </c>
      <c r="H566" s="21" t="n">
        <v>0.18</v>
      </c>
      <c r="I566" s="36" t="n">
        <v>0</v>
      </c>
      <c r="J566" s="21">
        <f>I566*H566</f>
        <v/>
      </c>
      <c r="K566" s="21">
        <f>IFERROR(IF(J566/P566&gt;1,P566,J566),0)</f>
        <v/>
      </c>
      <c r="L566" s="36" t="n">
        <v>0</v>
      </c>
      <c r="M566" s="21">
        <f>L566*H566</f>
        <v/>
      </c>
      <c r="N566" s="21">
        <f>IFERROR(IF(M566/K566&gt;1,K566,M566),0)</f>
        <v/>
      </c>
      <c r="O566" s="36" t="n">
        <v>0</v>
      </c>
      <c r="P566" s="21">
        <f>O566*H566</f>
        <v/>
      </c>
      <c r="Q566" s="30">
        <f>IF(MONTH(E566+1)=MONTH(E566+6),MONTH(E566+1),IF(MIN(EOMONTH(E566+1,0),E566+6)-(E566+1)+1&gt;=3,MONTH(E566+1),MONTH(E566+6)))</f>
        <v/>
      </c>
      <c r="R566" s="22">
        <f>IFERROR(K566/P566, 0)</f>
        <v/>
      </c>
      <c r="S566" s="38">
        <f>IFERROR(N566/P566,0)</f>
        <v/>
      </c>
      <c r="T566" s="31">
        <f>IFERROR(IF(N566&gt;0,(N566/K566),MIN(1,M566/J566)),0)</f>
        <v/>
      </c>
      <c r="U566" s="33" t="n"/>
    </row>
    <row r="567" hidden="1" s="40">
      <c r="A567" s="23" t="inlineStr">
        <is>
          <t>Semana 1 - abril</t>
        </is>
      </c>
      <c r="B567" s="27">
        <f>YEAR(E567)</f>
        <v/>
      </c>
      <c r="C567" s="18">
        <f>INDEX({"Janeiro";"Fevereiro";"Março";"Abril";"Maio";"Junho";"Julho";"Agosto";"Setembro";"Outubro";"Novembro";"Dezembro"},Q567)</f>
        <v/>
      </c>
      <c r="D567" s="24" t="n">
        <v>1</v>
      </c>
      <c r="E567" s="25" t="n">
        <v>46113</v>
      </c>
      <c r="F567" s="23" t="inlineStr">
        <is>
          <t>IOGURTE VIÇOSA MORANGO LIGHT 800g</t>
        </is>
      </c>
      <c r="G567" s="23" t="inlineStr">
        <is>
          <t>IOGURTE</t>
        </is>
      </c>
      <c r="H567" s="26" t="n">
        <v>0.8</v>
      </c>
      <c r="I567" s="36" t="n">
        <v>0</v>
      </c>
      <c r="J567" s="21">
        <f>I567*H567</f>
        <v/>
      </c>
      <c r="K567" s="21">
        <f>IFERROR(IF(J567/P567&gt;1,P567,J567),0)</f>
        <v/>
      </c>
      <c r="L567" s="36" t="n">
        <v>0</v>
      </c>
      <c r="M567" s="21">
        <f>L567*H567</f>
        <v/>
      </c>
      <c r="N567" s="21">
        <f>IFERROR(IF(M567/K567&gt;1,K567,M567),0)</f>
        <v/>
      </c>
      <c r="O567" s="36" t="n">
        <v>0</v>
      </c>
      <c r="P567" s="21">
        <f>O567*H567</f>
        <v/>
      </c>
      <c r="Q567" s="30">
        <f>IF(MONTH(E567+1)=MONTH(E567+6),MONTH(E567+1),IF(MIN(EOMONTH(E567+1,0),E567+6)-(E567+1)+1&gt;=3,MONTH(E567+1),MONTH(E567+6)))</f>
        <v/>
      </c>
      <c r="R567" s="22">
        <f>IFERROR(K567/P567, 0)</f>
        <v/>
      </c>
      <c r="S567" s="38">
        <f>IFERROR(N567/P567,0)</f>
        <v/>
      </c>
      <c r="T567" s="31">
        <f>IFERROR(IF(N567&gt;0,(N567/K567),MIN(1,M567/J567)),0)</f>
        <v/>
      </c>
      <c r="U567" s="33" t="n"/>
    </row>
    <row r="568" hidden="1" s="40">
      <c r="A568" s="23" t="inlineStr">
        <is>
          <t>Semana 1 - abril</t>
        </is>
      </c>
      <c r="B568" s="27">
        <f>YEAR(E568)</f>
        <v/>
      </c>
      <c r="C568" s="18">
        <f>INDEX({"Janeiro";"Fevereiro";"Março";"Abril";"Maio";"Junho";"Julho";"Agosto";"Setembro";"Outubro";"Novembro";"Dezembro"},Q568)</f>
        <v/>
      </c>
      <c r="D568" s="24" t="n">
        <v>1</v>
      </c>
      <c r="E568" s="25" t="n">
        <v>46113</v>
      </c>
      <c r="F568" s="23" t="inlineStr">
        <is>
          <t>Iogurte Abacaxi c/ Coco 120g</t>
        </is>
      </c>
      <c r="G568" s="23" t="inlineStr">
        <is>
          <t>IOGURTE</t>
        </is>
      </c>
      <c r="H568" s="26" t="n">
        <v>0.12</v>
      </c>
      <c r="I568" s="36" t="n">
        <v>2000</v>
      </c>
      <c r="J568" s="21">
        <f>I568*H568</f>
        <v/>
      </c>
      <c r="K568" s="21">
        <f>IFERROR(IF(J568/P568&gt;1,P568,J568),0)</f>
        <v/>
      </c>
      <c r="L568" s="36" t="n">
        <v>2209</v>
      </c>
      <c r="M568" s="21">
        <f>L568*H568</f>
        <v/>
      </c>
      <c r="N568" s="21">
        <f>IFERROR(IF(M568/K568&gt;1,K568,M568),0)</f>
        <v/>
      </c>
      <c r="O568" s="36" t="n">
        <v>2000</v>
      </c>
      <c r="P568" s="21">
        <f>O568*H568</f>
        <v/>
      </c>
      <c r="Q568" s="30">
        <f>IF(MONTH(E568+1)=MONTH(E568+6),MONTH(E568+1),IF(MIN(EOMONTH(E568+1,0),E568+6)-(E568+1)+1&gt;=3,MONTH(E568+1),MONTH(E568+6)))</f>
        <v/>
      </c>
      <c r="R568" s="22">
        <f>IFERROR(K568/P568, 0)</f>
        <v/>
      </c>
      <c r="S568" s="38">
        <f>IFERROR(N568/P568,0)</f>
        <v/>
      </c>
      <c r="T568" s="31">
        <f>IFERROR(IF(N568&gt;0,(N568/K568),MIN(1,M568/J568)),0)</f>
        <v/>
      </c>
      <c r="U568" s="33" t="n"/>
    </row>
    <row r="569" hidden="1" s="40">
      <c r="A569" s="18" t="inlineStr">
        <is>
          <t>Semana 1 - abril</t>
        </is>
      </c>
      <c r="B569" s="27">
        <f>YEAR(E569)</f>
        <v/>
      </c>
      <c r="C569" s="18">
        <f>INDEX({"Janeiro";"Fevereiro";"Março";"Abril";"Maio";"Junho";"Julho";"Agosto";"Setembro";"Outubro";"Novembro";"Dezembro"},Q569)</f>
        <v/>
      </c>
      <c r="D569" s="19" t="n">
        <v>1</v>
      </c>
      <c r="E569" s="20" t="n">
        <v>46113</v>
      </c>
      <c r="F569" s="18" t="inlineStr">
        <is>
          <t>Iogurte Abacaxi c/ Coco 185g</t>
        </is>
      </c>
      <c r="G569" s="18" t="inlineStr">
        <is>
          <t>IOGURTE</t>
        </is>
      </c>
      <c r="H569" s="21" t="n">
        <v>0.185</v>
      </c>
      <c r="I569" s="36" t="n">
        <v>260</v>
      </c>
      <c r="J569" s="21">
        <f>I569*H569</f>
        <v/>
      </c>
      <c r="K569" s="21">
        <f>IFERROR(IF(J569/P569&gt;1,P569,J569),0)</f>
        <v/>
      </c>
      <c r="L569" s="36" t="n">
        <v>240</v>
      </c>
      <c r="M569" s="21">
        <f>L569*H569</f>
        <v/>
      </c>
      <c r="N569" s="21">
        <f>IFERROR(IF(M569/K569&gt;1,K569,M569),0)</f>
        <v/>
      </c>
      <c r="O569" s="36" t="n">
        <v>780</v>
      </c>
      <c r="P569" s="21">
        <f>O569*H569</f>
        <v/>
      </c>
      <c r="Q569" s="30">
        <f>IF(MONTH(E569+1)=MONTH(E569+6),MONTH(E569+1),IF(MIN(EOMONTH(E569+1,0),E569+6)-(E569+1)+1&gt;=3,MONTH(E569+1),MONTH(E569+6)))</f>
        <v/>
      </c>
      <c r="R569" s="22">
        <f>IFERROR(K569/P569, 0)</f>
        <v/>
      </c>
      <c r="S569" s="38">
        <f>IFERROR(N569/P569,0)</f>
        <v/>
      </c>
      <c r="T569" s="31">
        <f>IFERROR(IF(N569&gt;0,(N569/K569),MIN(1,M569/J569)),0)</f>
        <v/>
      </c>
      <c r="U569" s="33" t="n"/>
    </row>
    <row r="570" hidden="1" s="40">
      <c r="A570" s="23" t="inlineStr">
        <is>
          <t>Semana 1 - abril</t>
        </is>
      </c>
      <c r="B570" s="27">
        <f>YEAR(E570)</f>
        <v/>
      </c>
      <c r="C570" s="18">
        <f>INDEX({"Janeiro";"Fevereiro";"Março";"Abril";"Maio";"Junho";"Julho";"Agosto";"Setembro";"Outubro";"Novembro";"Dezembro"},Q570)</f>
        <v/>
      </c>
      <c r="D570" s="24" t="n">
        <v>1</v>
      </c>
      <c r="E570" s="25" t="n">
        <v>46113</v>
      </c>
      <c r="F570" s="23" t="inlineStr">
        <is>
          <t>Iogurte Abacaxi c/ Coco 900g</t>
        </is>
      </c>
      <c r="G570" s="23" t="inlineStr">
        <is>
          <t>IOGURTE</t>
        </is>
      </c>
      <c r="H570" s="26" t="n">
        <v>0.9</v>
      </c>
      <c r="I570" s="36" t="n">
        <v>1260</v>
      </c>
      <c r="J570" s="21">
        <f>I570*H570</f>
        <v/>
      </c>
      <c r="K570" s="21">
        <f>IFERROR(IF(J570/P570&gt;1,P570,J570),0)</f>
        <v/>
      </c>
      <c r="L570" s="36" t="n">
        <v>1224</v>
      </c>
      <c r="M570" s="21">
        <f>L570*H570</f>
        <v/>
      </c>
      <c r="N570" s="21">
        <f>IFERROR(IF(M570/K570&gt;1,K570,M570),0)</f>
        <v/>
      </c>
      <c r="O570" s="36" t="n">
        <v>3300</v>
      </c>
      <c r="P570" s="21">
        <f>O570*H570</f>
        <v/>
      </c>
      <c r="Q570" s="30">
        <f>IF(MONTH(E570+1)=MONTH(E570+6),MONTH(E570+1),IF(MIN(EOMONTH(E570+1,0),E570+6)-(E570+1)+1&gt;=3,MONTH(E570+1),MONTH(E570+6)))</f>
        <v/>
      </c>
      <c r="R570" s="22">
        <f>IFERROR(K570/P570, 0)</f>
        <v/>
      </c>
      <c r="S570" s="38">
        <f>IFERROR(N570/P570,0)</f>
        <v/>
      </c>
      <c r="T570" s="31">
        <f>IFERROR(IF(N570&gt;0,(N570/K570),MIN(1,M570/J570)),0)</f>
        <v/>
      </c>
      <c r="U570" s="33" t="n"/>
    </row>
    <row r="571" hidden="1" s="40">
      <c r="A571" s="23" t="inlineStr">
        <is>
          <t>Semana 1 - abril</t>
        </is>
      </c>
      <c r="B571" s="27">
        <f>YEAR(E571)</f>
        <v/>
      </c>
      <c r="C571" s="18">
        <f>INDEX({"Janeiro";"Fevereiro";"Março";"Abril";"Maio";"Junho";"Julho";"Agosto";"Setembro";"Outubro";"Novembro";"Dezembro"},Q571)</f>
        <v/>
      </c>
      <c r="D571" s="24" t="n">
        <v>1</v>
      </c>
      <c r="E571" s="25" t="n">
        <v>46113</v>
      </c>
      <c r="F571" s="23" t="inlineStr">
        <is>
          <t>Iogurte Coco 120g</t>
        </is>
      </c>
      <c r="G571" s="23" t="inlineStr">
        <is>
          <t>IOGURTE</t>
        </is>
      </c>
      <c r="H571" s="26" t="n">
        <v>0.12</v>
      </c>
      <c r="I571" s="36" t="n">
        <v>7000</v>
      </c>
      <c r="J571" s="21">
        <f>I571*H571</f>
        <v/>
      </c>
      <c r="K571" s="21">
        <f>IFERROR(IF(J571/P571&gt;1,P571,J571),0)</f>
        <v/>
      </c>
      <c r="L571" s="36" t="n">
        <v>4815</v>
      </c>
      <c r="M571" s="21">
        <f>L571*H571</f>
        <v/>
      </c>
      <c r="N571" s="21">
        <f>IFERROR(IF(M571/K571&gt;1,K571,M571),0)</f>
        <v/>
      </c>
      <c r="O571" s="36" t="n">
        <v>7000</v>
      </c>
      <c r="P571" s="21">
        <f>O571*H571</f>
        <v/>
      </c>
      <c r="Q571" s="30">
        <f>IF(MONTH(E571+1)=MONTH(E571+6),MONTH(E571+1),IF(MIN(EOMONTH(E571+1,0),E571+6)-(E571+1)+1&gt;=3,MONTH(E571+1),MONTH(E571+6)))</f>
        <v/>
      </c>
      <c r="R571" s="22">
        <f>IFERROR(K571/P571, 0)</f>
        <v/>
      </c>
      <c r="S571" s="38">
        <f>IFERROR(N571/P571,0)</f>
        <v/>
      </c>
      <c r="T571" s="31">
        <f>IFERROR(IF(N571&gt;0,(N571/K571),MIN(1,M571/J571)),0)</f>
        <v/>
      </c>
      <c r="U571" s="33" t="n"/>
    </row>
    <row r="572" hidden="1" s="40">
      <c r="A572" s="18" t="inlineStr">
        <is>
          <t>Semana 1 - abril</t>
        </is>
      </c>
      <c r="B572" s="27">
        <f>YEAR(E572)</f>
        <v/>
      </c>
      <c r="C572" s="18">
        <f>INDEX({"Janeiro";"Fevereiro";"Março";"Abril";"Maio";"Junho";"Julho";"Agosto";"Setembro";"Outubro";"Novembro";"Dezembro"},Q572)</f>
        <v/>
      </c>
      <c r="D572" s="19" t="n">
        <v>1</v>
      </c>
      <c r="E572" s="20" t="n">
        <v>46113</v>
      </c>
      <c r="F572" s="18" t="inlineStr">
        <is>
          <t>Iogurte Coco 185g</t>
        </is>
      </c>
      <c r="G572" s="18" t="inlineStr">
        <is>
          <t>IOGURTE</t>
        </is>
      </c>
      <c r="H572" s="21" t="n">
        <v>0.185</v>
      </c>
      <c r="I572" s="36" t="n">
        <v>780</v>
      </c>
      <c r="J572" s="21">
        <f>I572*H572</f>
        <v/>
      </c>
      <c r="K572" s="21">
        <f>IFERROR(IF(J572/P572&gt;1,P572,J572),0)</f>
        <v/>
      </c>
      <c r="L572" s="36" t="n">
        <v>758</v>
      </c>
      <c r="M572" s="21">
        <f>L572*H572</f>
        <v/>
      </c>
      <c r="N572" s="21">
        <f>IFERROR(IF(M572/K572&gt;1,K572,M572),0)</f>
        <v/>
      </c>
      <c r="O572" s="36" t="n">
        <v>780</v>
      </c>
      <c r="P572" s="21">
        <f>O572*H572</f>
        <v/>
      </c>
      <c r="Q572" s="30">
        <f>IF(MONTH(E572+1)=MONTH(E572+6),MONTH(E572+1),IF(MIN(EOMONTH(E572+1,0),E572+6)-(E572+1)+1&gt;=3,MONTH(E572+1),MONTH(E572+6)))</f>
        <v/>
      </c>
      <c r="R572" s="22">
        <f>IFERROR(K572/P572, 0)</f>
        <v/>
      </c>
      <c r="S572" s="38">
        <f>IFERROR(N572/P572,0)</f>
        <v/>
      </c>
      <c r="T572" s="31">
        <f>IFERROR(IF(N572&gt;0,(N572/K572),MIN(1,M572/J572)),0)</f>
        <v/>
      </c>
      <c r="U572" s="33" t="n"/>
    </row>
    <row r="573" hidden="1" s="40">
      <c r="A573" s="23" t="inlineStr">
        <is>
          <t>Semana 1 - abril</t>
        </is>
      </c>
      <c r="B573" s="27">
        <f>YEAR(E573)</f>
        <v/>
      </c>
      <c r="C573" s="18">
        <f>INDEX({"Janeiro";"Fevereiro";"Março";"Abril";"Maio";"Junho";"Julho";"Agosto";"Setembro";"Outubro";"Novembro";"Dezembro"},Q573)</f>
        <v/>
      </c>
      <c r="D573" s="24" t="n">
        <v>1</v>
      </c>
      <c r="E573" s="25" t="n">
        <v>46113</v>
      </c>
      <c r="F573" s="23" t="inlineStr">
        <is>
          <t>Iogurte Coco 900g</t>
        </is>
      </c>
      <c r="G573" s="23" t="inlineStr">
        <is>
          <t>IOGURTE</t>
        </is>
      </c>
      <c r="H573" s="26" t="n">
        <v>0.9</v>
      </c>
      <c r="I573" s="36" t="n">
        <v>1620</v>
      </c>
      <c r="J573" s="21">
        <f>I573*H573</f>
        <v/>
      </c>
      <c r="K573" s="21">
        <f>IFERROR(IF(J573/P573&gt;1,P573,J573),0)</f>
        <v/>
      </c>
      <c r="L573" s="36" t="n">
        <v>1729</v>
      </c>
      <c r="M573" s="21">
        <f>L573*H573</f>
        <v/>
      </c>
      <c r="N573" s="21">
        <f>IFERROR(IF(M573/K573&gt;1,K573,M573),0)</f>
        <v/>
      </c>
      <c r="O573" s="36" t="n">
        <v>2200</v>
      </c>
      <c r="P573" s="21">
        <f>O573*H573</f>
        <v/>
      </c>
      <c r="Q573" s="30">
        <f>IF(MONTH(E573+1)=MONTH(E573+6),MONTH(E573+1),IF(MIN(EOMONTH(E573+1,0),E573+6)-(E573+1)+1&gt;=3,MONTH(E573+1),MONTH(E573+6)))</f>
        <v/>
      </c>
      <c r="R573" s="22">
        <f>IFERROR(K573/P573, 0)</f>
        <v/>
      </c>
      <c r="S573" s="38">
        <f>IFERROR(N573/P573,0)</f>
        <v/>
      </c>
      <c r="T573" s="31">
        <f>IFERROR(IF(N573&gt;0,(N573/K573),MIN(1,M573/J573)),0)</f>
        <v/>
      </c>
      <c r="U573" s="33" t="n"/>
    </row>
    <row r="574" hidden="1" s="40">
      <c r="A574" s="18" t="inlineStr">
        <is>
          <t>Semana 1 - abril</t>
        </is>
      </c>
      <c r="B574" s="27">
        <f>YEAR(E574)</f>
        <v/>
      </c>
      <c r="C574" s="18">
        <f>INDEX({"Janeiro";"Fevereiro";"Março";"Abril";"Maio";"Junho";"Julho";"Agosto";"Setembro";"Outubro";"Novembro";"Dezembro"},Q574)</f>
        <v/>
      </c>
      <c r="D574" s="19" t="n">
        <v>1</v>
      </c>
      <c r="E574" s="20" t="n">
        <v>46113</v>
      </c>
      <c r="F574" s="18" t="inlineStr">
        <is>
          <t>Iogurte Grego Frutas vermelhas 120g</t>
        </is>
      </c>
      <c r="G574" s="18" t="inlineStr">
        <is>
          <t>IOGURTE</t>
        </is>
      </c>
      <c r="H574" s="21" t="n">
        <v>0.17</v>
      </c>
      <c r="I574" s="36" t="n">
        <v>0</v>
      </c>
      <c r="J574" s="21">
        <f>I574*H574</f>
        <v/>
      </c>
      <c r="K574" s="21">
        <f>IFERROR(IF(J574/P574&gt;1,P574,J574),0)</f>
        <v/>
      </c>
      <c r="L574" s="36" t="n">
        <v>0</v>
      </c>
      <c r="M574" s="21">
        <f>L574*H574</f>
        <v/>
      </c>
      <c r="N574" s="21">
        <f>IFERROR(IF(M574/K574&gt;1,K574,M574),0)</f>
        <v/>
      </c>
      <c r="O574" s="36" t="n">
        <v>1400</v>
      </c>
      <c r="P574" s="21">
        <f>O574*H574</f>
        <v/>
      </c>
      <c r="Q574" s="30">
        <f>IF(MONTH(E574+1)=MONTH(E574+6),MONTH(E574+1),IF(MIN(EOMONTH(E574+1,0),E574+6)-(E574+1)+1&gt;=3,MONTH(E574+1),MONTH(E574+6)))</f>
        <v/>
      </c>
      <c r="R574" s="22">
        <f>IFERROR(K574/P574, 0)</f>
        <v/>
      </c>
      <c r="S574" s="38">
        <f>IFERROR(N574/P574,0)</f>
        <v/>
      </c>
      <c r="T574" s="31">
        <f>IFERROR(IF(N574&gt;0,(N574/K574),MIN(1,M574/J574)),0)</f>
        <v/>
      </c>
      <c r="U574" s="33" t="n"/>
    </row>
    <row r="575" hidden="1" s="40">
      <c r="A575" s="18" t="inlineStr">
        <is>
          <t>Semana 1 - abril</t>
        </is>
      </c>
      <c r="B575" s="27">
        <f>YEAR(E575)</f>
        <v/>
      </c>
      <c r="C575" s="18">
        <f>INDEX({"Janeiro";"Fevereiro";"Março";"Abril";"Maio";"Junho";"Julho";"Agosto";"Setembro";"Outubro";"Novembro";"Dezembro"},Q575)</f>
        <v/>
      </c>
      <c r="D575" s="19" t="n">
        <v>1</v>
      </c>
      <c r="E575" s="20" t="n">
        <v>46113</v>
      </c>
      <c r="F575" s="18" t="inlineStr">
        <is>
          <t>Iogurte Morango 120g</t>
        </is>
      </c>
      <c r="G575" s="18" t="inlineStr">
        <is>
          <t>IOGURTE</t>
        </is>
      </c>
      <c r="H575" s="21" t="n">
        <v>0.12</v>
      </c>
      <c r="I575" s="36" t="n">
        <v>20000</v>
      </c>
      <c r="J575" s="21">
        <f>I575*H575</f>
        <v/>
      </c>
      <c r="K575" s="21">
        <f>IFERROR(IF(J575/P575&gt;1,P575,J575),0)</f>
        <v/>
      </c>
      <c r="L575" s="36" t="n">
        <v>17200</v>
      </c>
      <c r="M575" s="21">
        <f>L575*H575</f>
        <v/>
      </c>
      <c r="N575" s="21">
        <f>IFERROR(IF(M575/K575&gt;1,K575,M575),0)</f>
        <v/>
      </c>
      <c r="O575" s="36" t="n">
        <v>42000</v>
      </c>
      <c r="P575" s="21">
        <f>O575*H575</f>
        <v/>
      </c>
      <c r="Q575" s="30">
        <f>IF(MONTH(E575+1)=MONTH(E575+6),MONTH(E575+1),IF(MIN(EOMONTH(E575+1,0),E575+6)-(E575+1)+1&gt;=3,MONTH(E575+1),MONTH(E575+6)))</f>
        <v/>
      </c>
      <c r="R575" s="22">
        <f>IFERROR(K575/P575, 0)</f>
        <v/>
      </c>
      <c r="S575" s="38">
        <f>IFERROR(N575/P575,0)</f>
        <v/>
      </c>
      <c r="T575" s="31">
        <f>IFERROR(IF(N575&gt;0,(N575/K575),MIN(1,M575/J575)),0)</f>
        <v/>
      </c>
      <c r="U575" s="33" t="n"/>
    </row>
    <row r="576" hidden="1" s="40">
      <c r="A576" s="23" t="inlineStr">
        <is>
          <t>Semana 1 - abril</t>
        </is>
      </c>
      <c r="B576" s="27">
        <f>YEAR(E576)</f>
        <v/>
      </c>
      <c r="C576" s="18">
        <f>INDEX({"Janeiro";"Fevereiro";"Março";"Abril";"Maio";"Junho";"Julho";"Agosto";"Setembro";"Outubro";"Novembro";"Dezembro"},Q576)</f>
        <v/>
      </c>
      <c r="D576" s="24" t="n">
        <v>1</v>
      </c>
      <c r="E576" s="25" t="n">
        <v>46113</v>
      </c>
      <c r="F576" s="23" t="inlineStr">
        <is>
          <t>Iogurte Morango 185g</t>
        </is>
      </c>
      <c r="G576" s="23" t="inlineStr">
        <is>
          <t>IOGURTE</t>
        </is>
      </c>
      <c r="H576" s="26" t="n">
        <v>0.185</v>
      </c>
      <c r="I576" s="36" t="n">
        <v>1820</v>
      </c>
      <c r="J576" s="21">
        <f>I576*H576</f>
        <v/>
      </c>
      <c r="K576" s="21">
        <f>IFERROR(IF(J576/P576&gt;1,P576,J576),0)</f>
        <v/>
      </c>
      <c r="L576" s="36" t="n">
        <v>1336</v>
      </c>
      <c r="M576" s="21">
        <f>L576*H576</f>
        <v/>
      </c>
      <c r="N576" s="21">
        <f>IFERROR(IF(M576/K576&gt;1,K576,M576),0)</f>
        <v/>
      </c>
      <c r="O576" s="36" t="n">
        <v>2340</v>
      </c>
      <c r="P576" s="21">
        <f>O576*H576</f>
        <v/>
      </c>
      <c r="Q576" s="30">
        <f>IF(MONTH(E576+1)=MONTH(E576+6),MONTH(E576+1),IF(MIN(EOMONTH(E576+1,0),E576+6)-(E576+1)+1&gt;=3,MONTH(E576+1),MONTH(E576+6)))</f>
        <v/>
      </c>
      <c r="R576" s="22">
        <f>IFERROR(K576/P576, 0)</f>
        <v/>
      </c>
      <c r="S576" s="38">
        <f>IFERROR(N576/P576,0)</f>
        <v/>
      </c>
      <c r="T576" s="31">
        <f>IFERROR(IF(N576&gt;0,(N576/K576),MIN(1,M576/J576)),0)</f>
        <v/>
      </c>
      <c r="U576" s="33" t="n"/>
    </row>
    <row r="577" hidden="1" s="40">
      <c r="A577" s="18" t="inlineStr">
        <is>
          <t>Semana 1 - abril</t>
        </is>
      </c>
      <c r="B577" s="27">
        <f>YEAR(E577)</f>
        <v/>
      </c>
      <c r="C577" s="18">
        <f>INDEX({"Janeiro";"Fevereiro";"Março";"Abril";"Maio";"Junho";"Julho";"Agosto";"Setembro";"Outubro";"Novembro";"Dezembro"},Q577)</f>
        <v/>
      </c>
      <c r="D577" s="19" t="n">
        <v>1</v>
      </c>
      <c r="E577" s="20" t="n">
        <v>46113</v>
      </c>
      <c r="F577" s="18" t="inlineStr">
        <is>
          <t>Iogurte Morango 900G</t>
        </is>
      </c>
      <c r="G577" s="18" t="inlineStr">
        <is>
          <t>IOGURTE</t>
        </is>
      </c>
      <c r="H577" s="21" t="n">
        <v>0.9</v>
      </c>
      <c r="I577" s="36" t="n">
        <v>3960</v>
      </c>
      <c r="J577" s="21">
        <f>I577*H577</f>
        <v/>
      </c>
      <c r="K577" s="21">
        <f>IFERROR(IF(J577/P577&gt;1,P577,J577),0)</f>
        <v/>
      </c>
      <c r="L577" s="36" t="n">
        <v>3990</v>
      </c>
      <c r="M577" s="21">
        <f>L577*H577</f>
        <v/>
      </c>
      <c r="N577" s="21">
        <f>IFERROR(IF(M577/K577&gt;1,K577,M577),0)</f>
        <v/>
      </c>
      <c r="O577" s="36" t="n">
        <v>8500</v>
      </c>
      <c r="P577" s="21">
        <f>O577*H577</f>
        <v/>
      </c>
      <c r="Q577" s="30">
        <f>IF(MONTH(E577+1)=MONTH(E577+6),MONTH(E577+1),IF(MIN(EOMONTH(E577+1,0),E577+6)-(E577+1)+1&gt;=3,MONTH(E577+1),MONTH(E577+6)))</f>
        <v/>
      </c>
      <c r="R577" s="22">
        <f>IFERROR(K577/P577, 0)</f>
        <v/>
      </c>
      <c r="S577" s="38">
        <f>IFERROR(N577/P577,0)</f>
        <v/>
      </c>
      <c r="T577" s="31">
        <f>IFERROR(IF(N577&gt;0,(N577/K577),MIN(1,M577/J577)),0)</f>
        <v/>
      </c>
      <c r="U577" s="33" t="n"/>
    </row>
    <row r="578" hidden="1" s="40">
      <c r="A578" s="23" t="inlineStr">
        <is>
          <t>Semana 1 - abril</t>
        </is>
      </c>
      <c r="B578" s="27">
        <f>YEAR(E578)</f>
        <v/>
      </c>
      <c r="C578" s="18">
        <f>INDEX({"Janeiro";"Fevereiro";"Março";"Abril";"Maio";"Junho";"Julho";"Agosto";"Setembro";"Outubro";"Novembro";"Dezembro"},Q578)</f>
        <v/>
      </c>
      <c r="D578" s="24" t="n">
        <v>1</v>
      </c>
      <c r="E578" s="25" t="n">
        <v>46113</v>
      </c>
      <c r="F578" s="23" t="inlineStr">
        <is>
          <t>Iogurte Natural Integral 170g</t>
        </is>
      </c>
      <c r="G578" s="23" t="inlineStr">
        <is>
          <t>IOGURTE</t>
        </is>
      </c>
      <c r="H578" s="26" t="n">
        <v>0.17</v>
      </c>
      <c r="I578" s="36" t="n">
        <v>7640</v>
      </c>
      <c r="J578" s="21">
        <f>I578*H578</f>
        <v/>
      </c>
      <c r="K578" s="21">
        <f>IFERROR(IF(J578/P578&gt;1,P578,J578),0)</f>
        <v/>
      </c>
      <c r="L578" s="36" t="n">
        <v>6730</v>
      </c>
      <c r="M578" s="21">
        <f>L578*H578</f>
        <v/>
      </c>
      <c r="N578" s="21">
        <f>IFERROR(IF(M578/K578&gt;1,K578,M578),0)</f>
        <v/>
      </c>
      <c r="O578" s="36" t="n">
        <v>7100</v>
      </c>
      <c r="P578" s="21">
        <f>O578*H578</f>
        <v/>
      </c>
      <c r="Q578" s="30">
        <f>IF(MONTH(E578+1)=MONTH(E578+6),MONTH(E578+1),IF(MIN(EOMONTH(E578+1,0),E578+6)-(E578+1)+1&gt;=3,MONTH(E578+1),MONTH(E578+6)))</f>
        <v/>
      </c>
      <c r="R578" s="22">
        <f>IFERROR(K578/P578, 0)</f>
        <v/>
      </c>
      <c r="S578" s="38">
        <f>IFERROR(N578/P578,0)</f>
        <v/>
      </c>
      <c r="T578" s="31">
        <f>IFERROR(IF(N578&gt;0,(N578/K578),MIN(1,M578/J578)),0)</f>
        <v/>
      </c>
      <c r="U578" s="33" t="n"/>
    </row>
    <row r="579" hidden="1" s="40">
      <c r="A579" s="18" t="inlineStr">
        <is>
          <t>Semana 1 - abril</t>
        </is>
      </c>
      <c r="B579" s="27">
        <f>YEAR(E579)</f>
        <v/>
      </c>
      <c r="C579" s="18">
        <f>INDEX({"Janeiro";"Fevereiro";"Março";"Abril";"Maio";"Junho";"Julho";"Agosto";"Setembro";"Outubro";"Novembro";"Dezembro"},Q579)</f>
        <v/>
      </c>
      <c r="D579" s="19" t="n">
        <v>1</v>
      </c>
      <c r="E579" s="20" t="n">
        <v>46113</v>
      </c>
      <c r="F579" s="18" t="inlineStr">
        <is>
          <t>Iogurte Natural Triplo Zero 170g</t>
        </is>
      </c>
      <c r="G579" s="18" t="inlineStr">
        <is>
          <t>IOGURTE</t>
        </is>
      </c>
      <c r="H579" s="21" t="n">
        <v>0.17</v>
      </c>
      <c r="I579" s="36" t="n">
        <v>3820</v>
      </c>
      <c r="J579" s="21">
        <f>I579*H579</f>
        <v/>
      </c>
      <c r="K579" s="21">
        <f>IFERROR(IF(J579/P579&gt;1,P579,J579),0)</f>
        <v/>
      </c>
      <c r="L579" s="36" t="n">
        <v>3770</v>
      </c>
      <c r="M579" s="21">
        <f>L579*H579</f>
        <v/>
      </c>
      <c r="N579" s="21">
        <f>IFERROR(IF(M579/K579&gt;1,K579,M579),0)</f>
        <v/>
      </c>
      <c r="O579" s="36" t="n">
        <v>3800</v>
      </c>
      <c r="P579" s="21">
        <f>O579*H579</f>
        <v/>
      </c>
      <c r="Q579" s="30">
        <f>IF(MONTH(E579+1)=MONTH(E579+6),MONTH(E579+1),IF(MIN(EOMONTH(E579+1,0),E579+6)-(E579+1)+1&gt;=3,MONTH(E579+1),MONTH(E579+6)))</f>
        <v/>
      </c>
      <c r="R579" s="22">
        <f>IFERROR(K579/P579, 0)</f>
        <v/>
      </c>
      <c r="S579" s="38">
        <f>IFERROR(N579/P579,0)</f>
        <v/>
      </c>
      <c r="T579" s="31">
        <f>IFERROR(IF(N579&gt;0,(N579/K579),MIN(1,M579/J579)),0)</f>
        <v/>
      </c>
      <c r="U579" s="33" t="n"/>
    </row>
    <row r="580" hidden="1" s="40">
      <c r="A580" s="18" t="inlineStr">
        <is>
          <t>Semana 1 - abril</t>
        </is>
      </c>
      <c r="B580" s="27">
        <f>YEAR(E580)</f>
        <v/>
      </c>
      <c r="C580" s="18">
        <f>INDEX({"Janeiro";"Fevereiro";"Março";"Abril";"Maio";"Junho";"Julho";"Agosto";"Setembro";"Outubro";"Novembro";"Dezembro"},Q580)</f>
        <v/>
      </c>
      <c r="D580" s="19" t="n">
        <v>1</v>
      </c>
      <c r="E580" s="20" t="n">
        <v>46113</v>
      </c>
      <c r="F580" s="18" t="inlineStr">
        <is>
          <t>Iogurte Salada 120g</t>
        </is>
      </c>
      <c r="G580" s="18" t="inlineStr">
        <is>
          <t>IOGURTE</t>
        </is>
      </c>
      <c r="H580" s="21" t="n">
        <v>0.12</v>
      </c>
      <c r="I580" s="36" t="n">
        <v>3000</v>
      </c>
      <c r="J580" s="21">
        <f>I580*H580</f>
        <v/>
      </c>
      <c r="K580" s="21">
        <f>IFERROR(IF(J580/P580&gt;1,P580,J580),0)</f>
        <v/>
      </c>
      <c r="L580" s="36" t="n">
        <v>1927</v>
      </c>
      <c r="M580" s="21">
        <f>L580*H580</f>
        <v/>
      </c>
      <c r="N580" s="21">
        <f>IFERROR(IF(M580/K580&gt;1,K580,M580),0)</f>
        <v/>
      </c>
      <c r="O580" s="36" t="n">
        <v>5000</v>
      </c>
      <c r="P580" s="21">
        <f>O580*H580</f>
        <v/>
      </c>
      <c r="Q580" s="30">
        <f>IF(MONTH(E580+1)=MONTH(E580+6),MONTH(E580+1),IF(MIN(EOMONTH(E580+1,0),E580+6)-(E580+1)+1&gt;=3,MONTH(E580+1),MONTH(E580+6)))</f>
        <v/>
      </c>
      <c r="R580" s="22">
        <f>IFERROR(K580/P580, 0)</f>
        <v/>
      </c>
      <c r="S580" s="38">
        <f>IFERROR(N580/P580,0)</f>
        <v/>
      </c>
      <c r="T580" s="31">
        <f>IFERROR(IF(N580&gt;0,(N580/K580),MIN(1,M580/J580)),0)</f>
        <v/>
      </c>
      <c r="U580" s="33" t="n"/>
    </row>
    <row r="581" hidden="1" s="40">
      <c r="A581" s="23" t="inlineStr">
        <is>
          <t>Semana 1 - abril</t>
        </is>
      </c>
      <c r="B581" s="27">
        <f>YEAR(E581)</f>
        <v/>
      </c>
      <c r="C581" s="18">
        <f>INDEX({"Janeiro";"Fevereiro";"Março";"Abril";"Maio";"Junho";"Julho";"Agosto";"Setembro";"Outubro";"Novembro";"Dezembro"},Q581)</f>
        <v/>
      </c>
      <c r="D581" s="24" t="n">
        <v>1</v>
      </c>
      <c r="E581" s="25" t="n">
        <v>46113</v>
      </c>
      <c r="F581" s="23" t="inlineStr">
        <is>
          <t>Iogurte Salada 185g</t>
        </is>
      </c>
      <c r="G581" s="23" t="inlineStr">
        <is>
          <t>IOGURTE</t>
        </is>
      </c>
      <c r="H581" s="26" t="n">
        <v>0.185</v>
      </c>
      <c r="I581" s="36" t="n">
        <v>520</v>
      </c>
      <c r="J581" s="21">
        <f>I581*H581</f>
        <v/>
      </c>
      <c r="K581" s="21">
        <f>IFERROR(IF(J581/P581&gt;1,P581,J581),0)</f>
        <v/>
      </c>
      <c r="L581" s="36" t="n">
        <v>505</v>
      </c>
      <c r="M581" s="21">
        <f>L581*H581</f>
        <v/>
      </c>
      <c r="N581" s="21">
        <f>IFERROR(IF(M581/K581&gt;1,K581,M581),0)</f>
        <v/>
      </c>
      <c r="O581" s="36" t="n">
        <v>780</v>
      </c>
      <c r="P581" s="21">
        <f>O581*H581</f>
        <v/>
      </c>
      <c r="Q581" s="30">
        <f>IF(MONTH(E581+1)=MONTH(E581+6),MONTH(E581+1),IF(MIN(EOMONTH(E581+1,0),E581+6)-(E581+1)+1&gt;=3,MONTH(E581+1),MONTH(E581+6)))</f>
        <v/>
      </c>
      <c r="R581" s="22">
        <f>IFERROR(K581/P581, 0)</f>
        <v/>
      </c>
      <c r="S581" s="38">
        <f>IFERROR(N581/P581,0)</f>
        <v/>
      </c>
      <c r="T581" s="31">
        <f>IFERROR(IF(N581&gt;0,(N581/K581),MIN(1,M581/J581)),0)</f>
        <v/>
      </c>
      <c r="U581" s="33" t="n"/>
    </row>
    <row r="582" hidden="1" s="40">
      <c r="A582" s="18" t="inlineStr">
        <is>
          <t>Semana 1 - abril</t>
        </is>
      </c>
      <c r="B582" s="27">
        <f>YEAR(E582)</f>
        <v/>
      </c>
      <c r="C582" s="18">
        <f>INDEX({"Janeiro";"Fevereiro";"Março";"Abril";"Maio";"Junho";"Julho";"Agosto";"Setembro";"Outubro";"Novembro";"Dezembro"},Q582)</f>
        <v/>
      </c>
      <c r="D582" s="19" t="n">
        <v>1</v>
      </c>
      <c r="E582" s="20" t="n">
        <v>46113</v>
      </c>
      <c r="F582" s="18" t="inlineStr">
        <is>
          <t>Iogurte Salada 900g</t>
        </is>
      </c>
      <c r="G582" s="18" t="inlineStr">
        <is>
          <t>IOGURTE</t>
        </is>
      </c>
      <c r="H582" s="21" t="n">
        <v>0.9</v>
      </c>
      <c r="I582" s="36" t="n">
        <v>2250</v>
      </c>
      <c r="J582" s="21">
        <f>I582*H582</f>
        <v/>
      </c>
      <c r="K582" s="21">
        <f>IFERROR(IF(J582/P582&gt;1,P582,J582),0)</f>
        <v/>
      </c>
      <c r="L582" s="36" t="n">
        <v>1206</v>
      </c>
      <c r="M582" s="21">
        <f>L582*H582</f>
        <v/>
      </c>
      <c r="N582" s="21">
        <f>IFERROR(IF(M582/K582&gt;1,K582,M582),0)</f>
        <v/>
      </c>
      <c r="O582" s="36" t="n">
        <v>2900</v>
      </c>
      <c r="P582" s="21">
        <f>O582*H582</f>
        <v/>
      </c>
      <c r="Q582" s="30">
        <f>IF(MONTH(E582+1)=MONTH(E582+6),MONTH(E582+1),IF(MIN(EOMONTH(E582+1,0),E582+6)-(E582+1)+1&gt;=3,MONTH(E582+1),MONTH(E582+6)))</f>
        <v/>
      </c>
      <c r="R582" s="22">
        <f>IFERROR(K582/P582, 0)</f>
        <v/>
      </c>
      <c r="S582" s="38">
        <f>IFERROR(N582/P582,0)</f>
        <v/>
      </c>
      <c r="T582" s="31">
        <f>IFERROR(IF(N582&gt;0,(N582/K582),MIN(1,M582/J582)),0)</f>
        <v/>
      </c>
      <c r="U582" s="33" t="n"/>
    </row>
    <row r="583" hidden="1" s="40">
      <c r="A583" s="23" t="inlineStr">
        <is>
          <t>Semana 1 - abril</t>
        </is>
      </c>
      <c r="B583" s="27">
        <f>YEAR(E583)</f>
        <v/>
      </c>
      <c r="C583" s="18">
        <f>INDEX({"Janeiro";"Fevereiro";"Março";"Abril";"Maio";"Junho";"Julho";"Agosto";"Setembro";"Outubro";"Novembro";"Dezembro"},Q583)</f>
        <v/>
      </c>
      <c r="D583" s="24" t="n">
        <v>1</v>
      </c>
      <c r="E583" s="25" t="n">
        <v>46113</v>
      </c>
      <c r="F583" s="23" t="inlineStr">
        <is>
          <t>Iogurte Vida Leve Ameixa c/ Grãos 180g</t>
        </is>
      </c>
      <c r="G583" s="23" t="inlineStr">
        <is>
          <t>IOGURTE</t>
        </is>
      </c>
      <c r="H583" s="26" t="n">
        <v>0.18</v>
      </c>
      <c r="I583" s="36" t="n">
        <v>0</v>
      </c>
      <c r="J583" s="21">
        <f>I583*H583</f>
        <v/>
      </c>
      <c r="K583" s="21">
        <f>IFERROR(IF(J583/P583&gt;1,P583,J583),0)</f>
        <v/>
      </c>
      <c r="L583" s="36" t="n">
        <v>0</v>
      </c>
      <c r="M583" s="21">
        <f>L583*H583</f>
        <v/>
      </c>
      <c r="N583" s="21">
        <f>IFERROR(IF(M583/K583&gt;1,K583,M583),0)</f>
        <v/>
      </c>
      <c r="O583" s="36" t="n">
        <v>0</v>
      </c>
      <c r="P583" s="21">
        <f>O583*H583</f>
        <v/>
      </c>
      <c r="Q583" s="30">
        <f>IF(MONTH(E583+1)=MONTH(E583+6),MONTH(E583+1),IF(MIN(EOMONTH(E583+1,0),E583+6)-(E583+1)+1&gt;=3,MONTH(E583+1),MONTH(E583+6)))</f>
        <v/>
      </c>
      <c r="R583" s="22">
        <f>IFERROR(K583/P583, 0)</f>
        <v/>
      </c>
      <c r="S583" s="38">
        <f>IFERROR(N583/P583,0)</f>
        <v/>
      </c>
      <c r="T583" s="31">
        <f>IFERROR(IF(N583&gt;0,(N583/K583),MIN(1,M583/J583)),0)</f>
        <v/>
      </c>
      <c r="U583" s="33" t="n"/>
    </row>
    <row r="584" hidden="1" s="40">
      <c r="A584" s="18" t="inlineStr">
        <is>
          <t>Semana 1 - abril</t>
        </is>
      </c>
      <c r="B584" s="27">
        <f>YEAR(E584)</f>
        <v/>
      </c>
      <c r="C584" s="18">
        <f>INDEX({"Janeiro";"Fevereiro";"Março";"Abril";"Maio";"Junho";"Julho";"Agosto";"Setembro";"Outubro";"Novembro";"Dezembro"},Q584)</f>
        <v/>
      </c>
      <c r="D584" s="19" t="n">
        <v>1</v>
      </c>
      <c r="E584" s="20" t="n">
        <v>46113</v>
      </c>
      <c r="F584" s="18" t="inlineStr">
        <is>
          <t>Iogurte Vida Leve Ameixa c/ Grãos 500g</t>
        </is>
      </c>
      <c r="G584" s="18" t="inlineStr">
        <is>
          <t>IOGURTE</t>
        </is>
      </c>
      <c r="H584" s="21" t="n">
        <v>0.5</v>
      </c>
      <c r="I584" s="36" t="n">
        <v>0</v>
      </c>
      <c r="J584" s="21">
        <f>I584*H584</f>
        <v/>
      </c>
      <c r="K584" s="21">
        <f>IFERROR(IF(J584/P584&gt;1,P584,J584),0)</f>
        <v/>
      </c>
      <c r="L584" s="36" t="n">
        <v>0</v>
      </c>
      <c r="M584" s="21">
        <f>L584*H584</f>
        <v/>
      </c>
      <c r="N584" s="21">
        <f>IFERROR(IF(M584/K584&gt;1,K584,M584),0)</f>
        <v/>
      </c>
      <c r="O584" s="36" t="n">
        <v>0</v>
      </c>
      <c r="P584" s="21">
        <f>O584*H584</f>
        <v/>
      </c>
      <c r="Q584" s="30">
        <f>IF(MONTH(E584+1)=MONTH(E584+6),MONTH(E584+1),IF(MIN(EOMONTH(E584+1,0),E584+6)-(E584+1)+1&gt;=3,MONTH(E584+1),MONTH(E584+6)))</f>
        <v/>
      </c>
      <c r="R584" s="22">
        <f>IFERROR(K584/P584, 0)</f>
        <v/>
      </c>
      <c r="S584" s="38">
        <f>IFERROR(N584/P584,0)</f>
        <v/>
      </c>
      <c r="T584" s="31">
        <f>IFERROR(IF(N584&gt;0,(N584/K584),MIN(1,M584/J584)),0)</f>
        <v/>
      </c>
      <c r="U584" s="33" t="n"/>
    </row>
    <row r="585" hidden="1" s="40">
      <c r="A585" s="23" t="inlineStr">
        <is>
          <t>Semana 1 - abril</t>
        </is>
      </c>
      <c r="B585" s="27">
        <f>YEAR(E585)</f>
        <v/>
      </c>
      <c r="C585" s="18">
        <f>INDEX({"Janeiro";"Fevereiro";"Março";"Abril";"Maio";"Junho";"Julho";"Agosto";"Setembro";"Outubro";"Novembro";"Dezembro"},Q585)</f>
        <v/>
      </c>
      <c r="D585" s="24" t="n">
        <v>1</v>
      </c>
      <c r="E585" s="25" t="n">
        <v>46113</v>
      </c>
      <c r="F585" s="23" t="inlineStr">
        <is>
          <t>Iogurte Vida Leve Morango 180g</t>
        </is>
      </c>
      <c r="G585" s="23" t="inlineStr">
        <is>
          <t>IOGURTE</t>
        </is>
      </c>
      <c r="H585" s="26" t="n">
        <v>0.185</v>
      </c>
      <c r="I585" s="36" t="n">
        <v>0</v>
      </c>
      <c r="J585" s="21">
        <f>I585*H585</f>
        <v/>
      </c>
      <c r="K585" s="21">
        <f>IFERROR(IF(J585/P585&gt;1,P585,J585),0)</f>
        <v/>
      </c>
      <c r="L585" s="36" t="n">
        <v>0</v>
      </c>
      <c r="M585" s="21">
        <f>L585*H585</f>
        <v/>
      </c>
      <c r="N585" s="21">
        <f>IFERROR(IF(M585/K585&gt;1,K585,M585),0)</f>
        <v/>
      </c>
      <c r="O585" s="36" t="n">
        <v>0</v>
      </c>
      <c r="P585" s="21">
        <f>O585*H585</f>
        <v/>
      </c>
      <c r="Q585" s="30">
        <f>IF(MONTH(E585+1)=MONTH(E585+6),MONTH(E585+1),IF(MIN(EOMONTH(E585+1,0),E585+6)-(E585+1)+1&gt;=3,MONTH(E585+1),MONTH(E585+6)))</f>
        <v/>
      </c>
      <c r="R585" s="22">
        <f>IFERROR(K585/P585, 0)</f>
        <v/>
      </c>
      <c r="S585" s="38">
        <f>IFERROR(N585/P585,0)</f>
        <v/>
      </c>
      <c r="T585" s="31">
        <f>IFERROR(IF(N585&gt;0,(N585/K585),MIN(1,M585/J585)),0)</f>
        <v/>
      </c>
      <c r="U585" s="33" t="n"/>
    </row>
    <row r="586" hidden="1" s="40">
      <c r="A586" s="18" t="inlineStr">
        <is>
          <t>Semana 1 - abril</t>
        </is>
      </c>
      <c r="B586" s="27">
        <f>YEAR(E586)</f>
        <v/>
      </c>
      <c r="C586" s="18">
        <f>INDEX({"Janeiro";"Fevereiro";"Março";"Abril";"Maio";"Junho";"Julho";"Agosto";"Setembro";"Outubro";"Novembro";"Dezembro"},Q586)</f>
        <v/>
      </c>
      <c r="D586" s="19" t="n">
        <v>1</v>
      </c>
      <c r="E586" s="20" t="n">
        <v>46113</v>
      </c>
      <c r="F586" s="18" t="inlineStr">
        <is>
          <t>Iogurte Vida Leve Morango 500g</t>
        </is>
      </c>
      <c r="G586" s="18" t="inlineStr">
        <is>
          <t>IOGURTE</t>
        </is>
      </c>
      <c r="H586" s="21" t="n">
        <v>0.5</v>
      </c>
      <c r="I586" s="36" t="n">
        <v>0</v>
      </c>
      <c r="J586" s="21">
        <f>I586*H586</f>
        <v/>
      </c>
      <c r="K586" s="21">
        <f>IFERROR(IF(J586/P586&gt;1,P586,J586),0)</f>
        <v/>
      </c>
      <c r="L586" s="36" t="n">
        <v>0</v>
      </c>
      <c r="M586" s="21">
        <f>L586*H586</f>
        <v/>
      </c>
      <c r="N586" s="21">
        <f>IFERROR(IF(M586/K586&gt;1,K586,M586),0)</f>
        <v/>
      </c>
      <c r="O586" s="36" t="n">
        <v>0</v>
      </c>
      <c r="P586" s="21">
        <f>O586*H586</f>
        <v/>
      </c>
      <c r="Q586" s="30">
        <f>IF(MONTH(E586+1)=MONTH(E586+6),MONTH(E586+1),IF(MIN(EOMONTH(E586+1,0),E586+6)-(E586+1)+1&gt;=3,MONTH(E586+1),MONTH(E586+6)))</f>
        <v/>
      </c>
      <c r="R586" s="22">
        <f>IFERROR(K586/P586, 0)</f>
        <v/>
      </c>
      <c r="S586" s="38">
        <f>IFERROR(N586/P586,0)</f>
        <v/>
      </c>
      <c r="T586" s="31">
        <f>IFERROR(IF(N586&gt;0,(N586/K586),MIN(1,M586/J586)),0)</f>
        <v/>
      </c>
      <c r="U586" s="33" t="n"/>
    </row>
    <row r="587" hidden="1" s="40">
      <c r="A587" s="23" t="inlineStr">
        <is>
          <t>Semana 1 - abril</t>
        </is>
      </c>
      <c r="B587" s="27">
        <f>YEAR(E587)</f>
        <v/>
      </c>
      <c r="C587" s="18">
        <f>INDEX({"Janeiro";"Fevereiro";"Março";"Abril";"Maio";"Junho";"Julho";"Agosto";"Setembro";"Outubro";"Novembro";"Dezembro"},Q587)</f>
        <v/>
      </c>
      <c r="D587" s="24" t="n">
        <v>1</v>
      </c>
      <c r="E587" s="25" t="n">
        <v>46113</v>
      </c>
      <c r="F587" s="23" t="inlineStr">
        <is>
          <t>LEITE PASTEURIZADO VIÇOSA DESNATADO</t>
        </is>
      </c>
      <c r="G587" s="23" t="inlineStr">
        <is>
          <t>LEITE PAST.</t>
        </is>
      </c>
      <c r="H587" s="26" t="n">
        <v>1</v>
      </c>
      <c r="I587" s="36" t="n">
        <v>380</v>
      </c>
      <c r="J587" s="21">
        <f>I587*H587</f>
        <v/>
      </c>
      <c r="K587" s="21">
        <f>IFERROR(IF(J587/P587&gt;1,P587,J587),0)</f>
        <v/>
      </c>
      <c r="L587" s="36" t="n">
        <v>425</v>
      </c>
      <c r="M587" s="21">
        <f>L587*H587</f>
        <v/>
      </c>
      <c r="N587" s="21">
        <f>IFERROR(IF(M587/K587&gt;1,K587,M587),0)</f>
        <v/>
      </c>
      <c r="O587" s="36" t="n">
        <v>380</v>
      </c>
      <c r="P587" s="21">
        <f>O587*H587</f>
        <v/>
      </c>
      <c r="Q587" s="30">
        <f>IF(MONTH(E587+1)=MONTH(E587+6),MONTH(E587+1),IF(MIN(EOMONTH(E587+1,0),E587+6)-(E587+1)+1&gt;=3,MONTH(E587+1),MONTH(E587+6)))</f>
        <v/>
      </c>
      <c r="R587" s="22">
        <f>IFERROR(K587/P587, 0)</f>
        <v/>
      </c>
      <c r="S587" s="38">
        <f>IFERROR(N587/P587,0)</f>
        <v/>
      </c>
      <c r="T587" s="31">
        <f>IFERROR(IF(N587&gt;0,(N587/K587),MIN(1,M587/J587)),0)</f>
        <v/>
      </c>
      <c r="U587" s="33" t="n"/>
    </row>
    <row r="588" hidden="1" s="40">
      <c r="A588" s="18" t="inlineStr">
        <is>
          <t>Semana 1 - abril</t>
        </is>
      </c>
      <c r="B588" s="27">
        <f>YEAR(E588)</f>
        <v/>
      </c>
      <c r="C588" s="18">
        <f>INDEX({"Janeiro";"Fevereiro";"Março";"Abril";"Maio";"Junho";"Julho";"Agosto";"Setembro";"Outubro";"Novembro";"Dezembro"},Q588)</f>
        <v/>
      </c>
      <c r="D588" s="19" t="n">
        <v>1</v>
      </c>
      <c r="E588" s="20" t="n">
        <v>46113</v>
      </c>
      <c r="F588" s="18" t="inlineStr">
        <is>
          <t>LEITE PASTEURIZADO VIÇOSA INTEGRAL</t>
        </is>
      </c>
      <c r="G588" s="18" t="inlineStr">
        <is>
          <t>LEITE PAST.</t>
        </is>
      </c>
      <c r="H588" s="21" t="n">
        <v>1</v>
      </c>
      <c r="I588" s="36" t="n">
        <v>16800</v>
      </c>
      <c r="J588" s="21">
        <f>I588*H588</f>
        <v/>
      </c>
      <c r="K588" s="21">
        <f>IFERROR(IF(J588/P588&gt;1,P588,J588),0)</f>
        <v/>
      </c>
      <c r="L588" s="36" t="n">
        <v>17091</v>
      </c>
      <c r="M588" s="21">
        <f>L588*H588</f>
        <v/>
      </c>
      <c r="N588" s="21">
        <f>IFERROR(IF(M588/K588&gt;1,K588,M588),0)</f>
        <v/>
      </c>
      <c r="O588" s="36" t="n">
        <v>16800</v>
      </c>
      <c r="P588" s="21">
        <f>O588*H588</f>
        <v/>
      </c>
      <c r="Q588" s="30">
        <f>IF(MONTH(E588+1)=MONTH(E588+6),MONTH(E588+1),IF(MIN(EOMONTH(E588+1,0),E588+6)-(E588+1)+1&gt;=3,MONTH(E588+1),MONTH(E588+6)))</f>
        <v/>
      </c>
      <c r="R588" s="22">
        <f>IFERROR(K588/P588, 0)</f>
        <v/>
      </c>
      <c r="S588" s="38">
        <f>IFERROR(N588/P588,0)</f>
        <v/>
      </c>
      <c r="T588" s="31">
        <f>IFERROR(IF(N588&gt;0,(N588/K588),MIN(1,M588/J588)),0)</f>
        <v/>
      </c>
      <c r="U588" s="33" t="n"/>
    </row>
    <row r="589" hidden="1" s="40">
      <c r="A589" s="23" t="inlineStr">
        <is>
          <t>Semana 1 - abril</t>
        </is>
      </c>
      <c r="B589" s="27">
        <f>YEAR(E589)</f>
        <v/>
      </c>
      <c r="C589" s="18">
        <f>INDEX({"Janeiro";"Fevereiro";"Março";"Abril";"Maio";"Junho";"Julho";"Agosto";"Setembro";"Outubro";"Novembro";"Dezembro"},Q589)</f>
        <v/>
      </c>
      <c r="D589" s="24" t="n">
        <v>1</v>
      </c>
      <c r="E589" s="25" t="n">
        <v>46113</v>
      </c>
      <c r="F589" s="23" t="inlineStr">
        <is>
          <t>LEITE PASTEURIZADO VIÇOSA ZERO LACTOSE INTEGRAL 1 L</t>
        </is>
      </c>
      <c r="G589" s="23" t="inlineStr">
        <is>
          <t>LEITE PAST.</t>
        </is>
      </c>
      <c r="H589" s="26" t="n">
        <v>1</v>
      </c>
      <c r="I589" s="36" t="n">
        <v>380</v>
      </c>
      <c r="J589" s="21">
        <f>I589*H589</f>
        <v/>
      </c>
      <c r="K589" s="21">
        <f>IFERROR(IF(J589/P589&gt;1,P589,J589),0)</f>
        <v/>
      </c>
      <c r="L589" s="36" t="n">
        <v>438</v>
      </c>
      <c r="M589" s="21">
        <f>L589*H589</f>
        <v/>
      </c>
      <c r="N589" s="21">
        <f>IFERROR(IF(M589/K589&gt;1,K589,M589),0)</f>
        <v/>
      </c>
      <c r="O589" s="36" t="n">
        <v>380</v>
      </c>
      <c r="P589" s="21">
        <f>O589*H589</f>
        <v/>
      </c>
      <c r="Q589" s="30">
        <f>IF(MONTH(E589+1)=MONTH(E589+6),MONTH(E589+1),IF(MIN(EOMONTH(E589+1,0),E589+6)-(E589+1)+1&gt;=3,MONTH(E589+1),MONTH(E589+6)))</f>
        <v/>
      </c>
      <c r="R589" s="22">
        <f>IFERROR(K589/P589, 0)</f>
        <v/>
      </c>
      <c r="S589" s="38">
        <f>IFERROR(N589/P589,0)</f>
        <v/>
      </c>
      <c r="T589" s="31">
        <f>IFERROR(IF(N589&gt;0,(N589/K589),MIN(1,M589/J589)),0)</f>
        <v/>
      </c>
      <c r="U589" s="33" t="n"/>
    </row>
    <row r="590" hidden="1" s="40">
      <c r="A590" s="18" t="inlineStr">
        <is>
          <t>Semana 1 - abril</t>
        </is>
      </c>
      <c r="B590" s="27">
        <f>YEAR(E590)</f>
        <v/>
      </c>
      <c r="C590" s="18">
        <f>INDEX({"Janeiro";"Fevereiro";"Março";"Abril";"Maio";"Junho";"Julho";"Agosto";"Setembro";"Outubro";"Novembro";"Dezembro"},Q590)</f>
        <v/>
      </c>
      <c r="D590" s="19" t="n">
        <v>1</v>
      </c>
      <c r="E590" s="20" t="n">
        <v>46113</v>
      </c>
      <c r="F590" s="18" t="inlineStr">
        <is>
          <t>Manteiga 200g</t>
        </is>
      </c>
      <c r="G590" s="18" t="inlineStr">
        <is>
          <t>MANTEIGA</t>
        </is>
      </c>
      <c r="H590" s="21" t="n">
        <v>0.2</v>
      </c>
      <c r="I590" s="36" t="n">
        <v>1250</v>
      </c>
      <c r="J590" s="21">
        <f>I590*H590</f>
        <v/>
      </c>
      <c r="K590" s="21">
        <f>IFERROR(IF(J590/P590&gt;1,P590,J590),0)</f>
        <v/>
      </c>
      <c r="L590" s="36" t="n">
        <v>1166</v>
      </c>
      <c r="M590" s="21">
        <f>L590*H590</f>
        <v/>
      </c>
      <c r="N590" s="21">
        <f>IFERROR(IF(M590/K590&gt;1,K590,M590),0)</f>
        <v/>
      </c>
      <c r="O590" s="36" t="n">
        <v>2500</v>
      </c>
      <c r="P590" s="21">
        <f>O590*H590</f>
        <v/>
      </c>
      <c r="Q590" s="30">
        <f>IF(MONTH(E590+1)=MONTH(E590+6),MONTH(E590+1),IF(MIN(EOMONTH(E590+1,0),E590+6)-(E590+1)+1&gt;=3,MONTH(E590+1),MONTH(E590+6)))</f>
        <v/>
      </c>
      <c r="R590" s="22">
        <f>IFERROR(K590/P590, 0)</f>
        <v/>
      </c>
      <c r="S590" s="38">
        <f>IFERROR(N590/P590,0)</f>
        <v/>
      </c>
      <c r="T590" s="31">
        <f>IFERROR(IF(N590&gt;0,(N590/K590),MIN(1,M590/J590)),0)</f>
        <v/>
      </c>
      <c r="U590" s="33" t="n"/>
    </row>
    <row r="591" hidden="1" s="40">
      <c r="A591" s="23" t="inlineStr">
        <is>
          <t>Semana 1 - abril</t>
        </is>
      </c>
      <c r="B591" s="27">
        <f>YEAR(E591)</f>
        <v/>
      </c>
      <c r="C591" s="18">
        <f>INDEX({"Janeiro";"Fevereiro";"Março";"Abril";"Maio";"Junho";"Julho";"Agosto";"Setembro";"Outubro";"Novembro";"Dezembro"},Q591)</f>
        <v/>
      </c>
      <c r="D591" s="24" t="n">
        <v>1</v>
      </c>
      <c r="E591" s="25" t="n">
        <v>46113</v>
      </c>
      <c r="F591" s="23" t="inlineStr">
        <is>
          <t>Manteiga 500g</t>
        </is>
      </c>
      <c r="G591" s="23" t="inlineStr">
        <is>
          <t>MANTEIGA</t>
        </is>
      </c>
      <c r="H591" s="26" t="n">
        <v>0.5</v>
      </c>
      <c r="I591" s="36" t="n">
        <v>550</v>
      </c>
      <c r="J591" s="21">
        <f>I591*H591</f>
        <v/>
      </c>
      <c r="K591" s="21">
        <f>IFERROR(IF(J591/P591&gt;1,P591,J591),0)</f>
        <v/>
      </c>
      <c r="L591" s="36" t="n">
        <v>526</v>
      </c>
      <c r="M591" s="21">
        <f>L591*H591</f>
        <v/>
      </c>
      <c r="N591" s="21">
        <f>IFERROR(IF(M591/K591&gt;1,K591,M591),0)</f>
        <v/>
      </c>
      <c r="O591" s="36" t="n">
        <v>550</v>
      </c>
      <c r="P591" s="21">
        <f>O591*H591</f>
        <v/>
      </c>
      <c r="Q591" s="30">
        <f>IF(MONTH(E591+1)=MONTH(E591+6),MONTH(E591+1),IF(MIN(EOMONTH(E591+1,0),E591+6)-(E591+1)+1&gt;=3,MONTH(E591+1),MONTH(E591+6)))</f>
        <v/>
      </c>
      <c r="R591" s="22">
        <f>IFERROR(K591/P591, 0)</f>
        <v/>
      </c>
      <c r="S591" s="38">
        <f>IFERROR(N591/P591,0)</f>
        <v/>
      </c>
      <c r="T591" s="31">
        <f>IFERROR(IF(N591&gt;0,(N591/K591),MIN(1,M591/J591)),0)</f>
        <v/>
      </c>
      <c r="U591" s="33" t="n"/>
    </row>
    <row r="592" hidden="1" s="40">
      <c r="A592" s="18" t="inlineStr">
        <is>
          <t>Semana 1 - abril</t>
        </is>
      </c>
      <c r="B592" s="27">
        <f>YEAR(E592)</f>
        <v/>
      </c>
      <c r="C592" s="18">
        <f>INDEX({"Janeiro";"Fevereiro";"Março";"Abril";"Maio";"Junho";"Julho";"Agosto";"Setembro";"Outubro";"Novembro";"Dezembro"},Q592)</f>
        <v/>
      </c>
      <c r="D592" s="19" t="n">
        <v>1</v>
      </c>
      <c r="E592" s="20" t="n">
        <v>46113</v>
      </c>
      <c r="F592" s="18" t="inlineStr">
        <is>
          <t>QUEIJO MINAS MEIA CURA (FRACIONADO)</t>
        </is>
      </c>
      <c r="G592" s="18" t="inlineStr">
        <is>
          <t>QUEIJO</t>
        </is>
      </c>
      <c r="H592" s="21" t="n">
        <v>1</v>
      </c>
      <c r="I592" s="36" t="n">
        <v>200</v>
      </c>
      <c r="J592" s="21">
        <f>I592*H592</f>
        <v/>
      </c>
      <c r="K592" s="21">
        <f>IFERROR(IF(J592/P592&gt;1,P592,J592),0)</f>
        <v/>
      </c>
      <c r="L592" s="36" t="n">
        <v>200</v>
      </c>
      <c r="M592" s="21">
        <f>L592*H592</f>
        <v/>
      </c>
      <c r="N592" s="21">
        <f>IFERROR(IF(M592/K592&gt;1,K592,M592),0)</f>
        <v/>
      </c>
      <c r="O592" s="36" t="n">
        <v>200</v>
      </c>
      <c r="P592" s="21">
        <f>O592*H592</f>
        <v/>
      </c>
      <c r="Q592" s="30">
        <f>IF(MONTH(E592+1)=MONTH(E592+6),MONTH(E592+1),IF(MIN(EOMONTH(E592+1,0),E592+6)-(E592+1)+1&gt;=3,MONTH(E592+1),MONTH(E592+6)))</f>
        <v/>
      </c>
      <c r="R592" s="22">
        <f>IFERROR(K592/P592, 0)</f>
        <v/>
      </c>
      <c r="S592" s="38">
        <f>IFERROR(N592/P592,0)</f>
        <v/>
      </c>
      <c r="T592" s="31">
        <f>IFERROR(IF(N592&gt;0,(N592/K592),MIN(1,M592/J592)),0)</f>
        <v/>
      </c>
      <c r="U592" s="33" t="n"/>
    </row>
    <row r="593" hidden="1" s="40">
      <c r="A593" s="23" t="inlineStr">
        <is>
          <t>Semana 1 - abril</t>
        </is>
      </c>
      <c r="B593" s="27">
        <f>YEAR(E593)</f>
        <v/>
      </c>
      <c r="C593" s="18">
        <f>INDEX({"Janeiro";"Fevereiro";"Março";"Abril";"Maio";"Junho";"Julho";"Agosto";"Setembro";"Outubro";"Novembro";"Dezembro"},Q593)</f>
        <v/>
      </c>
      <c r="D593" s="24" t="n">
        <v>1</v>
      </c>
      <c r="E593" s="25" t="n">
        <v>46113</v>
      </c>
      <c r="F593" s="23" t="inlineStr">
        <is>
          <t>QUEIJO MINAS MEIA CURA (INTEIRO)</t>
        </is>
      </c>
      <c r="G593" s="23" t="inlineStr">
        <is>
          <t>QUEIJO</t>
        </is>
      </c>
      <c r="H593" s="26" t="n">
        <v>1</v>
      </c>
      <c r="I593" s="36" t="n">
        <v>0</v>
      </c>
      <c r="J593" s="21">
        <f>I593*H593</f>
        <v/>
      </c>
      <c r="K593" s="21">
        <f>IFERROR(IF(J593/P593&gt;1,P593,J593),0)</f>
        <v/>
      </c>
      <c r="L593" s="36" t="n">
        <v>0</v>
      </c>
      <c r="M593" s="21">
        <f>L593*H593</f>
        <v/>
      </c>
      <c r="N593" s="21">
        <f>IFERROR(IF(M593/K593&gt;1,K593,M593),0)</f>
        <v/>
      </c>
      <c r="O593" s="36" t="n">
        <v>0</v>
      </c>
      <c r="P593" s="21">
        <f>O593*H593</f>
        <v/>
      </c>
      <c r="Q593" s="30">
        <f>IF(MONTH(E593+1)=MONTH(E593+6),MONTH(E593+1),IF(MIN(EOMONTH(E593+1,0),E593+6)-(E593+1)+1&gt;=3,MONTH(E593+1),MONTH(E593+6)))</f>
        <v/>
      </c>
      <c r="R593" s="22">
        <f>IFERROR(K593/P593, 0)</f>
        <v/>
      </c>
      <c r="S593" s="38">
        <f>IFERROR(N593/P593,0)</f>
        <v/>
      </c>
      <c r="T593" s="31">
        <f>IFERROR(IF(N593&gt;0,(N593/K593),MIN(1,M593/J593)),0)</f>
        <v/>
      </c>
      <c r="U593" s="33" t="n"/>
    </row>
    <row r="594" hidden="1" s="40">
      <c r="A594" s="18" t="inlineStr">
        <is>
          <t>Semana 1 - abril</t>
        </is>
      </c>
      <c r="B594" s="27">
        <f>YEAR(E594)</f>
        <v/>
      </c>
      <c r="C594" s="18">
        <f>INDEX({"Janeiro";"Fevereiro";"Março";"Abril";"Maio";"Junho";"Julho";"Agosto";"Setembro";"Outubro";"Novembro";"Dezembro"},Q594)</f>
        <v/>
      </c>
      <c r="D594" s="19" t="n">
        <v>1</v>
      </c>
      <c r="E594" s="20" t="n">
        <v>46113</v>
      </c>
      <c r="F594" s="18" t="inlineStr">
        <is>
          <t xml:space="preserve">QUEIJO MINAS PADRÃO VIÇOSA FRACIONADO </t>
        </is>
      </c>
      <c r="G594" s="18" t="inlineStr">
        <is>
          <t>QUEIJO</t>
        </is>
      </c>
      <c r="H594" s="21" t="n">
        <v>1</v>
      </c>
      <c r="I594" s="36" t="n">
        <v>0</v>
      </c>
      <c r="J594" s="21">
        <f>I594*H594</f>
        <v/>
      </c>
      <c r="K594" s="21">
        <f>IFERROR(IF(J594/P594&gt;1,P594,J594),0)</f>
        <v/>
      </c>
      <c r="L594" s="36" t="n">
        <v>0</v>
      </c>
      <c r="M594" s="21">
        <f>L594*H594</f>
        <v/>
      </c>
      <c r="N594" s="21">
        <f>IFERROR(IF(M594/K594&gt;1,K594,M594),0)</f>
        <v/>
      </c>
      <c r="O594" s="36" t="n">
        <v>0</v>
      </c>
      <c r="P594" s="21">
        <f>O594*H594</f>
        <v/>
      </c>
      <c r="Q594" s="30">
        <f>IF(MONTH(E594+1)=MONTH(E594+6),MONTH(E594+1),IF(MIN(EOMONTH(E594+1,0),E594+6)-(E594+1)+1&gt;=3,MONTH(E594+1),MONTH(E594+6)))</f>
        <v/>
      </c>
      <c r="R594" s="22">
        <f>IFERROR(K594/P594, 0)</f>
        <v/>
      </c>
      <c r="S594" s="38">
        <f>IFERROR(N594/P594,0)</f>
        <v/>
      </c>
      <c r="T594" s="31">
        <f>IFERROR(IF(N594&gt;0,(N594/K594),MIN(1,M594/J594)),0)</f>
        <v/>
      </c>
      <c r="U594" s="33" t="n"/>
    </row>
    <row r="595" hidden="1" s="40">
      <c r="A595" s="23" t="inlineStr">
        <is>
          <t>Semana 1 - abril</t>
        </is>
      </c>
      <c r="B595" s="27">
        <f>YEAR(E595)</f>
        <v/>
      </c>
      <c r="C595" s="18">
        <f>INDEX({"Janeiro";"Fevereiro";"Março";"Abril";"Maio";"Junho";"Julho";"Agosto";"Setembro";"Outubro";"Novembro";"Dezembro"},Q595)</f>
        <v/>
      </c>
      <c r="D595" s="24" t="n">
        <v>1</v>
      </c>
      <c r="E595" s="25" t="n">
        <v>46113</v>
      </c>
      <c r="F595" s="23" t="inlineStr">
        <is>
          <t>QUEIJO MUSSARELA 3KG</t>
        </is>
      </c>
      <c r="G595" s="23" t="inlineStr">
        <is>
          <t>QUEIJO</t>
        </is>
      </c>
      <c r="H595" s="26" t="n">
        <v>1</v>
      </c>
      <c r="I595" s="36" t="n">
        <v>300</v>
      </c>
      <c r="J595" s="21">
        <f>I595*H595</f>
        <v/>
      </c>
      <c r="K595" s="21">
        <f>IFERROR(IF(J595/P595&gt;1,P595,J595),0)</f>
        <v/>
      </c>
      <c r="L595" s="36" t="n">
        <v>300</v>
      </c>
      <c r="M595" s="21">
        <f>L595*H595</f>
        <v/>
      </c>
      <c r="N595" s="21">
        <f>IFERROR(IF(M595/K595&gt;1,K595,M595),0)</f>
        <v/>
      </c>
      <c r="O595" s="36" t="n">
        <v>300</v>
      </c>
      <c r="P595" s="21">
        <f>O595*H595</f>
        <v/>
      </c>
      <c r="Q595" s="30">
        <f>IF(MONTH(E595+1)=MONTH(E595+6),MONTH(E595+1),IF(MIN(EOMONTH(E595+1,0),E595+6)-(E595+1)+1&gt;=3,MONTH(E595+1),MONTH(E595+6)))</f>
        <v/>
      </c>
      <c r="R595" s="22">
        <f>IFERROR(K595/P595, 0)</f>
        <v/>
      </c>
      <c r="S595" s="38">
        <f>IFERROR(N595/P595,0)</f>
        <v/>
      </c>
      <c r="T595" s="31">
        <f>IFERROR(IF(N595&gt;0,(N595/K595),MIN(1,M595/J595)),0)</f>
        <v/>
      </c>
      <c r="U595" s="33" t="n"/>
    </row>
    <row r="596" hidden="1" s="40">
      <c r="A596" s="18" t="inlineStr">
        <is>
          <t>Semana 1 - abril</t>
        </is>
      </c>
      <c r="B596" s="27">
        <f>YEAR(E596)</f>
        <v/>
      </c>
      <c r="C596" s="18">
        <f>INDEX({"Janeiro";"Fevereiro";"Março";"Abril";"Maio";"Junho";"Julho";"Agosto";"Setembro";"Outubro";"Novembro";"Dezembro"},Q596)</f>
        <v/>
      </c>
      <c r="D596" s="19" t="n">
        <v>1</v>
      </c>
      <c r="E596" s="20" t="n">
        <v>46113</v>
      </c>
      <c r="F596" s="18" t="inlineStr">
        <is>
          <t>QUEIJO MUSSARELA LANCHE</t>
        </is>
      </c>
      <c r="G596" s="18" t="inlineStr">
        <is>
          <t>QUEIJO</t>
        </is>
      </c>
      <c r="H596" s="21" t="n">
        <v>1</v>
      </c>
      <c r="I596" s="36" t="n">
        <v>200</v>
      </c>
      <c r="J596" s="21">
        <f>I596*H596</f>
        <v/>
      </c>
      <c r="K596" s="21">
        <f>IFERROR(IF(J596/P596&gt;1,P596,J596),0)</f>
        <v/>
      </c>
      <c r="L596" s="36" t="n">
        <v>200</v>
      </c>
      <c r="M596" s="21">
        <f>L596*H596</f>
        <v/>
      </c>
      <c r="N596" s="21">
        <f>IFERROR(IF(M596/K596&gt;1,K596,M596),0)</f>
        <v/>
      </c>
      <c r="O596" s="36" t="n">
        <v>200</v>
      </c>
      <c r="P596" s="21">
        <f>O596*H596</f>
        <v/>
      </c>
      <c r="Q596" s="30">
        <f>IF(MONTH(E596+1)=MONTH(E596+6),MONTH(E596+1),IF(MIN(EOMONTH(E596+1,0),E596+6)-(E596+1)+1&gt;=3,MONTH(E596+1),MONTH(E596+6)))</f>
        <v/>
      </c>
      <c r="R596" s="22">
        <f>IFERROR(K596/P596, 0)</f>
        <v/>
      </c>
      <c r="S596" s="38">
        <f>IFERROR(N596/P596,0)</f>
        <v/>
      </c>
      <c r="T596" s="31">
        <f>IFERROR(IF(N596&gt;0,(N596/K596),MIN(1,M596/J596)),0)</f>
        <v/>
      </c>
      <c r="U596" s="33" t="n"/>
    </row>
    <row r="597" hidden="1" s="40">
      <c r="A597" s="23" t="inlineStr">
        <is>
          <t>Semana 1 - abril</t>
        </is>
      </c>
      <c r="B597" s="27">
        <f>YEAR(E597)</f>
        <v/>
      </c>
      <c r="C597" s="18">
        <f>INDEX({"Janeiro";"Fevereiro";"Março";"Abril";"Maio";"Junho";"Julho";"Agosto";"Setembro";"Outubro";"Novembro";"Dezembro"},Q597)</f>
        <v/>
      </c>
      <c r="D597" s="24" t="n">
        <v>1</v>
      </c>
      <c r="E597" s="25" t="n">
        <v>46113</v>
      </c>
      <c r="F597" s="23" t="inlineStr">
        <is>
          <t>REQUEIJÃO VIÇOSA 200g</t>
        </is>
      </c>
      <c r="G597" s="23" t="inlineStr">
        <is>
          <t>REQUEIJÃO</t>
        </is>
      </c>
      <c r="H597" s="26" t="n">
        <v>0.2</v>
      </c>
      <c r="I597" s="36" t="n">
        <v>2000</v>
      </c>
      <c r="J597" s="21">
        <f>I597*H597</f>
        <v/>
      </c>
      <c r="K597" s="21">
        <f>IFERROR(IF(J597/P597&gt;1,P597,J597),0)</f>
        <v/>
      </c>
      <c r="L597" s="36" t="n">
        <v>1998</v>
      </c>
      <c r="M597" s="21">
        <f>L597*H597</f>
        <v/>
      </c>
      <c r="N597" s="21">
        <f>IFERROR(IF(M597/K597&gt;1,K597,M597),0)</f>
        <v/>
      </c>
      <c r="O597" s="36" t="n">
        <v>2800</v>
      </c>
      <c r="P597" s="21">
        <f>O597*H597</f>
        <v/>
      </c>
      <c r="Q597" s="30">
        <f>IF(MONTH(E597+1)=MONTH(E597+6),MONTH(E597+1),IF(MIN(EOMONTH(E597+1,0),E597+6)-(E597+1)+1&gt;=3,MONTH(E597+1),MONTH(E597+6)))</f>
        <v/>
      </c>
      <c r="R597" s="22">
        <f>IFERROR(K597/P597, 0)</f>
        <v/>
      </c>
      <c r="S597" s="38">
        <f>IFERROR(N597/P597,0)</f>
        <v/>
      </c>
      <c r="T597" s="31">
        <f>IFERROR(IF(N597&gt;0,(N597/K597),MIN(1,M597/J597)),0)</f>
        <v/>
      </c>
      <c r="U597" s="33" t="n"/>
    </row>
    <row r="598" hidden="1" s="40">
      <c r="A598" s="18" t="inlineStr">
        <is>
          <t>Semana 1 - abril</t>
        </is>
      </c>
      <c r="B598" s="27">
        <f>YEAR(E598)</f>
        <v/>
      </c>
      <c r="C598" s="18">
        <f>INDEX({"Janeiro";"Fevereiro";"Março";"Abril";"Maio";"Junho";"Julho";"Agosto";"Setembro";"Outubro";"Novembro";"Dezembro"},Q598)</f>
        <v/>
      </c>
      <c r="D598" s="19" t="n">
        <v>1</v>
      </c>
      <c r="E598" s="20" t="n">
        <v>46113</v>
      </c>
      <c r="F598" s="18" t="inlineStr">
        <is>
          <t>REQUEIJÃO VIÇOSA 400g</t>
        </is>
      </c>
      <c r="G598" s="18" t="inlineStr">
        <is>
          <t>REQUEIJÃO</t>
        </is>
      </c>
      <c r="H598" s="21" t="n">
        <v>0.4</v>
      </c>
      <c r="I598" s="36" t="n">
        <v>5710</v>
      </c>
      <c r="J598" s="21">
        <f>I598*H598</f>
        <v/>
      </c>
      <c r="K598" s="21">
        <f>IFERROR(IF(J598/P598&gt;1,P598,J598),0)</f>
        <v/>
      </c>
      <c r="L598" s="36" t="n">
        <v>6540</v>
      </c>
      <c r="M598" s="21">
        <f>L598*H598</f>
        <v/>
      </c>
      <c r="N598" s="21">
        <f>IFERROR(IF(M598/K598&gt;1,K598,M598),0)</f>
        <v/>
      </c>
      <c r="O598" s="36" t="n">
        <v>4800</v>
      </c>
      <c r="P598" s="21">
        <f>O598*H598</f>
        <v/>
      </c>
      <c r="Q598" s="30">
        <f>IF(MONTH(E598+1)=MONTH(E598+6),MONTH(E598+1),IF(MIN(EOMONTH(E598+1,0),E598+6)-(E598+1)+1&gt;=3,MONTH(E598+1),MONTH(E598+6)))</f>
        <v/>
      </c>
      <c r="R598" s="22">
        <f>IFERROR(K598/P598, 0)</f>
        <v/>
      </c>
      <c r="S598" s="38">
        <f>IFERROR(N598/P598,0)</f>
        <v/>
      </c>
      <c r="T598" s="31">
        <f>IFERROR(IF(N598&gt;0,(N598/K598),MIN(1,M598/J598)),0)</f>
        <v/>
      </c>
      <c r="U598" s="33" t="n"/>
    </row>
    <row r="599" hidden="1" s="40">
      <c r="A599" s="23" t="inlineStr">
        <is>
          <t>Semana 1 - abril</t>
        </is>
      </c>
      <c r="B599" s="27">
        <f>YEAR(E599)</f>
        <v/>
      </c>
      <c r="C599" s="18">
        <f>INDEX({"Janeiro";"Fevereiro";"Março";"Abril";"Maio";"Junho";"Julho";"Agosto";"Setembro";"Outubro";"Novembro";"Dezembro"},Q599)</f>
        <v/>
      </c>
      <c r="D599" s="24" t="n">
        <v>1</v>
      </c>
      <c r="E599" s="25" t="n">
        <v>46113</v>
      </c>
      <c r="F599" s="23" t="inlineStr">
        <is>
          <t>Requeijão Light 200g</t>
        </is>
      </c>
      <c r="G599" s="23" t="inlineStr">
        <is>
          <t>REQUEIJÃO</t>
        </is>
      </c>
      <c r="H599" s="26" t="n">
        <v>0.2</v>
      </c>
      <c r="I599" s="36" t="n">
        <v>2100</v>
      </c>
      <c r="J599" s="21">
        <f>I599*H599</f>
        <v/>
      </c>
      <c r="K599" s="21">
        <f>IFERROR(IF(J599/P599&gt;1,P599,J599),0)</f>
        <v/>
      </c>
      <c r="L599" s="36" t="n">
        <v>2712</v>
      </c>
      <c r="M599" s="21">
        <f>L599*H599</f>
        <v/>
      </c>
      <c r="N599" s="21">
        <f>IFERROR(IF(M599/K599&gt;1,K599,M599),0)</f>
        <v/>
      </c>
      <c r="O599" s="36" t="n">
        <v>1500</v>
      </c>
      <c r="P599" s="21">
        <f>O599*H599</f>
        <v/>
      </c>
      <c r="Q599" s="30">
        <f>IF(MONTH(E599+1)=MONTH(E599+6),MONTH(E599+1),IF(MIN(EOMONTH(E599+1,0),E599+6)-(E599+1)+1&gt;=3,MONTH(E599+1),MONTH(E599+6)))</f>
        <v/>
      </c>
      <c r="R599" s="22">
        <f>IFERROR(K599/P599, 0)</f>
        <v/>
      </c>
      <c r="S599" s="38">
        <f>IFERROR(N599/P599,0)</f>
        <v/>
      </c>
      <c r="T599" s="31">
        <f>IFERROR(IF(N599&gt;0,(N599/K599),MIN(1,M599/J599)),0)</f>
        <v/>
      </c>
      <c r="U599" s="33" t="n"/>
    </row>
    <row r="600" hidden="1" s="40">
      <c r="A600" s="18" t="inlineStr">
        <is>
          <t>Semana 1 - abril</t>
        </is>
      </c>
      <c r="B600" s="27">
        <f>YEAR(E600)</f>
        <v/>
      </c>
      <c r="C600" s="18">
        <f>INDEX({"Janeiro";"Fevereiro";"Março";"Abril";"Maio";"Junho";"Julho";"Agosto";"Setembro";"Outubro";"Novembro";"Dezembro"},Q600)</f>
        <v/>
      </c>
      <c r="D600" s="19" t="n">
        <v>1</v>
      </c>
      <c r="E600" s="20" t="n">
        <v>46113</v>
      </c>
      <c r="F600" s="18" t="inlineStr">
        <is>
          <t>Creme de Ricota 200g</t>
        </is>
      </c>
      <c r="G600" s="18" t="inlineStr">
        <is>
          <t>RICOTA</t>
        </is>
      </c>
      <c r="H600" s="21" t="n">
        <v>0.2</v>
      </c>
      <c r="I600" s="36" t="n">
        <v>1000</v>
      </c>
      <c r="J600" s="21">
        <f>I600*H600</f>
        <v/>
      </c>
      <c r="K600" s="21">
        <f>IFERROR(IF(J600/P600&gt;1,P600,J600),0)</f>
        <v/>
      </c>
      <c r="L600" s="36" t="n">
        <v>994</v>
      </c>
      <c r="M600" s="21">
        <f>L600*H600</f>
        <v/>
      </c>
      <c r="N600" s="21">
        <f>IFERROR(IF(M600/K600&gt;1,K600,M600),0)</f>
        <v/>
      </c>
      <c r="O600" s="36" t="n">
        <v>2400</v>
      </c>
      <c r="P600" s="21">
        <f>O600*H600</f>
        <v/>
      </c>
      <c r="Q600" s="30">
        <f>IF(MONTH(E600+1)=MONTH(E600+6),MONTH(E600+1),IF(MIN(EOMONTH(E600+1,0),E600+6)-(E600+1)+1&gt;=3,MONTH(E600+1),MONTH(E600+6)))</f>
        <v/>
      </c>
      <c r="R600" s="22">
        <f>IFERROR(K600/P600, 0)</f>
        <v/>
      </c>
      <c r="S600" s="38">
        <f>IFERROR(N600/P600,0)</f>
        <v/>
      </c>
      <c r="T600" s="31">
        <f>IFERROR(IF(N600&gt;0,(N600/K600),MIN(1,M600/J600)),0)</f>
        <v/>
      </c>
      <c r="U600" s="33" t="n"/>
    </row>
    <row r="601" hidden="1" s="40">
      <c r="A601" s="23" t="inlineStr">
        <is>
          <t>Semana 2 - abril</t>
        </is>
      </c>
      <c r="B601" s="27">
        <f>YEAR(E601)</f>
        <v/>
      </c>
      <c r="C601" s="18">
        <f>INDEX({"Janeiro";"Fevereiro";"Março";"Abril";"Maio";"Junho";"Julho";"Agosto";"Setembro";"Outubro";"Novembro";"Dezembro"},Q601)</f>
        <v/>
      </c>
      <c r="D601" s="24" t="n">
        <v>2</v>
      </c>
      <c r="E601" s="25" t="n">
        <v>46118</v>
      </c>
      <c r="F601" s="23" t="inlineStr">
        <is>
          <t>Doce de Leite 400g</t>
        </is>
      </c>
      <c r="G601" s="23" t="inlineStr">
        <is>
          <t>DOCE</t>
        </is>
      </c>
      <c r="H601" s="26" t="n">
        <v>0.4</v>
      </c>
      <c r="I601" s="36" t="n">
        <v>6000</v>
      </c>
      <c r="J601" s="21">
        <f>I601*H601</f>
        <v/>
      </c>
      <c r="K601" s="21">
        <f>IFERROR(IF(J601/P601&gt;1,P601,J601),0)</f>
        <v/>
      </c>
      <c r="L601" s="36" t="n">
        <v>5416</v>
      </c>
      <c r="M601" s="21">
        <f>L601*H601</f>
        <v/>
      </c>
      <c r="N601" s="21">
        <f>IFERROR(IF(M601/K601&gt;1,K601,M601),0)</f>
        <v/>
      </c>
      <c r="O601" s="36" t="n">
        <v>0</v>
      </c>
      <c r="P601" s="21">
        <f>O601*H601</f>
        <v/>
      </c>
      <c r="Q601" s="30">
        <f>IF(MONTH(E601+1)=MONTH(E601+6),MONTH(E601+1),IF(MIN(EOMONTH(E601+1,0),E601+6)-(E601+1)+1&gt;=3,MONTH(E601+1),MONTH(E601+6)))</f>
        <v/>
      </c>
      <c r="R601" s="22">
        <f>IFERROR(K601/P601, 0)</f>
        <v/>
      </c>
      <c r="S601" s="38">
        <f>IFERROR(N601/P601,0)</f>
        <v/>
      </c>
      <c r="T601" s="31">
        <f>IFERROR(IF(N601&gt;0,(N601/K601),MIN(1,M601/J601)),0)</f>
        <v/>
      </c>
      <c r="U601" s="33" t="n"/>
    </row>
    <row r="602" hidden="1" s="40">
      <c r="A602" s="18" t="inlineStr">
        <is>
          <t>Semana 2 - abril</t>
        </is>
      </c>
      <c r="B602" s="27">
        <f>YEAR(E602)</f>
        <v/>
      </c>
      <c r="C602" s="18">
        <f>INDEX({"Janeiro";"Fevereiro";"Março";"Abril";"Maio";"Junho";"Julho";"Agosto";"Setembro";"Outubro";"Novembro";"Dezembro"},Q602)</f>
        <v/>
      </c>
      <c r="D602" s="19" t="n">
        <v>2</v>
      </c>
      <c r="E602" s="20" t="n">
        <v>46118</v>
      </c>
      <c r="F602" s="18" t="inlineStr">
        <is>
          <t>Doce de Leite 5kg</t>
        </is>
      </c>
      <c r="G602" s="18" t="inlineStr">
        <is>
          <t>DOCE</t>
        </is>
      </c>
      <c r="H602" s="21" t="n">
        <v>5</v>
      </c>
      <c r="I602" s="36" t="n">
        <v>0</v>
      </c>
      <c r="J602" s="21">
        <f>I602*H602</f>
        <v/>
      </c>
      <c r="K602" s="21">
        <f>IFERROR(IF(J602/P602&gt;1,P602,J602),0)</f>
        <v/>
      </c>
      <c r="L602" s="36" t="n">
        <v>0</v>
      </c>
      <c r="M602" s="21">
        <f>L602*H602</f>
        <v/>
      </c>
      <c r="N602" s="21">
        <f>IFERROR(IF(M602/K602&gt;1,K602,M602),0)</f>
        <v/>
      </c>
      <c r="O602" s="36" t="n">
        <v>0</v>
      </c>
      <c r="P602" s="21">
        <f>O602*H602</f>
        <v/>
      </c>
      <c r="Q602" s="30">
        <f>IF(MONTH(E602+1)=MONTH(E602+6),MONTH(E602+1),IF(MIN(EOMONTH(E602+1,0),E602+6)-(E602+1)+1&gt;=3,MONTH(E602+1),MONTH(E602+6)))</f>
        <v/>
      </c>
      <c r="R602" s="22">
        <f>IFERROR(K602/P602, 0)</f>
        <v/>
      </c>
      <c r="S602" s="38">
        <f>IFERROR(N602/P602,0)</f>
        <v/>
      </c>
      <c r="T602" s="31">
        <f>IFERROR(IF(N602&gt;0,(N602/K602),MIN(1,M602/J602)),0)</f>
        <v/>
      </c>
      <c r="U602" s="33" t="n"/>
    </row>
    <row r="603" hidden="1" s="40">
      <c r="A603" s="23" t="inlineStr">
        <is>
          <t>Semana 2 - abril</t>
        </is>
      </c>
      <c r="B603" s="27">
        <f>YEAR(E603)</f>
        <v/>
      </c>
      <c r="C603" s="18">
        <f>INDEX({"Janeiro";"Fevereiro";"Março";"Abril";"Maio";"Junho";"Julho";"Agosto";"Setembro";"Outubro";"Novembro";"Dezembro"},Q603)</f>
        <v/>
      </c>
      <c r="D603" s="24" t="n">
        <v>2</v>
      </c>
      <c r="E603" s="25" t="n">
        <v>46118</v>
      </c>
      <c r="F603" s="23" t="inlineStr">
        <is>
          <t>Doce de Leite 5kg - Bombeável</t>
        </is>
      </c>
      <c r="G603" s="23" t="inlineStr">
        <is>
          <t>DOCE</t>
        </is>
      </c>
      <c r="H603" s="26" t="n">
        <v>5</v>
      </c>
      <c r="I603" s="36" t="n">
        <v>0</v>
      </c>
      <c r="J603" s="21">
        <f>I603*H603</f>
        <v/>
      </c>
      <c r="K603" s="21">
        <f>IFERROR(IF(J603/P603&gt;1,P603,J603),0)</f>
        <v/>
      </c>
      <c r="L603" s="36" t="n">
        <v>0</v>
      </c>
      <c r="M603" s="21">
        <f>L603*H603</f>
        <v/>
      </c>
      <c r="N603" s="21">
        <f>IFERROR(IF(M603/K603&gt;1,K603,M603),0)</f>
        <v/>
      </c>
      <c r="O603" s="36" t="n">
        <v>0</v>
      </c>
      <c r="P603" s="21">
        <f>O603*H603</f>
        <v/>
      </c>
      <c r="Q603" s="30">
        <f>IF(MONTH(E603+1)=MONTH(E603+6),MONTH(E603+1),IF(MIN(EOMONTH(E603+1,0),E603+6)-(E603+1)+1&gt;=3,MONTH(E603+1),MONTH(E603+6)))</f>
        <v/>
      </c>
      <c r="R603" s="22">
        <f>IFERROR(K603/P603, 0)</f>
        <v/>
      </c>
      <c r="S603" s="38">
        <f>IFERROR(N603/P603,0)</f>
        <v/>
      </c>
      <c r="T603" s="31">
        <f>IFERROR(IF(N603&gt;0,(N603/K603),MIN(1,M603/J603)),0)</f>
        <v/>
      </c>
      <c r="U603" s="33" t="n"/>
    </row>
    <row r="604" hidden="1" s="40">
      <c r="A604" s="18" t="inlineStr">
        <is>
          <t>Semana 2 - abril</t>
        </is>
      </c>
      <c r="B604" s="27">
        <f>YEAR(E604)</f>
        <v/>
      </c>
      <c r="C604" s="18">
        <f>INDEX({"Janeiro";"Fevereiro";"Março";"Abril";"Maio";"Junho";"Julho";"Agosto";"Setembro";"Outubro";"Novembro";"Dezembro"},Q604)</f>
        <v/>
      </c>
      <c r="D604" s="19" t="n">
        <v>2</v>
      </c>
      <c r="E604" s="20" t="n">
        <v>46118</v>
      </c>
      <c r="F604" s="18" t="inlineStr">
        <is>
          <t>Doce de Leite 5kg - Forneável</t>
        </is>
      </c>
      <c r="G604" s="18" t="inlineStr">
        <is>
          <t>DOCE</t>
        </is>
      </c>
      <c r="H604" s="21" t="n">
        <v>5</v>
      </c>
      <c r="I604" s="36" t="n">
        <v>0</v>
      </c>
      <c r="J604" s="21">
        <f>I604*H604</f>
        <v/>
      </c>
      <c r="K604" s="21">
        <f>IFERROR(IF(J604/P604&gt;1,P604,J604),0)</f>
        <v/>
      </c>
      <c r="L604" s="36" t="n">
        <v>0</v>
      </c>
      <c r="M604" s="21">
        <f>L604*H604</f>
        <v/>
      </c>
      <c r="N604" s="21">
        <f>IFERROR(IF(M604/K604&gt;1,K604,M604),0)</f>
        <v/>
      </c>
      <c r="O604" s="36" t="n">
        <v>0</v>
      </c>
      <c r="P604" s="21">
        <f>O604*H604</f>
        <v/>
      </c>
      <c r="Q604" s="30">
        <f>IF(MONTH(E604+1)=MONTH(E604+6),MONTH(E604+1),IF(MIN(EOMONTH(E604+1,0),E604+6)-(E604+1)+1&gt;=3,MONTH(E604+1),MONTH(E604+6)))</f>
        <v/>
      </c>
      <c r="R604" s="22">
        <f>IFERROR(K604/P604, 0)</f>
        <v/>
      </c>
      <c r="S604" s="38">
        <f>IFERROR(N604/P604,0)</f>
        <v/>
      </c>
      <c r="T604" s="31">
        <f>IFERROR(IF(N604&gt;0,(N604/K604),MIN(1,M604/J604)),0)</f>
        <v/>
      </c>
      <c r="U604" s="33" t="n"/>
    </row>
    <row r="605" hidden="1" s="40">
      <c r="A605" s="23" t="inlineStr">
        <is>
          <t>Semana 2 - abril</t>
        </is>
      </c>
      <c r="B605" s="27">
        <f>YEAR(E605)</f>
        <v/>
      </c>
      <c r="C605" s="18">
        <f>INDEX({"Janeiro";"Fevereiro";"Março";"Abril";"Maio";"Junho";"Julho";"Agosto";"Setembro";"Outubro";"Novembro";"Dezembro"},Q605)</f>
        <v/>
      </c>
      <c r="D605" s="24" t="n">
        <v>2</v>
      </c>
      <c r="E605" s="25" t="n">
        <v>46118</v>
      </c>
      <c r="F605" s="23" t="inlineStr">
        <is>
          <t>Doce de Leite 800g</t>
        </is>
      </c>
      <c r="G605" s="23" t="inlineStr">
        <is>
          <t>DOCE</t>
        </is>
      </c>
      <c r="H605" s="26" t="n">
        <v>0.8</v>
      </c>
      <c r="I605" s="36" t="n">
        <v>0</v>
      </c>
      <c r="J605" s="21">
        <f>I605*H605</f>
        <v/>
      </c>
      <c r="K605" s="21">
        <f>IFERROR(IF(J605/P605&gt;1,P605,J605),0)</f>
        <v/>
      </c>
      <c r="L605" s="36" t="n">
        <v>0</v>
      </c>
      <c r="M605" s="21">
        <f>L605*H605</f>
        <v/>
      </c>
      <c r="N605" s="21">
        <f>IFERROR(IF(M605/K605&gt;1,K605,M605),0)</f>
        <v/>
      </c>
      <c r="O605" s="36" t="n">
        <v>0</v>
      </c>
      <c r="P605" s="21">
        <f>O605*H605</f>
        <v/>
      </c>
      <c r="Q605" s="30">
        <f>IF(MONTH(E605+1)=MONTH(E605+6),MONTH(E605+1),IF(MIN(EOMONTH(E605+1,0),E605+6)-(E605+1)+1&gt;=3,MONTH(E605+1),MONTH(E605+6)))</f>
        <v/>
      </c>
      <c r="R605" s="22">
        <f>IFERROR(K605/P605, 0)</f>
        <v/>
      </c>
      <c r="S605" s="38">
        <f>IFERROR(N605/P605,0)</f>
        <v/>
      </c>
      <c r="T605" s="31">
        <f>IFERROR(IF(N605&gt;0,(N605/K605),MIN(1,M605/J605)),0)</f>
        <v/>
      </c>
      <c r="U605" s="33" t="n"/>
    </row>
    <row r="606" hidden="1" s="40">
      <c r="A606" s="18" t="inlineStr">
        <is>
          <t>Semana 2 - abril</t>
        </is>
      </c>
      <c r="B606" s="27">
        <f>YEAR(E606)</f>
        <v/>
      </c>
      <c r="C606" s="18">
        <f>INDEX({"Janeiro";"Fevereiro";"Março";"Abril";"Maio";"Junho";"Julho";"Agosto";"Setembro";"Outubro";"Novembro";"Dezembro"},Q606)</f>
        <v/>
      </c>
      <c r="D606" s="19" t="n">
        <v>2</v>
      </c>
      <c r="E606" s="20" t="n">
        <v>46118</v>
      </c>
      <c r="F606" s="18" t="inlineStr">
        <is>
          <t>Doce de Leite Cacau 400g</t>
        </is>
      </c>
      <c r="G606" s="18" t="inlineStr">
        <is>
          <t>DOCE</t>
        </is>
      </c>
      <c r="H606" s="21" t="n">
        <v>0.4</v>
      </c>
      <c r="I606" s="36" t="n">
        <v>6000</v>
      </c>
      <c r="J606" s="21">
        <f>I606*H606</f>
        <v/>
      </c>
      <c r="K606" s="21">
        <f>IFERROR(IF(J606/P606&gt;1,P606,J606),0)</f>
        <v/>
      </c>
      <c r="L606" s="36" t="n">
        <v>6287</v>
      </c>
      <c r="M606" s="21">
        <f>L606*H606</f>
        <v/>
      </c>
      <c r="N606" s="21">
        <f>IFERROR(IF(M606/K606&gt;1,K606,M606),0)</f>
        <v/>
      </c>
      <c r="O606" s="36" t="n">
        <v>6000</v>
      </c>
      <c r="P606" s="21">
        <f>O606*H606</f>
        <v/>
      </c>
      <c r="Q606" s="30">
        <f>IF(MONTH(E606+1)=MONTH(E606+6),MONTH(E606+1),IF(MIN(EOMONTH(E606+1,0),E606+6)-(E606+1)+1&gt;=3,MONTH(E606+1),MONTH(E606+6)))</f>
        <v/>
      </c>
      <c r="R606" s="22">
        <f>IFERROR(K606/P606, 0)</f>
        <v/>
      </c>
      <c r="S606" s="38">
        <f>IFERROR(N606/P606,0)</f>
        <v/>
      </c>
      <c r="T606" s="31">
        <f>IFERROR(IF(N606&gt;0,(N606/K606),MIN(1,M606/J606)),0)</f>
        <v/>
      </c>
      <c r="U606" s="33" t="n"/>
    </row>
    <row r="607" hidden="1" s="40">
      <c r="A607" s="23" t="inlineStr">
        <is>
          <t>Semana 2 - abril</t>
        </is>
      </c>
      <c r="B607" s="27">
        <f>YEAR(E607)</f>
        <v/>
      </c>
      <c r="C607" s="18">
        <f>INDEX({"Janeiro";"Fevereiro";"Março";"Abril";"Maio";"Junho";"Julho";"Agosto";"Setembro";"Outubro";"Novembro";"Dezembro"},Q607)</f>
        <v/>
      </c>
      <c r="D607" s="24" t="n">
        <v>2</v>
      </c>
      <c r="E607" s="25" t="n">
        <v>46118</v>
      </c>
      <c r="F607" s="23" t="inlineStr">
        <is>
          <t>Doce de Leite Cacau 5kg - Bombeável</t>
        </is>
      </c>
      <c r="G607" s="23" t="inlineStr">
        <is>
          <t>DOCE</t>
        </is>
      </c>
      <c r="H607" s="26" t="n">
        <v>5</v>
      </c>
      <c r="I607" s="36" t="n">
        <v>0</v>
      </c>
      <c r="J607" s="21">
        <f>I607*H607</f>
        <v/>
      </c>
      <c r="K607" s="21">
        <f>IFERROR(IF(J607/P607&gt;1,P607,J607),0)</f>
        <v/>
      </c>
      <c r="L607" s="36" t="n">
        <v>0</v>
      </c>
      <c r="M607" s="21">
        <f>L607*H607</f>
        <v/>
      </c>
      <c r="N607" s="21">
        <f>IFERROR(IF(M607/K607&gt;1,K607,M607),0)</f>
        <v/>
      </c>
      <c r="O607" s="36" t="n">
        <v>0</v>
      </c>
      <c r="P607" s="21">
        <f>O607*H607</f>
        <v/>
      </c>
      <c r="Q607" s="30">
        <f>IF(MONTH(E607+1)=MONTH(E607+6),MONTH(E607+1),IF(MIN(EOMONTH(E607+1,0),E607+6)-(E607+1)+1&gt;=3,MONTH(E607+1),MONTH(E607+6)))</f>
        <v/>
      </c>
      <c r="R607" s="22">
        <f>IFERROR(K607/P607, 0)</f>
        <v/>
      </c>
      <c r="S607" s="38">
        <f>IFERROR(N607/P607,0)</f>
        <v/>
      </c>
      <c r="T607" s="31">
        <f>IFERROR(IF(N607&gt;0,(N607/K607),MIN(1,M607/J607)),0)</f>
        <v/>
      </c>
      <c r="U607" s="33" t="n"/>
    </row>
    <row r="608" hidden="1" s="40">
      <c r="A608" s="18" t="inlineStr">
        <is>
          <t>Semana 2 - abril</t>
        </is>
      </c>
      <c r="B608" s="27">
        <f>YEAR(E608)</f>
        <v/>
      </c>
      <c r="C608" s="18">
        <f>INDEX({"Janeiro";"Fevereiro";"Março";"Abril";"Maio";"Junho";"Julho";"Agosto";"Setembro";"Outubro";"Novembro";"Dezembro"},Q608)</f>
        <v/>
      </c>
      <c r="D608" s="19" t="n">
        <v>2</v>
      </c>
      <c r="E608" s="20" t="n">
        <v>46118</v>
      </c>
      <c r="F608" s="18" t="inlineStr">
        <is>
          <t>Doce de Leite Cacau 5kg - FOOD</t>
        </is>
      </c>
      <c r="G608" s="18" t="inlineStr">
        <is>
          <t>DOCE</t>
        </is>
      </c>
      <c r="H608" s="21" t="n">
        <v>5</v>
      </c>
      <c r="I608" s="36" t="n">
        <v>465</v>
      </c>
      <c r="J608" s="21">
        <f>I608*H608</f>
        <v/>
      </c>
      <c r="K608" s="21">
        <f>IFERROR(IF(J608/P608&gt;1,P608,J608),0)</f>
        <v/>
      </c>
      <c r="L608" s="36" t="n">
        <v>551</v>
      </c>
      <c r="M608" s="21">
        <f>L608*H608</f>
        <v/>
      </c>
      <c r="N608" s="21">
        <f>IFERROR(IF(M608/K608&gt;1,K608,M608),0)</f>
        <v/>
      </c>
      <c r="O608" s="36" t="n">
        <v>465</v>
      </c>
      <c r="P608" s="21">
        <f>O608*H608</f>
        <v/>
      </c>
      <c r="Q608" s="30">
        <f>IF(MONTH(E608+1)=MONTH(E608+6),MONTH(E608+1),IF(MIN(EOMONTH(E608+1,0),E608+6)-(E608+1)+1&gt;=3,MONTH(E608+1),MONTH(E608+6)))</f>
        <v/>
      </c>
      <c r="R608" s="22">
        <f>IFERROR(K608/P608, 0)</f>
        <v/>
      </c>
      <c r="S608" s="38">
        <f>IFERROR(N608/P608,0)</f>
        <v/>
      </c>
      <c r="T608" s="31">
        <f>IFERROR(IF(N608&gt;0,(N608/K608),MIN(1,M608/J608)),0)</f>
        <v/>
      </c>
      <c r="U608" s="33" t="n"/>
    </row>
    <row r="609" hidden="1" s="40">
      <c r="A609" s="23" t="inlineStr">
        <is>
          <t>Semana 2 - abril</t>
        </is>
      </c>
      <c r="B609" s="27">
        <f>YEAR(E609)</f>
        <v/>
      </c>
      <c r="C609" s="18">
        <f>INDEX({"Janeiro";"Fevereiro";"Março";"Abril";"Maio";"Junho";"Julho";"Agosto";"Setembro";"Outubro";"Novembro";"Dezembro"},Q609)</f>
        <v/>
      </c>
      <c r="D609" s="24" t="n">
        <v>2</v>
      </c>
      <c r="E609" s="25" t="n">
        <v>46118</v>
      </c>
      <c r="F609" s="23" t="inlineStr">
        <is>
          <t>Doce de Leite Zero Açúcar e Lactose 400g</t>
        </is>
      </c>
      <c r="G609" s="23" t="inlineStr">
        <is>
          <t>DOCE</t>
        </is>
      </c>
      <c r="H609" s="26" t="n">
        <v>0.4</v>
      </c>
      <c r="I609" s="36" t="n">
        <v>16000</v>
      </c>
      <c r="J609" s="21">
        <f>I609*H609</f>
        <v/>
      </c>
      <c r="K609" s="21">
        <f>IFERROR(IF(J609/P609&gt;1,P609,J609),0)</f>
        <v/>
      </c>
      <c r="L609" s="36" t="n">
        <v>16581</v>
      </c>
      <c r="M609" s="21">
        <f>L609*H609</f>
        <v/>
      </c>
      <c r="N609" s="21">
        <f>IFERROR(IF(M609/K609&gt;1,K609,M609),0)</f>
        <v/>
      </c>
      <c r="O609" s="36" t="n">
        <v>18000</v>
      </c>
      <c r="P609" s="21">
        <f>O609*H609</f>
        <v/>
      </c>
      <c r="Q609" s="30">
        <f>IF(MONTH(E609+1)=MONTH(E609+6),MONTH(E609+1),IF(MIN(EOMONTH(E609+1,0),E609+6)-(E609+1)+1&gt;=3,MONTH(E609+1),MONTH(E609+6)))</f>
        <v/>
      </c>
      <c r="R609" s="22">
        <f>IFERROR(K609/P609, 0)</f>
        <v/>
      </c>
      <c r="S609" s="38">
        <f>IFERROR(N609/P609,0)</f>
        <v/>
      </c>
      <c r="T609" s="31">
        <f>IFERROR(IF(N609&gt;0,(N609/K609),MIN(1,M609/J609)),0)</f>
        <v/>
      </c>
      <c r="U609" s="33" t="n"/>
    </row>
    <row r="610" hidden="1" s="40">
      <c r="A610" s="18" t="inlineStr">
        <is>
          <t>Semana 2 - abril</t>
        </is>
      </c>
      <c r="B610" s="27">
        <f>YEAR(E610)</f>
        <v/>
      </c>
      <c r="C610" s="18">
        <f>INDEX({"Janeiro";"Fevereiro";"Março";"Abril";"Maio";"Junho";"Julho";"Agosto";"Setembro";"Outubro";"Novembro";"Dezembro"},Q610)</f>
        <v/>
      </c>
      <c r="D610" s="19" t="n">
        <v>2</v>
      </c>
      <c r="E610" s="20" t="n">
        <v>46118</v>
      </c>
      <c r="F610" s="18" t="inlineStr">
        <is>
          <t>Doce de Leite c/ Café 400</t>
        </is>
      </c>
      <c r="G610" s="18" t="inlineStr">
        <is>
          <t>DOCE</t>
        </is>
      </c>
      <c r="H610" s="21" t="n">
        <v>0.4</v>
      </c>
      <c r="I610" s="36" t="n">
        <v>6000</v>
      </c>
      <c r="J610" s="21">
        <f>I610*H610</f>
        <v/>
      </c>
      <c r="K610" s="21">
        <f>IFERROR(IF(J610/P610&gt;1,P610,J610),0)</f>
        <v/>
      </c>
      <c r="L610" s="36" t="n">
        <v>6284</v>
      </c>
      <c r="M610" s="21">
        <f>L610*H610</f>
        <v/>
      </c>
      <c r="N610" s="21">
        <f>IFERROR(IF(M610/K610&gt;1,K610,M610),0)</f>
        <v/>
      </c>
      <c r="O610" s="36" t="n">
        <v>6000</v>
      </c>
      <c r="P610" s="21">
        <f>O610*H610</f>
        <v/>
      </c>
      <c r="Q610" s="30">
        <f>IF(MONTH(E610+1)=MONTH(E610+6),MONTH(E610+1),IF(MIN(EOMONTH(E610+1,0),E610+6)-(E610+1)+1&gt;=3,MONTH(E610+1),MONTH(E610+6)))</f>
        <v/>
      </c>
      <c r="R610" s="22">
        <f>IFERROR(K610/P610, 0)</f>
        <v/>
      </c>
      <c r="S610" s="38">
        <f>IFERROR(N610/P610,0)</f>
        <v/>
      </c>
      <c r="T610" s="31">
        <f>IFERROR(IF(N610&gt;0,(N610/K610),MIN(1,M610/J610)),0)</f>
        <v/>
      </c>
      <c r="U610" s="33" t="n"/>
    </row>
    <row r="611" hidden="1" s="40">
      <c r="A611" s="23" t="inlineStr">
        <is>
          <t>Semana 2 - abril</t>
        </is>
      </c>
      <c r="B611" s="27">
        <f>YEAR(E611)</f>
        <v/>
      </c>
      <c r="C611" s="18">
        <f>INDEX({"Janeiro";"Fevereiro";"Março";"Abril";"Maio";"Junho";"Julho";"Agosto";"Setembro";"Outubro";"Novembro";"Dezembro"},Q611)</f>
        <v/>
      </c>
      <c r="D611" s="24" t="n">
        <v>2</v>
      </c>
      <c r="E611" s="25" t="n">
        <v>46118</v>
      </c>
      <c r="F611" s="23" t="inlineStr">
        <is>
          <t>Doce de Leite c/ Café 5kg</t>
        </is>
      </c>
      <c r="G611" s="23" t="inlineStr">
        <is>
          <t>DOCE</t>
        </is>
      </c>
      <c r="H611" s="26" t="n">
        <v>5</v>
      </c>
      <c r="I611" s="36" t="n">
        <v>0</v>
      </c>
      <c r="J611" s="21">
        <f>I611*H611</f>
        <v/>
      </c>
      <c r="K611" s="21">
        <f>IFERROR(IF(J611/P611&gt;1,P611,J611),0)</f>
        <v/>
      </c>
      <c r="L611" s="36" t="n">
        <v>0</v>
      </c>
      <c r="M611" s="21">
        <f>L611*H611</f>
        <v/>
      </c>
      <c r="N611" s="21">
        <f>IFERROR(IF(M611/K611&gt;1,K611,M611),0)</f>
        <v/>
      </c>
      <c r="O611" s="36" t="n">
        <v>0</v>
      </c>
      <c r="P611" s="21">
        <f>O611*H611</f>
        <v/>
      </c>
      <c r="Q611" s="30">
        <f>IF(MONTH(E611+1)=MONTH(E611+6),MONTH(E611+1),IF(MIN(EOMONTH(E611+1,0),E611+6)-(E611+1)+1&gt;=3,MONTH(E611+1),MONTH(E611+6)))</f>
        <v/>
      </c>
      <c r="R611" s="22">
        <f>IFERROR(K611/P611, 0)</f>
        <v/>
      </c>
      <c r="S611" s="38">
        <f>IFERROR(N611/P611,0)</f>
        <v/>
      </c>
      <c r="T611" s="31">
        <f>IFERROR(IF(N611&gt;0,(N611/K611),MIN(1,M611/J611)),0)</f>
        <v/>
      </c>
      <c r="U611" s="33" t="n"/>
    </row>
    <row r="612" hidden="1" s="40">
      <c r="A612" s="18" t="inlineStr">
        <is>
          <t>Semana 2 - abril</t>
        </is>
      </c>
      <c r="B612" s="27">
        <f>YEAR(E612)</f>
        <v/>
      </c>
      <c r="C612" s="18">
        <f>INDEX({"Janeiro";"Fevereiro";"Março";"Abril";"Maio";"Junho";"Julho";"Agosto";"Setembro";"Outubro";"Novembro";"Dezembro"},Q612)</f>
        <v/>
      </c>
      <c r="D612" s="19" t="n">
        <v>2</v>
      </c>
      <c r="E612" s="20" t="n">
        <v>46118</v>
      </c>
      <c r="F612" s="18" t="inlineStr">
        <is>
          <t>Doce de Leite c/ coco 400</t>
        </is>
      </c>
      <c r="G612" s="18" t="inlineStr">
        <is>
          <t>DOCE</t>
        </is>
      </c>
      <c r="H612" s="21" t="n">
        <v>0.4</v>
      </c>
      <c r="I612" s="36" t="n">
        <v>6000</v>
      </c>
      <c r="J612" s="21">
        <f>I612*H612</f>
        <v/>
      </c>
      <c r="K612" s="21">
        <f>IFERROR(IF(J612/P612&gt;1,P612,J612),0)</f>
        <v/>
      </c>
      <c r="L612" s="36" t="n">
        <v>6789</v>
      </c>
      <c r="M612" s="21">
        <f>L612*H612</f>
        <v/>
      </c>
      <c r="N612" s="21">
        <f>IFERROR(IF(M612/K612&gt;1,K612,M612),0)</f>
        <v/>
      </c>
      <c r="O612" s="36" t="n">
        <v>6000</v>
      </c>
      <c r="P612" s="21">
        <f>O612*H612</f>
        <v/>
      </c>
      <c r="Q612" s="30">
        <f>IF(MONTH(E612+1)=MONTH(E612+6),MONTH(E612+1),IF(MIN(EOMONTH(E612+1,0),E612+6)-(E612+1)+1&gt;=3,MONTH(E612+1),MONTH(E612+6)))</f>
        <v/>
      </c>
      <c r="R612" s="22">
        <f>IFERROR(K612/P612, 0)</f>
        <v/>
      </c>
      <c r="S612" s="38">
        <f>IFERROR(N612/P612,0)</f>
        <v/>
      </c>
      <c r="T612" s="31">
        <f>IFERROR(IF(N612&gt;0,(N612/K612),MIN(1,M612/J612)),0)</f>
        <v/>
      </c>
      <c r="U612" s="33" t="n"/>
    </row>
    <row r="613" hidden="1" s="40">
      <c r="A613" s="23" t="inlineStr">
        <is>
          <t>Semana 2 - abril</t>
        </is>
      </c>
      <c r="B613" s="27">
        <f>YEAR(E613)</f>
        <v/>
      </c>
      <c r="C613" s="18">
        <f>INDEX({"Janeiro";"Fevereiro";"Março";"Abril";"Maio";"Junho";"Julho";"Agosto";"Setembro";"Outubro";"Novembro";"Dezembro"},Q613)</f>
        <v/>
      </c>
      <c r="D613" s="24" t="n">
        <v>2</v>
      </c>
      <c r="E613" s="25" t="n">
        <v>46118</v>
      </c>
      <c r="F613" s="23" t="inlineStr">
        <is>
          <t>IOGURTE VIÇOSA MORANGO LIGHT 180g</t>
        </is>
      </c>
      <c r="G613" s="23" t="inlineStr">
        <is>
          <t>IOGURTE</t>
        </is>
      </c>
      <c r="H613" s="26" t="n">
        <v>0.18</v>
      </c>
      <c r="I613" s="36" t="n">
        <v>0</v>
      </c>
      <c r="J613" s="21">
        <f>I613*H613</f>
        <v/>
      </c>
      <c r="K613" s="21">
        <f>IFERROR(IF(J613/P613&gt;1,P613,J613),0)</f>
        <v/>
      </c>
      <c r="L613" s="36" t="n">
        <v>0</v>
      </c>
      <c r="M613" s="21">
        <f>L613*H613</f>
        <v/>
      </c>
      <c r="N613" s="21">
        <f>IFERROR(IF(M613/K613&gt;1,K613,M613),0)</f>
        <v/>
      </c>
      <c r="O613" s="36" t="n">
        <v>0</v>
      </c>
      <c r="P613" s="21">
        <f>O613*H613</f>
        <v/>
      </c>
      <c r="Q613" s="30">
        <f>IF(MONTH(E613+1)=MONTH(E613+6),MONTH(E613+1),IF(MIN(EOMONTH(E613+1,0),E613+6)-(E613+1)+1&gt;=3,MONTH(E613+1),MONTH(E613+6)))</f>
        <v/>
      </c>
      <c r="R613" s="22">
        <f>IFERROR(K613/P613, 0)</f>
        <v/>
      </c>
      <c r="S613" s="38">
        <f>IFERROR(N613/P613,0)</f>
        <v/>
      </c>
      <c r="T613" s="31">
        <f>IFERROR(IF(N613&gt;0,(N613/K613),MIN(1,M613/J613)),0)</f>
        <v/>
      </c>
      <c r="U613" s="33" t="n"/>
    </row>
    <row r="614" hidden="1" s="40">
      <c r="A614" s="18" t="inlineStr">
        <is>
          <t>Semana 2 - abril</t>
        </is>
      </c>
      <c r="B614" s="27">
        <f>YEAR(E614)</f>
        <v/>
      </c>
      <c r="C614" s="18">
        <f>INDEX({"Janeiro";"Fevereiro";"Março";"Abril";"Maio";"Junho";"Julho";"Agosto";"Setembro";"Outubro";"Novembro";"Dezembro"},Q614)</f>
        <v/>
      </c>
      <c r="D614" s="19" t="n">
        <v>2</v>
      </c>
      <c r="E614" s="20" t="n">
        <v>46118</v>
      </c>
      <c r="F614" s="18" t="inlineStr">
        <is>
          <t>IOGURTE VIÇOSA MORANGO LIGHT 800g</t>
        </is>
      </c>
      <c r="G614" s="18" t="inlineStr">
        <is>
          <t>IOGURTE</t>
        </is>
      </c>
      <c r="H614" s="21" t="n">
        <v>0.8</v>
      </c>
      <c r="I614" s="36" t="n">
        <v>0</v>
      </c>
      <c r="J614" s="21">
        <f>I614*H614</f>
        <v/>
      </c>
      <c r="K614" s="21">
        <f>IFERROR(IF(J614/P614&gt;1,P614,J614),0)</f>
        <v/>
      </c>
      <c r="L614" s="36" t="n">
        <v>0</v>
      </c>
      <c r="M614" s="21">
        <f>L614*H614</f>
        <v/>
      </c>
      <c r="N614" s="21">
        <f>IFERROR(IF(M614/K614&gt;1,K614,M614),0)</f>
        <v/>
      </c>
      <c r="O614" s="36" t="n">
        <v>0</v>
      </c>
      <c r="P614" s="21">
        <f>O614*H614</f>
        <v/>
      </c>
      <c r="Q614" s="30">
        <f>IF(MONTH(E614+1)=MONTH(E614+6),MONTH(E614+1),IF(MIN(EOMONTH(E614+1,0),E614+6)-(E614+1)+1&gt;=3,MONTH(E614+1),MONTH(E614+6)))</f>
        <v/>
      </c>
      <c r="R614" s="22">
        <f>IFERROR(K614/P614, 0)</f>
        <v/>
      </c>
      <c r="S614" s="38">
        <f>IFERROR(N614/P614,0)</f>
        <v/>
      </c>
      <c r="T614" s="31">
        <f>IFERROR(IF(N614&gt;0,(N614/K614),MIN(1,M614/J614)),0)</f>
        <v/>
      </c>
      <c r="U614" s="33" t="n"/>
    </row>
    <row r="615" hidden="1" s="40">
      <c r="A615" s="18" t="inlineStr">
        <is>
          <t>Semana 2 - abril</t>
        </is>
      </c>
      <c r="B615" s="27">
        <f>YEAR(E615)</f>
        <v/>
      </c>
      <c r="C615" s="18">
        <f>INDEX({"Janeiro";"Fevereiro";"Março";"Abril";"Maio";"Junho";"Julho";"Agosto";"Setembro";"Outubro";"Novembro";"Dezembro"},Q615)</f>
        <v/>
      </c>
      <c r="D615" s="19" t="n">
        <v>2</v>
      </c>
      <c r="E615" s="20" t="n">
        <v>46118</v>
      </c>
      <c r="F615" s="18" t="inlineStr">
        <is>
          <t>Iogurte Abacaxi c/ Coco 120g</t>
        </is>
      </c>
      <c r="G615" s="18" t="inlineStr">
        <is>
          <t>IOGURTE</t>
        </is>
      </c>
      <c r="H615" s="21" t="n">
        <v>0.12</v>
      </c>
      <c r="I615" s="36" t="n">
        <v>3000</v>
      </c>
      <c r="J615" s="21">
        <f>I615*H615</f>
        <v/>
      </c>
      <c r="K615" s="21">
        <f>IFERROR(IF(J615/P615&gt;1,P615,J615),0)</f>
        <v/>
      </c>
      <c r="L615" s="36" t="n">
        <v>3309</v>
      </c>
      <c r="M615" s="21">
        <f>L615*H615</f>
        <v/>
      </c>
      <c r="N615" s="21">
        <f>IFERROR(IF(M615/K615&gt;1,K615,M615),0)</f>
        <v/>
      </c>
      <c r="O615" s="36" t="n">
        <v>2000</v>
      </c>
      <c r="P615" s="21">
        <f>O615*H615</f>
        <v/>
      </c>
      <c r="Q615" s="30">
        <f>IF(MONTH(E615+1)=MONTH(E615+6),MONTH(E615+1),IF(MIN(EOMONTH(E615+1,0),E615+6)-(E615+1)+1&gt;=3,MONTH(E615+1),MONTH(E615+6)))</f>
        <v/>
      </c>
      <c r="R615" s="22">
        <f>IFERROR(K615/P615, 0)</f>
        <v/>
      </c>
      <c r="S615" s="38">
        <f>IFERROR(N615/P615,0)</f>
        <v/>
      </c>
      <c r="T615" s="31">
        <f>IFERROR(IF(N615&gt;0,(N615/K615),MIN(1,M615/J615)),0)</f>
        <v/>
      </c>
      <c r="U615" s="33" t="n"/>
    </row>
    <row r="616" hidden="1" s="40">
      <c r="A616" s="23" t="inlineStr">
        <is>
          <t>Semana 2 - abril</t>
        </is>
      </c>
      <c r="B616" s="27">
        <f>YEAR(E616)</f>
        <v/>
      </c>
      <c r="C616" s="18">
        <f>INDEX({"Janeiro";"Fevereiro";"Março";"Abril";"Maio";"Junho";"Julho";"Agosto";"Setembro";"Outubro";"Novembro";"Dezembro"},Q616)</f>
        <v/>
      </c>
      <c r="D616" s="24" t="n">
        <v>2</v>
      </c>
      <c r="E616" s="25" t="n">
        <v>46118</v>
      </c>
      <c r="F616" s="23" t="inlineStr">
        <is>
          <t>Iogurte Abacaxi c/ Coco 185g</t>
        </is>
      </c>
      <c r="G616" s="23" t="inlineStr">
        <is>
          <t>IOGURTE</t>
        </is>
      </c>
      <c r="H616" s="26" t="n">
        <v>0.185</v>
      </c>
      <c r="I616" s="36" t="n">
        <v>1300</v>
      </c>
      <c r="J616" s="21">
        <f>I616*H616</f>
        <v/>
      </c>
      <c r="K616" s="21">
        <f>IFERROR(IF(J616/P616&gt;1,P616,J616),0)</f>
        <v/>
      </c>
      <c r="L616" s="36" t="n">
        <v>1017</v>
      </c>
      <c r="M616" s="21">
        <f>L616*H616</f>
        <v/>
      </c>
      <c r="N616" s="21">
        <f>IFERROR(IF(M616/K616&gt;1,K616,M616),0)</f>
        <v/>
      </c>
      <c r="O616" s="36" t="n">
        <v>560</v>
      </c>
      <c r="P616" s="21">
        <f>O616*H616</f>
        <v/>
      </c>
      <c r="Q616" s="30">
        <f>IF(MONTH(E616+1)=MONTH(E616+6),MONTH(E616+1),IF(MIN(EOMONTH(E616+1,0),E616+6)-(E616+1)+1&gt;=3,MONTH(E616+1),MONTH(E616+6)))</f>
        <v/>
      </c>
      <c r="R616" s="22">
        <f>IFERROR(K616/P616, 0)</f>
        <v/>
      </c>
      <c r="S616" s="38">
        <f>IFERROR(N616/P616,0)</f>
        <v/>
      </c>
      <c r="T616" s="31">
        <f>IFERROR(IF(N616&gt;0,(N616/K616),MIN(1,M616/J616)),0)</f>
        <v/>
      </c>
      <c r="U616" s="33" t="n"/>
    </row>
    <row r="617" hidden="1" s="40">
      <c r="A617" s="18" t="inlineStr">
        <is>
          <t>Semana 2 - abril</t>
        </is>
      </c>
      <c r="B617" s="27">
        <f>YEAR(E617)</f>
        <v/>
      </c>
      <c r="C617" s="18">
        <f>INDEX({"Janeiro";"Fevereiro";"Março";"Abril";"Maio";"Junho";"Julho";"Agosto";"Setembro";"Outubro";"Novembro";"Dezembro"},Q617)</f>
        <v/>
      </c>
      <c r="D617" s="19" t="n">
        <v>2</v>
      </c>
      <c r="E617" s="20" t="n">
        <v>46118</v>
      </c>
      <c r="F617" s="18" t="inlineStr">
        <is>
          <t>Iogurte Abacaxi c/ Coco 900g</t>
        </is>
      </c>
      <c r="G617" s="18" t="inlineStr">
        <is>
          <t>IOGURTE</t>
        </is>
      </c>
      <c r="H617" s="21" t="n">
        <v>0.9</v>
      </c>
      <c r="I617" s="36" t="n">
        <v>3960</v>
      </c>
      <c r="J617" s="21">
        <f>I617*H617</f>
        <v/>
      </c>
      <c r="K617" s="21">
        <f>IFERROR(IF(J617/P617&gt;1,P617,J617),0)</f>
        <v/>
      </c>
      <c r="L617" s="36" t="n">
        <v>4116</v>
      </c>
      <c r="M617" s="21">
        <f>L617*H617</f>
        <v/>
      </c>
      <c r="N617" s="21">
        <f>IFERROR(IF(M617/K617&gt;1,K617,M617),0)</f>
        <v/>
      </c>
      <c r="O617" s="36" t="n">
        <v>2900</v>
      </c>
      <c r="P617" s="21">
        <f>O617*H617</f>
        <v/>
      </c>
      <c r="Q617" s="30">
        <f>IF(MONTH(E617+1)=MONTH(E617+6),MONTH(E617+1),IF(MIN(EOMONTH(E617+1,0),E617+6)-(E617+1)+1&gt;=3,MONTH(E617+1),MONTH(E617+6)))</f>
        <v/>
      </c>
      <c r="R617" s="22">
        <f>IFERROR(K617/P617, 0)</f>
        <v/>
      </c>
      <c r="S617" s="38">
        <f>IFERROR(N617/P617,0)</f>
        <v/>
      </c>
      <c r="T617" s="31">
        <f>IFERROR(IF(N617&gt;0,(N617/K617),MIN(1,M617/J617)),0)</f>
        <v/>
      </c>
      <c r="U617" s="33" t="n"/>
    </row>
    <row r="618" hidden="1" s="40">
      <c r="A618" s="18" t="inlineStr">
        <is>
          <t>Semana 2 - abril</t>
        </is>
      </c>
      <c r="B618" s="27">
        <f>YEAR(E618)</f>
        <v/>
      </c>
      <c r="C618" s="18">
        <f>INDEX({"Janeiro";"Fevereiro";"Março";"Abril";"Maio";"Junho";"Julho";"Agosto";"Setembro";"Outubro";"Novembro";"Dezembro"},Q618)</f>
        <v/>
      </c>
      <c r="D618" s="19" t="n">
        <v>2</v>
      </c>
      <c r="E618" s="20" t="n">
        <v>46118</v>
      </c>
      <c r="F618" s="18" t="inlineStr">
        <is>
          <t>Iogurte Coco 120g</t>
        </is>
      </c>
      <c r="G618" s="18" t="inlineStr">
        <is>
          <t>IOGURTE</t>
        </is>
      </c>
      <c r="H618" s="21" t="n">
        <v>0.12</v>
      </c>
      <c r="I618" s="36" t="n">
        <v>3000</v>
      </c>
      <c r="J618" s="21">
        <f>I618*H618</f>
        <v/>
      </c>
      <c r="K618" s="21">
        <f>IFERROR(IF(J618/P618&gt;1,P618,J618),0)</f>
        <v/>
      </c>
      <c r="L618" s="36" t="n">
        <v>2930</v>
      </c>
      <c r="M618" s="21">
        <f>L618*H618</f>
        <v/>
      </c>
      <c r="N618" s="21">
        <f>IFERROR(IF(M618/K618&gt;1,K618,M618),0)</f>
        <v/>
      </c>
      <c r="O618" s="36" t="n">
        <v>3000</v>
      </c>
      <c r="P618" s="21">
        <f>O618*H618</f>
        <v/>
      </c>
      <c r="Q618" s="30">
        <f>IF(MONTH(E618+1)=MONTH(E618+6),MONTH(E618+1),IF(MIN(EOMONTH(E618+1,0),E618+6)-(E618+1)+1&gt;=3,MONTH(E618+1),MONTH(E618+6)))</f>
        <v/>
      </c>
      <c r="R618" s="22">
        <f>IFERROR(K618/P618, 0)</f>
        <v/>
      </c>
      <c r="S618" s="38">
        <f>IFERROR(N618/P618,0)</f>
        <v/>
      </c>
      <c r="T618" s="31">
        <f>IFERROR(IF(N618&gt;0,(N618/K618),MIN(1,M618/J618)),0)</f>
        <v/>
      </c>
      <c r="U618" s="33" t="n"/>
    </row>
    <row r="619" hidden="1" s="40">
      <c r="A619" s="23" t="inlineStr">
        <is>
          <t>Semana 2 - abril</t>
        </is>
      </c>
      <c r="B619" s="27">
        <f>YEAR(E619)</f>
        <v/>
      </c>
      <c r="C619" s="18">
        <f>INDEX({"Janeiro";"Fevereiro";"Março";"Abril";"Maio";"Junho";"Julho";"Agosto";"Setembro";"Outubro";"Novembro";"Dezembro"},Q619)</f>
        <v/>
      </c>
      <c r="D619" s="24" t="n">
        <v>2</v>
      </c>
      <c r="E619" s="25" t="n">
        <v>46118</v>
      </c>
      <c r="F619" s="23" t="inlineStr">
        <is>
          <t>Iogurte Coco 185g</t>
        </is>
      </c>
      <c r="G619" s="23" t="inlineStr">
        <is>
          <t>IOGURTE</t>
        </is>
      </c>
      <c r="H619" s="26" t="n">
        <v>0.185</v>
      </c>
      <c r="I619" s="36" t="n">
        <v>520</v>
      </c>
      <c r="J619" s="21">
        <f>I619*H619</f>
        <v/>
      </c>
      <c r="K619" s="21">
        <f>IFERROR(IF(J619/P619&gt;1,P619,J619),0)</f>
        <v/>
      </c>
      <c r="L619" s="36" t="n">
        <v>481</v>
      </c>
      <c r="M619" s="21">
        <f>L619*H619</f>
        <v/>
      </c>
      <c r="N619" s="21">
        <f>IFERROR(IF(M619/K619&gt;1,K619,M619),0)</f>
        <v/>
      </c>
      <c r="O619" s="36" t="n">
        <v>560</v>
      </c>
      <c r="P619" s="21">
        <f>O619*H619</f>
        <v/>
      </c>
      <c r="Q619" s="30">
        <f>IF(MONTH(E619+1)=MONTH(E619+6),MONTH(E619+1),IF(MIN(EOMONTH(E619+1,0),E619+6)-(E619+1)+1&gt;=3,MONTH(E619+1),MONTH(E619+6)))</f>
        <v/>
      </c>
      <c r="R619" s="22">
        <f>IFERROR(K619/P619, 0)</f>
        <v/>
      </c>
      <c r="S619" s="38">
        <f>IFERROR(N619/P619,0)</f>
        <v/>
      </c>
      <c r="T619" s="31">
        <f>IFERROR(IF(N619&gt;0,(N619/K619),MIN(1,M619/J619)),0)</f>
        <v/>
      </c>
      <c r="U619" s="33" t="n"/>
    </row>
    <row r="620" hidden="1" s="40">
      <c r="A620" s="18" t="inlineStr">
        <is>
          <t>Semana 2 - abril</t>
        </is>
      </c>
      <c r="B620" s="27">
        <f>YEAR(E620)</f>
        <v/>
      </c>
      <c r="C620" s="18">
        <f>INDEX({"Janeiro";"Fevereiro";"Março";"Abril";"Maio";"Junho";"Julho";"Agosto";"Setembro";"Outubro";"Novembro";"Dezembro"},Q620)</f>
        <v/>
      </c>
      <c r="D620" s="19" t="n">
        <v>2</v>
      </c>
      <c r="E620" s="20" t="n">
        <v>46118</v>
      </c>
      <c r="F620" s="18" t="inlineStr">
        <is>
          <t>Iogurte Coco 900g</t>
        </is>
      </c>
      <c r="G620" s="18" t="inlineStr">
        <is>
          <t>IOGURTE</t>
        </is>
      </c>
      <c r="H620" s="21" t="n">
        <v>0.9</v>
      </c>
      <c r="I620" s="36" t="n">
        <v>1080</v>
      </c>
      <c r="J620" s="21">
        <f>I620*H620</f>
        <v/>
      </c>
      <c r="K620" s="21">
        <f>IFERROR(IF(J620/P620&gt;1,P620,J620),0)</f>
        <v/>
      </c>
      <c r="L620" s="36" t="n">
        <v>1075</v>
      </c>
      <c r="M620" s="21">
        <f>L620*H620</f>
        <v/>
      </c>
      <c r="N620" s="21">
        <f>IFERROR(IF(M620/K620&gt;1,K620,M620),0)</f>
        <v/>
      </c>
      <c r="O620" s="36" t="n">
        <v>2200</v>
      </c>
      <c r="P620" s="21">
        <f>O620*H620</f>
        <v/>
      </c>
      <c r="Q620" s="30">
        <f>IF(MONTH(E620+1)=MONTH(E620+6),MONTH(E620+1),IF(MIN(EOMONTH(E620+1,0),E620+6)-(E620+1)+1&gt;=3,MONTH(E620+1),MONTH(E620+6)))</f>
        <v/>
      </c>
      <c r="R620" s="22">
        <f>IFERROR(K620/P620, 0)</f>
        <v/>
      </c>
      <c r="S620" s="38">
        <f>IFERROR(N620/P620,0)</f>
        <v/>
      </c>
      <c r="T620" s="31">
        <f>IFERROR(IF(N620&gt;0,(N620/K620),MIN(1,M620/J620)),0)</f>
        <v/>
      </c>
      <c r="U620" s="33" t="n"/>
    </row>
    <row r="621" hidden="1" s="40">
      <c r="A621" s="23" t="inlineStr">
        <is>
          <t>Semana 2 - abril</t>
        </is>
      </c>
      <c r="B621" s="27">
        <f>YEAR(E621)</f>
        <v/>
      </c>
      <c r="C621" s="18">
        <f>INDEX({"Janeiro";"Fevereiro";"Março";"Abril";"Maio";"Junho";"Julho";"Agosto";"Setembro";"Outubro";"Novembro";"Dezembro"},Q621)</f>
        <v/>
      </c>
      <c r="D621" s="24" t="n">
        <v>2</v>
      </c>
      <c r="E621" s="25" t="n">
        <v>46118</v>
      </c>
      <c r="F621" s="23" t="inlineStr">
        <is>
          <t>Iogurte Grego Frutas vermelhas 120g</t>
        </is>
      </c>
      <c r="G621" s="23" t="inlineStr">
        <is>
          <t>IOGURTE</t>
        </is>
      </c>
      <c r="H621" s="26" t="n">
        <v>0.17</v>
      </c>
      <c r="I621" s="36" t="n">
        <v>1400</v>
      </c>
      <c r="J621" s="21">
        <f>I621*H621</f>
        <v/>
      </c>
      <c r="K621" s="21">
        <f>IFERROR(IF(J621/P621&gt;1,P621,J621),0)</f>
        <v/>
      </c>
      <c r="L621" s="36" t="n">
        <v>1283</v>
      </c>
      <c r="M621" s="21">
        <f>L621*H621</f>
        <v/>
      </c>
      <c r="N621" s="21">
        <f>IFERROR(IF(M621/K621&gt;1,K621,M621),0)</f>
        <v/>
      </c>
      <c r="O621" s="36" t="n">
        <v>1400</v>
      </c>
      <c r="P621" s="21">
        <f>O621*H621</f>
        <v/>
      </c>
      <c r="Q621" s="30">
        <f>IF(MONTH(E621+1)=MONTH(E621+6),MONTH(E621+1),IF(MIN(EOMONTH(E621+1,0),E621+6)-(E621+1)+1&gt;=3,MONTH(E621+1),MONTH(E621+6)))</f>
        <v/>
      </c>
      <c r="R621" s="22">
        <f>IFERROR(K621/P621, 0)</f>
        <v/>
      </c>
      <c r="S621" s="38">
        <f>IFERROR(N621/P621,0)</f>
        <v/>
      </c>
      <c r="T621" s="31">
        <f>IFERROR(IF(N621&gt;0,(N621/K621),MIN(1,M621/J621)),0)</f>
        <v/>
      </c>
      <c r="U621" s="33" t="n"/>
    </row>
    <row r="622" hidden="1" s="40">
      <c r="A622" s="23" t="inlineStr">
        <is>
          <t>Semana 2 - abril</t>
        </is>
      </c>
      <c r="B622" s="27">
        <f>YEAR(E622)</f>
        <v/>
      </c>
      <c r="C622" s="18">
        <f>INDEX({"Janeiro";"Fevereiro";"Março";"Abril";"Maio";"Junho";"Julho";"Agosto";"Setembro";"Outubro";"Novembro";"Dezembro"},Q622)</f>
        <v/>
      </c>
      <c r="D622" s="24" t="n">
        <v>2</v>
      </c>
      <c r="E622" s="25" t="n">
        <v>46118</v>
      </c>
      <c r="F622" s="23" t="inlineStr">
        <is>
          <t>Iogurte Morango 120g</t>
        </is>
      </c>
      <c r="G622" s="23" t="inlineStr">
        <is>
          <t>IOGURTE</t>
        </is>
      </c>
      <c r="H622" s="26" t="n">
        <v>0.12</v>
      </c>
      <c r="I622" s="36" t="n">
        <v>42000</v>
      </c>
      <c r="J622" s="21">
        <f>I622*H622</f>
        <v/>
      </c>
      <c r="K622" s="21">
        <f>IFERROR(IF(J622/P622&gt;1,P622,J622),0)</f>
        <v/>
      </c>
      <c r="L622" s="36" t="n">
        <v>35640</v>
      </c>
      <c r="M622" s="21">
        <f>L622*H622</f>
        <v/>
      </c>
      <c r="N622" s="21">
        <f>IFERROR(IF(M622/K622&gt;1,K622,M622),0)</f>
        <v/>
      </c>
      <c r="O622" s="36" t="n">
        <v>38000</v>
      </c>
      <c r="P622" s="21">
        <f>O622*H622</f>
        <v/>
      </c>
      <c r="Q622" s="30">
        <f>IF(MONTH(E622+1)=MONTH(E622+6),MONTH(E622+1),IF(MIN(EOMONTH(E622+1,0),E622+6)-(E622+1)+1&gt;=3,MONTH(E622+1),MONTH(E622+6)))</f>
        <v/>
      </c>
      <c r="R622" s="22">
        <f>IFERROR(K622/P622, 0)</f>
        <v/>
      </c>
      <c r="S622" s="38">
        <f>IFERROR(N622/P622,0)</f>
        <v/>
      </c>
      <c r="T622" s="31">
        <f>IFERROR(IF(N622&gt;0,(N622/K622),MIN(1,M622/J622)),0)</f>
        <v/>
      </c>
      <c r="U622" s="33" t="n"/>
    </row>
    <row r="623" hidden="1" s="40">
      <c r="A623" s="18" t="inlineStr">
        <is>
          <t>Semana 2 - abril</t>
        </is>
      </c>
      <c r="B623" s="27">
        <f>YEAR(E623)</f>
        <v/>
      </c>
      <c r="C623" s="18">
        <f>INDEX({"Janeiro";"Fevereiro";"Março";"Abril";"Maio";"Junho";"Julho";"Agosto";"Setembro";"Outubro";"Novembro";"Dezembro"},Q623)</f>
        <v/>
      </c>
      <c r="D623" s="19" t="n">
        <v>2</v>
      </c>
      <c r="E623" s="20" t="n">
        <v>46118</v>
      </c>
      <c r="F623" s="18" t="inlineStr">
        <is>
          <t>Iogurte Morango 185g</t>
        </is>
      </c>
      <c r="G623" s="18" t="inlineStr">
        <is>
          <t>IOGURTE</t>
        </is>
      </c>
      <c r="H623" s="21" t="n">
        <v>0.185</v>
      </c>
      <c r="I623" s="36" t="n">
        <v>2600</v>
      </c>
      <c r="J623" s="21">
        <f>I623*H623</f>
        <v/>
      </c>
      <c r="K623" s="21">
        <f>IFERROR(IF(J623/P623&gt;1,P623,J623),0)</f>
        <v/>
      </c>
      <c r="L623" s="36" t="n">
        <v>2542</v>
      </c>
      <c r="M623" s="21">
        <f>L623*H623</f>
        <v/>
      </c>
      <c r="N623" s="21">
        <f>IFERROR(IF(M623/K623&gt;1,K623,M623),0)</f>
        <v/>
      </c>
      <c r="O623" s="36" t="n">
        <v>1040</v>
      </c>
      <c r="P623" s="21">
        <f>O623*H623</f>
        <v/>
      </c>
      <c r="Q623" s="30">
        <f>IF(MONTH(E623+1)=MONTH(E623+6),MONTH(E623+1),IF(MIN(EOMONTH(E623+1,0),E623+6)-(E623+1)+1&gt;=3,MONTH(E623+1),MONTH(E623+6)))</f>
        <v/>
      </c>
      <c r="R623" s="22">
        <f>IFERROR(K623/P623, 0)</f>
        <v/>
      </c>
      <c r="S623" s="38">
        <f>IFERROR(N623/P623,0)</f>
        <v/>
      </c>
      <c r="T623" s="31">
        <f>IFERROR(IF(N623&gt;0,(N623/K623),MIN(1,M623/J623)),0)</f>
        <v/>
      </c>
      <c r="U623" s="33" t="n"/>
    </row>
    <row r="624" hidden="1" s="40">
      <c r="A624" s="23" t="inlineStr">
        <is>
          <t>Semana 2 - abril</t>
        </is>
      </c>
      <c r="B624" s="27">
        <f>YEAR(E624)</f>
        <v/>
      </c>
      <c r="C624" s="18">
        <f>INDEX({"Janeiro";"Fevereiro";"Março";"Abril";"Maio";"Junho";"Julho";"Agosto";"Setembro";"Outubro";"Novembro";"Dezembro"},Q624)</f>
        <v/>
      </c>
      <c r="D624" s="24" t="n">
        <v>2</v>
      </c>
      <c r="E624" s="25" t="n">
        <v>46118</v>
      </c>
      <c r="F624" s="23" t="inlineStr">
        <is>
          <t>Iogurte Morango 900G</t>
        </is>
      </c>
      <c r="G624" s="23" t="inlineStr">
        <is>
          <t>IOGURTE</t>
        </is>
      </c>
      <c r="H624" s="26" t="n">
        <v>0.9</v>
      </c>
      <c r="I624" s="36" t="n">
        <v>8590</v>
      </c>
      <c r="J624" s="21">
        <f>I624*H624</f>
        <v/>
      </c>
      <c r="K624" s="21">
        <f>IFERROR(IF(J624/P624&gt;1,P624,J624),0)</f>
        <v/>
      </c>
      <c r="L624" s="36" t="n">
        <v>8414</v>
      </c>
      <c r="M624" s="21">
        <f>L624*H624</f>
        <v/>
      </c>
      <c r="N624" s="21">
        <f>IFERROR(IF(M624/K624&gt;1,K624,M624),0)</f>
        <v/>
      </c>
      <c r="O624" s="36" t="n">
        <v>8500</v>
      </c>
      <c r="P624" s="21">
        <f>O624*H624</f>
        <v/>
      </c>
      <c r="Q624" s="30">
        <f>IF(MONTH(E624+1)=MONTH(E624+6),MONTH(E624+1),IF(MIN(EOMONTH(E624+1,0),E624+6)-(E624+1)+1&gt;=3,MONTH(E624+1),MONTH(E624+6)))</f>
        <v/>
      </c>
      <c r="R624" s="22">
        <f>IFERROR(K624/P624, 0)</f>
        <v/>
      </c>
      <c r="S624" s="38">
        <f>IFERROR(N624/P624,0)</f>
        <v/>
      </c>
      <c r="T624" s="31">
        <f>IFERROR(IF(N624&gt;0,(N624/K624),MIN(1,M624/J624)),0)</f>
        <v/>
      </c>
      <c r="U624" s="33" t="n"/>
    </row>
    <row r="625" hidden="1" s="40">
      <c r="A625" s="18" t="inlineStr">
        <is>
          <t>Semana 2 - abril</t>
        </is>
      </c>
      <c r="B625" s="27">
        <f>YEAR(E625)</f>
        <v/>
      </c>
      <c r="C625" s="18">
        <f>INDEX({"Janeiro";"Fevereiro";"Março";"Abril";"Maio";"Junho";"Julho";"Agosto";"Setembro";"Outubro";"Novembro";"Dezembro"},Q625)</f>
        <v/>
      </c>
      <c r="D625" s="19" t="n">
        <v>2</v>
      </c>
      <c r="E625" s="20" t="n">
        <v>46118</v>
      </c>
      <c r="F625" s="18" t="inlineStr">
        <is>
          <t>Iogurte Natural Integral 170g</t>
        </is>
      </c>
      <c r="G625" s="18" t="inlineStr">
        <is>
          <t>IOGURTE</t>
        </is>
      </c>
      <c r="H625" s="21" t="n">
        <v>0.17</v>
      </c>
      <c r="I625" s="36" t="n">
        <v>3820</v>
      </c>
      <c r="J625" s="21">
        <f>I625*H625</f>
        <v/>
      </c>
      <c r="K625" s="21">
        <f>IFERROR(IF(J625/P625&gt;1,P625,J625),0)</f>
        <v/>
      </c>
      <c r="L625" s="36" t="n">
        <v>3447</v>
      </c>
      <c r="M625" s="21">
        <f>L625*H625</f>
        <v/>
      </c>
      <c r="N625" s="21">
        <f>IFERROR(IF(M625/K625&gt;1,K625,M625),0)</f>
        <v/>
      </c>
      <c r="O625" s="36" t="n">
        <v>3800</v>
      </c>
      <c r="P625" s="21">
        <f>O625*H625</f>
        <v/>
      </c>
      <c r="Q625" s="30">
        <f>IF(MONTH(E625+1)=MONTH(E625+6),MONTH(E625+1),IF(MIN(EOMONTH(E625+1,0),E625+6)-(E625+1)+1&gt;=3,MONTH(E625+1),MONTH(E625+6)))</f>
        <v/>
      </c>
      <c r="R625" s="22">
        <f>IFERROR(K625/P625, 0)</f>
        <v/>
      </c>
      <c r="S625" s="38">
        <f>IFERROR(N625/P625,0)</f>
        <v/>
      </c>
      <c r="T625" s="31">
        <f>IFERROR(IF(N625&gt;0,(N625/K625),MIN(1,M625/J625)),0)</f>
        <v/>
      </c>
      <c r="U625" s="33" t="n"/>
    </row>
    <row r="626" hidden="1" s="40">
      <c r="A626" s="23" t="inlineStr">
        <is>
          <t>Semana 2 - abril</t>
        </is>
      </c>
      <c r="B626" s="27">
        <f>YEAR(E626)</f>
        <v/>
      </c>
      <c r="C626" s="18">
        <f>INDEX({"Janeiro";"Fevereiro";"Março";"Abril";"Maio";"Junho";"Julho";"Agosto";"Setembro";"Outubro";"Novembro";"Dezembro"},Q626)</f>
        <v/>
      </c>
      <c r="D626" s="24" t="n">
        <v>2</v>
      </c>
      <c r="E626" s="25" t="n">
        <v>46118</v>
      </c>
      <c r="F626" s="23" t="inlineStr">
        <is>
          <t>Iogurte Natural Triplo Zero 170g</t>
        </is>
      </c>
      <c r="G626" s="23" t="inlineStr">
        <is>
          <t>IOGURTE</t>
        </is>
      </c>
      <c r="H626" s="26" t="n">
        <v>0.17</v>
      </c>
      <c r="I626" s="36" t="n">
        <v>3820</v>
      </c>
      <c r="J626" s="21">
        <f>I626*H626</f>
        <v/>
      </c>
      <c r="K626" s="21">
        <f>IFERROR(IF(J626/P626&gt;1,P626,J626),0)</f>
        <v/>
      </c>
      <c r="L626" s="36" t="n">
        <v>3807</v>
      </c>
      <c r="M626" s="21">
        <f>L626*H626</f>
        <v/>
      </c>
      <c r="N626" s="21">
        <f>IFERROR(IF(M626/K626&gt;1,K626,M626),0)</f>
        <v/>
      </c>
      <c r="O626" s="36" t="n">
        <v>3800</v>
      </c>
      <c r="P626" s="21">
        <f>O626*H626</f>
        <v/>
      </c>
      <c r="Q626" s="30">
        <f>IF(MONTH(E626+1)=MONTH(E626+6),MONTH(E626+1),IF(MIN(EOMONTH(E626+1,0),E626+6)-(E626+1)+1&gt;=3,MONTH(E626+1),MONTH(E626+6)))</f>
        <v/>
      </c>
      <c r="R626" s="22">
        <f>IFERROR(K626/P626, 0)</f>
        <v/>
      </c>
      <c r="S626" s="38">
        <f>IFERROR(N626/P626,0)</f>
        <v/>
      </c>
      <c r="T626" s="31">
        <f>IFERROR(IF(N626&gt;0,(N626/K626),MIN(1,M626/J626)),0)</f>
        <v/>
      </c>
      <c r="U626" s="33" t="n"/>
    </row>
    <row r="627" hidden="1" s="40">
      <c r="A627" s="23" t="inlineStr">
        <is>
          <t>Semana 2 - abril</t>
        </is>
      </c>
      <c r="B627" s="27">
        <f>YEAR(E627)</f>
        <v/>
      </c>
      <c r="C627" s="18">
        <f>INDEX({"Janeiro";"Fevereiro";"Março";"Abril";"Maio";"Junho";"Julho";"Agosto";"Setembro";"Outubro";"Novembro";"Dezembro"},Q627)</f>
        <v/>
      </c>
      <c r="D627" s="24" t="n">
        <v>2</v>
      </c>
      <c r="E627" s="25" t="n">
        <v>46118</v>
      </c>
      <c r="F627" s="23" t="inlineStr">
        <is>
          <t>Iogurte Salada 120g</t>
        </is>
      </c>
      <c r="G627" s="23" t="inlineStr">
        <is>
          <t>IOGURTE</t>
        </is>
      </c>
      <c r="H627" s="26" t="n">
        <v>0.12</v>
      </c>
      <c r="I627" s="36" t="n">
        <v>6000</v>
      </c>
      <c r="J627" s="21">
        <f>I627*H627</f>
        <v/>
      </c>
      <c r="K627" s="21">
        <f>IFERROR(IF(J627/P627&gt;1,P627,J627),0)</f>
        <v/>
      </c>
      <c r="L627" s="36" t="n">
        <v>3603</v>
      </c>
      <c r="M627" s="21">
        <f>L627*H627</f>
        <v/>
      </c>
      <c r="N627" s="21">
        <f>IFERROR(IF(M627/K627&gt;1,K627,M627),0)</f>
        <v/>
      </c>
      <c r="O627" s="36" t="n">
        <v>5000</v>
      </c>
      <c r="P627" s="21">
        <f>O627*H627</f>
        <v/>
      </c>
      <c r="Q627" s="30">
        <f>IF(MONTH(E627+1)=MONTH(E627+6),MONTH(E627+1),IF(MIN(EOMONTH(E627+1,0),E627+6)-(E627+1)+1&gt;=3,MONTH(E627+1),MONTH(E627+6)))</f>
        <v/>
      </c>
      <c r="R627" s="22">
        <f>IFERROR(K627/P627, 0)</f>
        <v/>
      </c>
      <c r="S627" s="38">
        <f>IFERROR(N627/P627,0)</f>
        <v/>
      </c>
      <c r="T627" s="31">
        <f>IFERROR(IF(N627&gt;0,(N627/K627),MIN(1,M627/J627)),0)</f>
        <v/>
      </c>
      <c r="U627" s="33" t="n"/>
    </row>
    <row r="628" hidden="1" s="40">
      <c r="A628" s="18" t="inlineStr">
        <is>
          <t>Semana 2 - abril</t>
        </is>
      </c>
      <c r="B628" s="27">
        <f>YEAR(E628)</f>
        <v/>
      </c>
      <c r="C628" s="18">
        <f>INDEX({"Janeiro";"Fevereiro";"Março";"Abril";"Maio";"Junho";"Julho";"Agosto";"Setembro";"Outubro";"Novembro";"Dezembro"},Q628)</f>
        <v/>
      </c>
      <c r="D628" s="19" t="n">
        <v>2</v>
      </c>
      <c r="E628" s="20" t="n">
        <v>46118</v>
      </c>
      <c r="F628" s="18" t="inlineStr">
        <is>
          <t>Iogurte Salada 185g</t>
        </is>
      </c>
      <c r="G628" s="18" t="inlineStr">
        <is>
          <t>IOGURTE</t>
        </is>
      </c>
      <c r="H628" s="21" t="n">
        <v>0.185</v>
      </c>
      <c r="I628" s="36" t="n">
        <v>1040</v>
      </c>
      <c r="J628" s="21">
        <f>I628*H628</f>
        <v/>
      </c>
      <c r="K628" s="21">
        <f>IFERROR(IF(J628/P628&gt;1,P628,J628),0)</f>
        <v/>
      </c>
      <c r="L628" s="36" t="n">
        <v>695</v>
      </c>
      <c r="M628" s="21">
        <f>L628*H628</f>
        <v/>
      </c>
      <c r="N628" s="21">
        <f>IFERROR(IF(M628/K628&gt;1,K628,M628),0)</f>
        <v/>
      </c>
      <c r="O628" s="36" t="n">
        <v>780</v>
      </c>
      <c r="P628" s="21">
        <f>O628*H628</f>
        <v/>
      </c>
      <c r="Q628" s="30">
        <f>IF(MONTH(E628+1)=MONTH(E628+6),MONTH(E628+1),IF(MIN(EOMONTH(E628+1,0),E628+6)-(E628+1)+1&gt;=3,MONTH(E628+1),MONTH(E628+6)))</f>
        <v/>
      </c>
      <c r="R628" s="22">
        <f>IFERROR(K628/P628, 0)</f>
        <v/>
      </c>
      <c r="S628" s="38">
        <f>IFERROR(N628/P628,0)</f>
        <v/>
      </c>
      <c r="T628" s="31">
        <f>IFERROR(IF(N628&gt;0,(N628/K628),MIN(1,M628/J628)),0)</f>
        <v/>
      </c>
      <c r="U628" s="33" t="n"/>
    </row>
    <row r="629" hidden="1" s="40">
      <c r="A629" s="23" t="inlineStr">
        <is>
          <t>Semana 2 - abril</t>
        </is>
      </c>
      <c r="B629" s="27">
        <f>YEAR(E629)</f>
        <v/>
      </c>
      <c r="C629" s="18">
        <f>INDEX({"Janeiro";"Fevereiro";"Março";"Abril";"Maio";"Junho";"Julho";"Agosto";"Setembro";"Outubro";"Novembro";"Dezembro"},Q629)</f>
        <v/>
      </c>
      <c r="D629" s="24" t="n">
        <v>2</v>
      </c>
      <c r="E629" s="25" t="n">
        <v>46118</v>
      </c>
      <c r="F629" s="23" t="inlineStr">
        <is>
          <t>Iogurte Salada 900g</t>
        </is>
      </c>
      <c r="G629" s="23" t="inlineStr">
        <is>
          <t>IOGURTE</t>
        </is>
      </c>
      <c r="H629" s="26" t="n">
        <v>0.9</v>
      </c>
      <c r="I629" s="36" t="n">
        <v>3390</v>
      </c>
      <c r="J629" s="21">
        <f>I629*H629</f>
        <v/>
      </c>
      <c r="K629" s="21">
        <f>IFERROR(IF(J629/P629&gt;1,P629,J629),0)</f>
        <v/>
      </c>
      <c r="L629" s="36" t="n">
        <v>1899</v>
      </c>
      <c r="M629" s="21">
        <f>L629*H629</f>
        <v/>
      </c>
      <c r="N629" s="21">
        <f>IFERROR(IF(M629/K629&gt;1,K629,M629),0)</f>
        <v/>
      </c>
      <c r="O629" s="36" t="n">
        <v>2500</v>
      </c>
      <c r="P629" s="21">
        <f>O629*H629</f>
        <v/>
      </c>
      <c r="Q629" s="30">
        <f>IF(MONTH(E629+1)=MONTH(E629+6),MONTH(E629+1),IF(MIN(EOMONTH(E629+1,0),E629+6)-(E629+1)+1&gt;=3,MONTH(E629+1),MONTH(E629+6)))</f>
        <v/>
      </c>
      <c r="R629" s="22">
        <f>IFERROR(K629/P629, 0)</f>
        <v/>
      </c>
      <c r="S629" s="38">
        <f>IFERROR(N629/P629,0)</f>
        <v/>
      </c>
      <c r="T629" s="31">
        <f>IFERROR(IF(N629&gt;0,(N629/K629),MIN(1,M629/J629)),0)</f>
        <v/>
      </c>
      <c r="U629" s="33" t="n"/>
    </row>
    <row r="630" hidden="1" s="40">
      <c r="A630" s="18" t="inlineStr">
        <is>
          <t>Semana 2 - abril</t>
        </is>
      </c>
      <c r="B630" s="27">
        <f>YEAR(E630)</f>
        <v/>
      </c>
      <c r="C630" s="18">
        <f>INDEX({"Janeiro";"Fevereiro";"Março";"Abril";"Maio";"Junho";"Julho";"Agosto";"Setembro";"Outubro";"Novembro";"Dezembro"},Q630)</f>
        <v/>
      </c>
      <c r="D630" s="19" t="n">
        <v>2</v>
      </c>
      <c r="E630" s="20" t="n">
        <v>46118</v>
      </c>
      <c r="F630" s="18" t="inlineStr">
        <is>
          <t>Iogurte Vida Leve Ameixa c/ Grãos 180g</t>
        </is>
      </c>
      <c r="G630" s="18" t="inlineStr">
        <is>
          <t>IOGURTE</t>
        </is>
      </c>
      <c r="H630" s="21" t="n">
        <v>0.18</v>
      </c>
      <c r="I630" s="36" t="n">
        <v>0</v>
      </c>
      <c r="J630" s="21">
        <f>I630*H630</f>
        <v/>
      </c>
      <c r="K630" s="21">
        <f>IFERROR(IF(J630/P630&gt;1,P630,J630),0)</f>
        <v/>
      </c>
      <c r="L630" s="36" t="n">
        <v>0</v>
      </c>
      <c r="M630" s="21">
        <f>L630*H630</f>
        <v/>
      </c>
      <c r="N630" s="21">
        <f>IFERROR(IF(M630/K630&gt;1,K630,M630),0)</f>
        <v/>
      </c>
      <c r="O630" s="36" t="n">
        <v>0</v>
      </c>
      <c r="P630" s="21">
        <f>O630*H630</f>
        <v/>
      </c>
      <c r="Q630" s="30">
        <f>IF(MONTH(E630+1)=MONTH(E630+6),MONTH(E630+1),IF(MIN(EOMONTH(E630+1,0),E630+6)-(E630+1)+1&gt;=3,MONTH(E630+1),MONTH(E630+6)))</f>
        <v/>
      </c>
      <c r="R630" s="22">
        <f>IFERROR(K630/P630, 0)</f>
        <v/>
      </c>
      <c r="S630" s="38">
        <f>IFERROR(N630/P630,0)</f>
        <v/>
      </c>
      <c r="T630" s="31">
        <f>IFERROR(IF(N630&gt;0,(N630/K630),MIN(1,M630/J630)),0)</f>
        <v/>
      </c>
      <c r="U630" s="33" t="n"/>
    </row>
    <row r="631" hidden="1" s="40">
      <c r="A631" s="23" t="inlineStr">
        <is>
          <t>Semana 2 - abril</t>
        </is>
      </c>
      <c r="B631" s="27">
        <f>YEAR(E631)</f>
        <v/>
      </c>
      <c r="C631" s="18">
        <f>INDEX({"Janeiro";"Fevereiro";"Março";"Abril";"Maio";"Junho";"Julho";"Agosto";"Setembro";"Outubro";"Novembro";"Dezembro"},Q631)</f>
        <v/>
      </c>
      <c r="D631" s="24" t="n">
        <v>2</v>
      </c>
      <c r="E631" s="25" t="n">
        <v>46118</v>
      </c>
      <c r="F631" s="23" t="inlineStr">
        <is>
          <t>Iogurte Vida Leve Ameixa c/ Grãos 500g</t>
        </is>
      </c>
      <c r="G631" s="23" t="inlineStr">
        <is>
          <t>IOGURTE</t>
        </is>
      </c>
      <c r="H631" s="26" t="n">
        <v>0.5</v>
      </c>
      <c r="I631" s="36" t="n">
        <v>0</v>
      </c>
      <c r="J631" s="21">
        <f>I631*H631</f>
        <v/>
      </c>
      <c r="K631" s="21">
        <f>IFERROR(IF(J631/P631&gt;1,P631,J631),0)</f>
        <v/>
      </c>
      <c r="L631" s="36" t="n">
        <v>0</v>
      </c>
      <c r="M631" s="21">
        <f>L631*H631</f>
        <v/>
      </c>
      <c r="N631" s="21">
        <f>IFERROR(IF(M631/K631&gt;1,K631,M631),0)</f>
        <v/>
      </c>
      <c r="O631" s="36" t="n">
        <v>0</v>
      </c>
      <c r="P631" s="21">
        <f>O631*H631</f>
        <v/>
      </c>
      <c r="Q631" s="30">
        <f>IF(MONTH(E631+1)=MONTH(E631+6),MONTH(E631+1),IF(MIN(EOMONTH(E631+1,0),E631+6)-(E631+1)+1&gt;=3,MONTH(E631+1),MONTH(E631+6)))</f>
        <v/>
      </c>
      <c r="R631" s="22">
        <f>IFERROR(K631/P631, 0)</f>
        <v/>
      </c>
      <c r="S631" s="38">
        <f>IFERROR(N631/P631,0)</f>
        <v/>
      </c>
      <c r="T631" s="31">
        <f>IFERROR(IF(N631&gt;0,(N631/K631),MIN(1,M631/J631)),0)</f>
        <v/>
      </c>
      <c r="U631" s="33" t="n"/>
    </row>
    <row r="632" hidden="1" s="40">
      <c r="A632" s="18" t="inlineStr">
        <is>
          <t>Semana 2 - abril</t>
        </is>
      </c>
      <c r="B632" s="27">
        <f>YEAR(E632)</f>
        <v/>
      </c>
      <c r="C632" s="18">
        <f>INDEX({"Janeiro";"Fevereiro";"Março";"Abril";"Maio";"Junho";"Julho";"Agosto";"Setembro";"Outubro";"Novembro";"Dezembro"},Q632)</f>
        <v/>
      </c>
      <c r="D632" s="19" t="n">
        <v>2</v>
      </c>
      <c r="E632" s="20" t="n">
        <v>46118</v>
      </c>
      <c r="F632" s="18" t="inlineStr">
        <is>
          <t>Iogurte Vida Leve Morango 180g</t>
        </is>
      </c>
      <c r="G632" s="18" t="inlineStr">
        <is>
          <t>IOGURTE</t>
        </is>
      </c>
      <c r="H632" s="21" t="n">
        <v>0.185</v>
      </c>
      <c r="I632" s="36" t="n">
        <v>0</v>
      </c>
      <c r="J632" s="21">
        <f>I632*H632</f>
        <v/>
      </c>
      <c r="K632" s="21">
        <f>IFERROR(IF(J632/P632&gt;1,P632,J632),0)</f>
        <v/>
      </c>
      <c r="L632" s="36" t="n">
        <v>0</v>
      </c>
      <c r="M632" s="21">
        <f>L632*H632</f>
        <v/>
      </c>
      <c r="N632" s="21">
        <f>IFERROR(IF(M632/K632&gt;1,K632,M632),0)</f>
        <v/>
      </c>
      <c r="O632" s="36" t="n">
        <v>0</v>
      </c>
      <c r="P632" s="21">
        <f>O632*H632</f>
        <v/>
      </c>
      <c r="Q632" s="30">
        <f>IF(MONTH(E632+1)=MONTH(E632+6),MONTH(E632+1),IF(MIN(EOMONTH(E632+1,0),E632+6)-(E632+1)+1&gt;=3,MONTH(E632+1),MONTH(E632+6)))</f>
        <v/>
      </c>
      <c r="R632" s="22">
        <f>IFERROR(K632/P632, 0)</f>
        <v/>
      </c>
      <c r="S632" s="38">
        <f>IFERROR(N632/P632,0)</f>
        <v/>
      </c>
      <c r="T632" s="31">
        <f>IFERROR(IF(N632&gt;0,(N632/K632),MIN(1,M632/J632)),0)</f>
        <v/>
      </c>
      <c r="U632" s="33" t="n"/>
    </row>
    <row r="633" hidden="1" s="40">
      <c r="A633" s="23" t="inlineStr">
        <is>
          <t>Semana 2 - abril</t>
        </is>
      </c>
      <c r="B633" s="27">
        <f>YEAR(E633)</f>
        <v/>
      </c>
      <c r="C633" s="18">
        <f>INDEX({"Janeiro";"Fevereiro";"Março";"Abril";"Maio";"Junho";"Julho";"Agosto";"Setembro";"Outubro";"Novembro";"Dezembro"},Q633)</f>
        <v/>
      </c>
      <c r="D633" s="24" t="n">
        <v>2</v>
      </c>
      <c r="E633" s="25" t="n">
        <v>46118</v>
      </c>
      <c r="F633" s="23" t="inlineStr">
        <is>
          <t>Iogurte Vida Leve Morango 500g</t>
        </is>
      </c>
      <c r="G633" s="23" t="inlineStr">
        <is>
          <t>IOGURTE</t>
        </is>
      </c>
      <c r="H633" s="26" t="n">
        <v>0.5</v>
      </c>
      <c r="I633" s="36" t="n">
        <v>0</v>
      </c>
      <c r="J633" s="21">
        <f>I633*H633</f>
        <v/>
      </c>
      <c r="K633" s="21">
        <f>IFERROR(IF(J633/P633&gt;1,P633,J633),0)</f>
        <v/>
      </c>
      <c r="L633" s="36" t="n">
        <v>0</v>
      </c>
      <c r="M633" s="21">
        <f>L633*H633</f>
        <v/>
      </c>
      <c r="N633" s="21">
        <f>IFERROR(IF(M633/K633&gt;1,K633,M633),0)</f>
        <v/>
      </c>
      <c r="O633" s="36" t="n">
        <v>0</v>
      </c>
      <c r="P633" s="21">
        <f>O633*H633</f>
        <v/>
      </c>
      <c r="Q633" s="30">
        <f>IF(MONTH(E633+1)=MONTH(E633+6),MONTH(E633+1),IF(MIN(EOMONTH(E633+1,0),E633+6)-(E633+1)+1&gt;=3,MONTH(E633+1),MONTH(E633+6)))</f>
        <v/>
      </c>
      <c r="R633" s="22">
        <f>IFERROR(K633/P633, 0)</f>
        <v/>
      </c>
      <c r="S633" s="38">
        <f>IFERROR(N633/P633,0)</f>
        <v/>
      </c>
      <c r="T633" s="31">
        <f>IFERROR(IF(N633&gt;0,(N633/K633),MIN(1,M633/J633)),0)</f>
        <v/>
      </c>
      <c r="U633" s="33" t="n"/>
    </row>
    <row r="634" hidden="1" s="40">
      <c r="A634" s="18" t="inlineStr">
        <is>
          <t>Semana 2 - abril</t>
        </is>
      </c>
      <c r="B634" s="27">
        <f>YEAR(E634)</f>
        <v/>
      </c>
      <c r="C634" s="18">
        <f>INDEX({"Janeiro";"Fevereiro";"Março";"Abril";"Maio";"Junho";"Julho";"Agosto";"Setembro";"Outubro";"Novembro";"Dezembro"},Q634)</f>
        <v/>
      </c>
      <c r="D634" s="19" t="n">
        <v>2</v>
      </c>
      <c r="E634" s="20" t="n">
        <v>46118</v>
      </c>
      <c r="F634" s="18" t="inlineStr">
        <is>
          <t>LEITE PASTEURIZADO VIÇOSA DESNATADO</t>
        </is>
      </c>
      <c r="G634" s="18" t="inlineStr">
        <is>
          <t>LEITE PAST.</t>
        </is>
      </c>
      <c r="H634" s="21" t="n">
        <v>1</v>
      </c>
      <c r="I634" s="36" t="n">
        <v>650</v>
      </c>
      <c r="J634" s="21">
        <f>I634*H634</f>
        <v/>
      </c>
      <c r="K634" s="21">
        <f>IFERROR(IF(J634/P634&gt;1,P634,J634),0)</f>
        <v/>
      </c>
      <c r="L634" s="36" t="n">
        <v>650</v>
      </c>
      <c r="M634" s="21">
        <f>L634*H634</f>
        <v/>
      </c>
      <c r="N634" s="21">
        <f>IFERROR(IF(M634/K634&gt;1,K634,M634),0)</f>
        <v/>
      </c>
      <c r="O634" s="36" t="n">
        <v>650</v>
      </c>
      <c r="P634" s="21">
        <f>O634*H634</f>
        <v/>
      </c>
      <c r="Q634" s="30">
        <f>IF(MONTH(E634+1)=MONTH(E634+6),MONTH(E634+1),IF(MIN(EOMONTH(E634+1,0),E634+6)-(E634+1)+1&gt;=3,MONTH(E634+1),MONTH(E634+6)))</f>
        <v/>
      </c>
      <c r="R634" s="22">
        <f>IFERROR(K634/P634, 0)</f>
        <v/>
      </c>
      <c r="S634" s="38">
        <f>IFERROR(N634/P634,0)</f>
        <v/>
      </c>
      <c r="T634" s="31">
        <f>IFERROR(IF(N634&gt;0,(N634/K634),MIN(1,M634/J634)),0)</f>
        <v/>
      </c>
      <c r="U634" s="33" t="n"/>
    </row>
    <row r="635" hidden="1" s="40">
      <c r="A635" s="23" t="inlineStr">
        <is>
          <t>Semana 2 - abril</t>
        </is>
      </c>
      <c r="B635" s="27">
        <f>YEAR(E635)</f>
        <v/>
      </c>
      <c r="C635" s="18">
        <f>INDEX({"Janeiro";"Fevereiro";"Março";"Abril";"Maio";"Junho";"Julho";"Agosto";"Setembro";"Outubro";"Novembro";"Dezembro"},Q635)</f>
        <v/>
      </c>
      <c r="D635" s="24" t="n">
        <v>2</v>
      </c>
      <c r="E635" s="25" t="n">
        <v>46118</v>
      </c>
      <c r="F635" s="23" t="inlineStr">
        <is>
          <t>LEITE PASTEURIZADO VIÇOSA INTEGRAL</t>
        </is>
      </c>
      <c r="G635" s="23" t="inlineStr">
        <is>
          <t>LEITE PAST.</t>
        </is>
      </c>
      <c r="H635" s="26" t="n">
        <v>1</v>
      </c>
      <c r="I635" s="36" t="n">
        <v>18900</v>
      </c>
      <c r="J635" s="21">
        <f>I635*H635</f>
        <v/>
      </c>
      <c r="K635" s="21">
        <f>IFERROR(IF(J635/P635&gt;1,P635,J635),0)</f>
        <v/>
      </c>
      <c r="L635" s="36" t="n">
        <v>18900</v>
      </c>
      <c r="M635" s="21">
        <f>L635*H635</f>
        <v/>
      </c>
      <c r="N635" s="21">
        <f>IFERROR(IF(M635/K635&gt;1,K635,M635),0)</f>
        <v/>
      </c>
      <c r="O635" s="36" t="n">
        <v>18900</v>
      </c>
      <c r="P635" s="21">
        <f>O635*H635</f>
        <v/>
      </c>
      <c r="Q635" s="30">
        <f>IF(MONTH(E635+1)=MONTH(E635+6),MONTH(E635+1),IF(MIN(EOMONTH(E635+1,0),E635+6)-(E635+1)+1&gt;=3,MONTH(E635+1),MONTH(E635+6)))</f>
        <v/>
      </c>
      <c r="R635" s="22">
        <f>IFERROR(K635/P635, 0)</f>
        <v/>
      </c>
      <c r="S635" s="38">
        <f>IFERROR(N635/P635,0)</f>
        <v/>
      </c>
      <c r="T635" s="31">
        <f>IFERROR(IF(N635&gt;0,(N635/K635),MIN(1,M635/J635)),0)</f>
        <v/>
      </c>
      <c r="U635" s="33" t="n"/>
    </row>
    <row r="636" hidden="1" s="40">
      <c r="A636" s="18" t="inlineStr">
        <is>
          <t>Semana 2 - abril</t>
        </is>
      </c>
      <c r="B636" s="27">
        <f>YEAR(E636)</f>
        <v/>
      </c>
      <c r="C636" s="18">
        <f>INDEX({"Janeiro";"Fevereiro";"Março";"Abril";"Maio";"Junho";"Julho";"Agosto";"Setembro";"Outubro";"Novembro";"Dezembro"},Q636)</f>
        <v/>
      </c>
      <c r="D636" s="19" t="n">
        <v>2</v>
      </c>
      <c r="E636" s="20" t="n">
        <v>46118</v>
      </c>
      <c r="F636" s="18" t="inlineStr">
        <is>
          <t>LEITE PASTEURIZADO VIÇOSA ZERO LACTOSE INTEGRAL 1 L</t>
        </is>
      </c>
      <c r="G636" s="18" t="inlineStr">
        <is>
          <t>LEITE PAST.</t>
        </is>
      </c>
      <c r="H636" s="21" t="n">
        <v>1</v>
      </c>
      <c r="I636" s="36" t="n">
        <v>750</v>
      </c>
      <c r="J636" s="21">
        <f>I636*H636</f>
        <v/>
      </c>
      <c r="K636" s="21">
        <f>IFERROR(IF(J636/P636&gt;1,P636,J636),0)</f>
        <v/>
      </c>
      <c r="L636" s="36" t="n">
        <v>750</v>
      </c>
      <c r="M636" s="21">
        <f>L636*H636</f>
        <v/>
      </c>
      <c r="N636" s="21">
        <f>IFERROR(IF(M636/K636&gt;1,K636,M636),0)</f>
        <v/>
      </c>
      <c r="O636" s="36" t="n">
        <v>750</v>
      </c>
      <c r="P636" s="21">
        <f>O636*H636</f>
        <v/>
      </c>
      <c r="Q636" s="30">
        <f>IF(MONTH(E636+1)=MONTH(E636+6),MONTH(E636+1),IF(MIN(EOMONTH(E636+1,0),E636+6)-(E636+1)+1&gt;=3,MONTH(E636+1),MONTH(E636+6)))</f>
        <v/>
      </c>
      <c r="R636" s="22">
        <f>IFERROR(K636/P636, 0)</f>
        <v/>
      </c>
      <c r="S636" s="38">
        <f>IFERROR(N636/P636,0)</f>
        <v/>
      </c>
      <c r="T636" s="31">
        <f>IFERROR(IF(N636&gt;0,(N636/K636),MIN(1,M636/J636)),0)</f>
        <v/>
      </c>
      <c r="U636" s="33" t="n"/>
    </row>
    <row r="637" hidden="1" s="40">
      <c r="A637" s="23" t="inlineStr">
        <is>
          <t>Semana 2 - abril</t>
        </is>
      </c>
      <c r="B637" s="27">
        <f>YEAR(E637)</f>
        <v/>
      </c>
      <c r="C637" s="18">
        <f>INDEX({"Janeiro";"Fevereiro";"Março";"Abril";"Maio";"Junho";"Julho";"Agosto";"Setembro";"Outubro";"Novembro";"Dezembro"},Q637)</f>
        <v/>
      </c>
      <c r="D637" s="24" t="n">
        <v>2</v>
      </c>
      <c r="E637" s="25" t="n">
        <v>46118</v>
      </c>
      <c r="F637" s="23" t="inlineStr">
        <is>
          <t>Manteiga 200g</t>
        </is>
      </c>
      <c r="G637" s="23" t="inlineStr">
        <is>
          <t>MANTEIGA</t>
        </is>
      </c>
      <c r="H637" s="26" t="n">
        <v>0.2</v>
      </c>
      <c r="I637" s="36" t="n">
        <v>2500</v>
      </c>
      <c r="J637" s="21">
        <f>I637*H637</f>
        <v/>
      </c>
      <c r="K637" s="21">
        <f>IFERROR(IF(J637/P637&gt;1,P637,J637),0)</f>
        <v/>
      </c>
      <c r="L637" s="36" t="n">
        <v>2340</v>
      </c>
      <c r="M637" s="21">
        <f>L637*H637</f>
        <v/>
      </c>
      <c r="N637" s="21">
        <f>IFERROR(IF(M637/K637&gt;1,K637,M637),0)</f>
        <v/>
      </c>
      <c r="O637" s="36" t="n">
        <v>2500</v>
      </c>
      <c r="P637" s="21">
        <f>O637*H637</f>
        <v/>
      </c>
      <c r="Q637" s="30">
        <f>IF(MONTH(E637+1)=MONTH(E637+6),MONTH(E637+1),IF(MIN(EOMONTH(E637+1,0),E637+6)-(E637+1)+1&gt;=3,MONTH(E637+1),MONTH(E637+6)))</f>
        <v/>
      </c>
      <c r="R637" s="22">
        <f>IFERROR(K637/P637, 0)</f>
        <v/>
      </c>
      <c r="S637" s="38">
        <f>IFERROR(N637/P637,0)</f>
        <v/>
      </c>
      <c r="T637" s="31">
        <f>IFERROR(IF(N637&gt;0,(N637/K637),MIN(1,M637/J637)),0)</f>
        <v/>
      </c>
      <c r="U637" s="33" t="n"/>
    </row>
    <row r="638" hidden="1" s="40">
      <c r="A638" s="18" t="inlineStr">
        <is>
          <t>Semana 2 - abril</t>
        </is>
      </c>
      <c r="B638" s="27">
        <f>YEAR(E638)</f>
        <v/>
      </c>
      <c r="C638" s="18">
        <f>INDEX({"Janeiro";"Fevereiro";"Março";"Abril";"Maio";"Junho";"Julho";"Agosto";"Setembro";"Outubro";"Novembro";"Dezembro"},Q638)</f>
        <v/>
      </c>
      <c r="D638" s="19" t="n">
        <v>2</v>
      </c>
      <c r="E638" s="20" t="n">
        <v>46118</v>
      </c>
      <c r="F638" s="18" t="inlineStr">
        <is>
          <t>Manteiga 500g</t>
        </is>
      </c>
      <c r="G638" s="18" t="inlineStr">
        <is>
          <t>MANTEIGA</t>
        </is>
      </c>
      <c r="H638" s="21" t="n">
        <v>0.5</v>
      </c>
      <c r="I638" s="36" t="n">
        <v>550</v>
      </c>
      <c r="J638" s="21">
        <f>I638*H638</f>
        <v/>
      </c>
      <c r="K638" s="21">
        <f>IFERROR(IF(J638/P638&gt;1,P638,J638),0)</f>
        <v/>
      </c>
      <c r="L638" s="36" t="n">
        <v>487</v>
      </c>
      <c r="M638" s="21">
        <f>L638*H638</f>
        <v/>
      </c>
      <c r="N638" s="21">
        <f>IFERROR(IF(M638/K638&gt;1,K638,M638),0)</f>
        <v/>
      </c>
      <c r="O638" s="36" t="n">
        <v>550</v>
      </c>
      <c r="P638" s="21">
        <f>O638*H638</f>
        <v/>
      </c>
      <c r="Q638" s="30">
        <f>IF(MONTH(E638+1)=MONTH(E638+6),MONTH(E638+1),IF(MIN(EOMONTH(E638+1,0),E638+6)-(E638+1)+1&gt;=3,MONTH(E638+1),MONTH(E638+6)))</f>
        <v/>
      </c>
      <c r="R638" s="22">
        <f>IFERROR(K638/P638, 0)</f>
        <v/>
      </c>
      <c r="S638" s="38">
        <f>IFERROR(N638/P638,0)</f>
        <v/>
      </c>
      <c r="T638" s="31">
        <f>IFERROR(IF(N638&gt;0,(N638/K638),MIN(1,M638/J638)),0)</f>
        <v/>
      </c>
      <c r="U638" s="33" t="n"/>
    </row>
    <row r="639" hidden="1" s="40">
      <c r="A639" s="23" t="inlineStr">
        <is>
          <t>Semana 2 - abril</t>
        </is>
      </c>
      <c r="B639" s="27">
        <f>YEAR(E639)</f>
        <v/>
      </c>
      <c r="C639" s="18">
        <f>INDEX({"Janeiro";"Fevereiro";"Março";"Abril";"Maio";"Junho";"Julho";"Agosto";"Setembro";"Outubro";"Novembro";"Dezembro"},Q639)</f>
        <v/>
      </c>
      <c r="D639" s="24" t="n">
        <v>2</v>
      </c>
      <c r="E639" s="25" t="n">
        <v>46118</v>
      </c>
      <c r="F639" s="23" t="inlineStr">
        <is>
          <t>QUEIJO MINAS MEIA CURA (FRACIONADO)</t>
        </is>
      </c>
      <c r="G639" s="23" t="inlineStr">
        <is>
          <t>QUEIJO</t>
        </is>
      </c>
      <c r="H639" s="26" t="n">
        <v>1</v>
      </c>
      <c r="I639" s="36" t="n">
        <v>0</v>
      </c>
      <c r="J639" s="21">
        <f>I639*H639</f>
        <v/>
      </c>
      <c r="K639" s="21">
        <f>IFERROR(IF(J639/P639&gt;1,P639,J639),0)</f>
        <v/>
      </c>
      <c r="L639" s="36" t="n">
        <v>0</v>
      </c>
      <c r="M639" s="21">
        <f>L639*H639</f>
        <v/>
      </c>
      <c r="N639" s="21">
        <f>IFERROR(IF(M639/K639&gt;1,K639,M639),0)</f>
        <v/>
      </c>
      <c r="O639" s="36" t="n">
        <v>0</v>
      </c>
      <c r="P639" s="21">
        <f>O639*H639</f>
        <v/>
      </c>
      <c r="Q639" s="30">
        <f>IF(MONTH(E639+1)=MONTH(E639+6),MONTH(E639+1),IF(MIN(EOMONTH(E639+1,0),E639+6)-(E639+1)+1&gt;=3,MONTH(E639+1),MONTH(E639+6)))</f>
        <v/>
      </c>
      <c r="R639" s="22">
        <f>IFERROR(K639/P639, 0)</f>
        <v/>
      </c>
      <c r="S639" s="38">
        <f>IFERROR(N639/P639,0)</f>
        <v/>
      </c>
      <c r="T639" s="31">
        <f>IFERROR(IF(N639&gt;0,(N639/K639),MIN(1,M639/J639)),0)</f>
        <v/>
      </c>
      <c r="U639" s="33" t="n"/>
    </row>
    <row r="640" hidden="1" s="40">
      <c r="A640" s="18" t="inlineStr">
        <is>
          <t>Semana 2 - abril</t>
        </is>
      </c>
      <c r="B640" s="27">
        <f>YEAR(E640)</f>
        <v/>
      </c>
      <c r="C640" s="18">
        <f>INDEX({"Janeiro";"Fevereiro";"Março";"Abril";"Maio";"Junho";"Julho";"Agosto";"Setembro";"Outubro";"Novembro";"Dezembro"},Q640)</f>
        <v/>
      </c>
      <c r="D640" s="19" t="n">
        <v>2</v>
      </c>
      <c r="E640" s="20" t="n">
        <v>46118</v>
      </c>
      <c r="F640" s="18" t="inlineStr">
        <is>
          <t>QUEIJO MINAS MEIA CURA (INTEIRO)</t>
        </is>
      </c>
      <c r="G640" s="18" t="inlineStr">
        <is>
          <t>QUEIJO</t>
        </is>
      </c>
      <c r="H640" s="21" t="n">
        <v>1</v>
      </c>
      <c r="I640" s="36" t="n">
        <v>200</v>
      </c>
      <c r="J640" s="21">
        <f>I640*H640</f>
        <v/>
      </c>
      <c r="K640" s="21">
        <f>IFERROR(IF(J640/P640&gt;1,P640,J640),0)</f>
        <v/>
      </c>
      <c r="L640" s="36" t="n">
        <v>0</v>
      </c>
      <c r="M640" s="21">
        <f>L640*H640</f>
        <v/>
      </c>
      <c r="N640" s="21">
        <f>IFERROR(IF(M640/K640&gt;1,K640,M640),0)</f>
        <v/>
      </c>
      <c r="O640" s="36" t="n">
        <v>200</v>
      </c>
      <c r="P640" s="21">
        <f>O640*H640</f>
        <v/>
      </c>
      <c r="Q640" s="30">
        <f>IF(MONTH(E640+1)=MONTH(E640+6),MONTH(E640+1),IF(MIN(EOMONTH(E640+1,0),E640+6)-(E640+1)+1&gt;=3,MONTH(E640+1),MONTH(E640+6)))</f>
        <v/>
      </c>
      <c r="R640" s="22">
        <f>IFERROR(K640/P640, 0)</f>
        <v/>
      </c>
      <c r="S640" s="38">
        <f>IFERROR(N640/P640,0)</f>
        <v/>
      </c>
      <c r="T640" s="31">
        <f>IFERROR(IF(N640&gt;0,(N640/K640),MIN(1,M640/J640)),0)</f>
        <v/>
      </c>
      <c r="U640" s="33" t="n"/>
    </row>
    <row r="641" hidden="1" s="40">
      <c r="A641" s="23" t="inlineStr">
        <is>
          <t>Semana 2 - abril</t>
        </is>
      </c>
      <c r="B641" s="27">
        <f>YEAR(E641)</f>
        <v/>
      </c>
      <c r="C641" s="18">
        <f>INDEX({"Janeiro";"Fevereiro";"Março";"Abril";"Maio";"Junho";"Julho";"Agosto";"Setembro";"Outubro";"Novembro";"Dezembro"},Q641)</f>
        <v/>
      </c>
      <c r="D641" s="24" t="n">
        <v>2</v>
      </c>
      <c r="E641" s="25" t="n">
        <v>46118</v>
      </c>
      <c r="F641" s="23" t="inlineStr">
        <is>
          <t xml:space="preserve">QUEIJO MINAS PADRÃO VIÇOSA FRACIONADO </t>
        </is>
      </c>
      <c r="G641" s="23" t="inlineStr">
        <is>
          <t>QUEIJO</t>
        </is>
      </c>
      <c r="H641" s="26" t="n">
        <v>1</v>
      </c>
      <c r="I641" s="36" t="n">
        <v>300</v>
      </c>
      <c r="J641" s="21">
        <f>I641*H641</f>
        <v/>
      </c>
      <c r="K641" s="21">
        <f>IFERROR(IF(J641/P641&gt;1,P641,J641),0)</f>
        <v/>
      </c>
      <c r="L641" s="36" t="n">
        <v>300</v>
      </c>
      <c r="M641" s="21">
        <f>L641*H641</f>
        <v/>
      </c>
      <c r="N641" s="21">
        <f>IFERROR(IF(M641/K641&gt;1,K641,M641),0)</f>
        <v/>
      </c>
      <c r="O641" s="36" t="n">
        <v>200</v>
      </c>
      <c r="P641" s="21">
        <f>O641*H641</f>
        <v/>
      </c>
      <c r="Q641" s="30">
        <f>IF(MONTH(E641+1)=MONTH(E641+6),MONTH(E641+1),IF(MIN(EOMONTH(E641+1,0),E641+6)-(E641+1)+1&gt;=3,MONTH(E641+1),MONTH(E641+6)))</f>
        <v/>
      </c>
      <c r="R641" s="22">
        <f>IFERROR(K641/P641, 0)</f>
        <v/>
      </c>
      <c r="S641" s="38">
        <f>IFERROR(N641/P641,0)</f>
        <v/>
      </c>
      <c r="T641" s="31">
        <f>IFERROR(IF(N641&gt;0,(N641/K641),MIN(1,M641/J641)),0)</f>
        <v/>
      </c>
      <c r="U641" s="33" t="n"/>
    </row>
    <row r="642" hidden="1" s="40">
      <c r="A642" s="18" t="inlineStr">
        <is>
          <t>Semana 2 - abril</t>
        </is>
      </c>
      <c r="B642" s="27">
        <f>YEAR(E642)</f>
        <v/>
      </c>
      <c r="C642" s="18">
        <f>INDEX({"Janeiro";"Fevereiro";"Março";"Abril";"Maio";"Junho";"Julho";"Agosto";"Setembro";"Outubro";"Novembro";"Dezembro"},Q642)</f>
        <v/>
      </c>
      <c r="D642" s="19" t="n">
        <v>2</v>
      </c>
      <c r="E642" s="20" t="n">
        <v>46118</v>
      </c>
      <c r="F642" s="18" t="inlineStr">
        <is>
          <t>QUEIJO MUSSARELA 3KG</t>
        </is>
      </c>
      <c r="G642" s="18" t="inlineStr">
        <is>
          <t>QUEIJO</t>
        </is>
      </c>
      <c r="H642" s="21" t="n">
        <v>1</v>
      </c>
      <c r="I642" s="36" t="n">
        <v>300</v>
      </c>
      <c r="J642" s="21">
        <f>I642*H642</f>
        <v/>
      </c>
      <c r="K642" s="21">
        <f>IFERROR(IF(J642/P642&gt;1,P642,J642),0)</f>
        <v/>
      </c>
      <c r="L642" s="36" t="n">
        <v>300</v>
      </c>
      <c r="M642" s="21">
        <f>L642*H642</f>
        <v/>
      </c>
      <c r="N642" s="21">
        <f>IFERROR(IF(M642/K642&gt;1,K642,M642),0)</f>
        <v/>
      </c>
      <c r="O642" s="36" t="n">
        <v>300</v>
      </c>
      <c r="P642" s="21">
        <f>O642*H642</f>
        <v/>
      </c>
      <c r="Q642" s="30">
        <f>IF(MONTH(E642+1)=MONTH(E642+6),MONTH(E642+1),IF(MIN(EOMONTH(E642+1,0),E642+6)-(E642+1)+1&gt;=3,MONTH(E642+1),MONTH(E642+6)))</f>
        <v/>
      </c>
      <c r="R642" s="22">
        <f>IFERROR(K642/P642, 0)</f>
        <v/>
      </c>
      <c r="S642" s="38">
        <f>IFERROR(N642/P642,0)</f>
        <v/>
      </c>
      <c r="T642" s="31">
        <f>IFERROR(IF(N642&gt;0,(N642/K642),MIN(1,M642/J642)),0)</f>
        <v/>
      </c>
      <c r="U642" s="33" t="n"/>
    </row>
    <row r="643" hidden="1" s="40">
      <c r="A643" s="23" t="inlineStr">
        <is>
          <t>Semana 2 - abril</t>
        </is>
      </c>
      <c r="B643" s="27">
        <f>YEAR(E643)</f>
        <v/>
      </c>
      <c r="C643" s="18">
        <f>INDEX({"Janeiro";"Fevereiro";"Março";"Abril";"Maio";"Junho";"Julho";"Agosto";"Setembro";"Outubro";"Novembro";"Dezembro"},Q643)</f>
        <v/>
      </c>
      <c r="D643" s="24" t="n">
        <v>2</v>
      </c>
      <c r="E643" s="25" t="n">
        <v>46118</v>
      </c>
      <c r="F643" s="23" t="inlineStr">
        <is>
          <t>QUEIJO MUSSARELA LANCHE</t>
        </is>
      </c>
      <c r="G643" s="23" t="inlineStr">
        <is>
          <t>QUEIJO</t>
        </is>
      </c>
      <c r="H643" s="26" t="n">
        <v>1</v>
      </c>
      <c r="I643" s="36" t="n">
        <v>200</v>
      </c>
      <c r="J643" s="21">
        <f>I643*H643</f>
        <v/>
      </c>
      <c r="K643" s="21">
        <f>IFERROR(IF(J643/P643&gt;1,P643,J643),0)</f>
        <v/>
      </c>
      <c r="L643" s="36" t="n">
        <v>200</v>
      </c>
      <c r="M643" s="21">
        <f>L643*H643</f>
        <v/>
      </c>
      <c r="N643" s="21">
        <f>IFERROR(IF(M643/K643&gt;1,K643,M643),0)</f>
        <v/>
      </c>
      <c r="O643" s="36" t="n">
        <v>200</v>
      </c>
      <c r="P643" s="21">
        <f>O643*H643</f>
        <v/>
      </c>
      <c r="Q643" s="30">
        <f>IF(MONTH(E643+1)=MONTH(E643+6),MONTH(E643+1),IF(MIN(EOMONTH(E643+1,0),E643+6)-(E643+1)+1&gt;=3,MONTH(E643+1),MONTH(E643+6)))</f>
        <v/>
      </c>
      <c r="R643" s="22">
        <f>IFERROR(K643/P643, 0)</f>
        <v/>
      </c>
      <c r="S643" s="38">
        <f>IFERROR(N643/P643,0)</f>
        <v/>
      </c>
      <c r="T643" s="31">
        <f>IFERROR(IF(N643&gt;0,(N643/K643),MIN(1,M643/J643)),0)</f>
        <v/>
      </c>
      <c r="U643" s="33" t="n"/>
    </row>
    <row r="644" hidden="1" s="40">
      <c r="A644" s="18" t="inlineStr">
        <is>
          <t>Semana 2 - abril</t>
        </is>
      </c>
      <c r="B644" s="27">
        <f>YEAR(E644)</f>
        <v/>
      </c>
      <c r="C644" s="18">
        <f>INDEX({"Janeiro";"Fevereiro";"Março";"Abril";"Maio";"Junho";"Julho";"Agosto";"Setembro";"Outubro";"Novembro";"Dezembro"},Q644)</f>
        <v/>
      </c>
      <c r="D644" s="19" t="n">
        <v>2</v>
      </c>
      <c r="E644" s="20" t="n">
        <v>46118</v>
      </c>
      <c r="F644" s="18" t="inlineStr">
        <is>
          <t>REQUEIJÃO VIÇOSA 200g</t>
        </is>
      </c>
      <c r="G644" s="18" t="inlineStr">
        <is>
          <t>REQUEIJÃO</t>
        </is>
      </c>
      <c r="H644" s="21" t="n">
        <v>0.2</v>
      </c>
      <c r="I644" s="36" t="n">
        <v>2000</v>
      </c>
      <c r="J644" s="21">
        <f>I644*H644</f>
        <v/>
      </c>
      <c r="K644" s="21">
        <f>IFERROR(IF(J644/P644&gt;1,P644,J644),0)</f>
        <v/>
      </c>
      <c r="L644" s="36" t="n">
        <v>1560</v>
      </c>
      <c r="M644" s="21">
        <f>L644*H644</f>
        <v/>
      </c>
      <c r="N644" s="21">
        <f>IFERROR(IF(M644/K644&gt;1,K644,M644),0)</f>
        <v/>
      </c>
      <c r="O644" s="36" t="n">
        <v>2800</v>
      </c>
      <c r="P644" s="21">
        <f>O644*H644</f>
        <v/>
      </c>
      <c r="Q644" s="30">
        <f>IF(MONTH(E644+1)=MONTH(E644+6),MONTH(E644+1),IF(MIN(EOMONTH(E644+1,0),E644+6)-(E644+1)+1&gt;=3,MONTH(E644+1),MONTH(E644+6)))</f>
        <v/>
      </c>
      <c r="R644" s="22">
        <f>IFERROR(K644/P644, 0)</f>
        <v/>
      </c>
      <c r="S644" s="38">
        <f>IFERROR(N644/P644,0)</f>
        <v/>
      </c>
      <c r="T644" s="31">
        <f>IFERROR(IF(N644&gt;0,(N644/K644),MIN(1,M644/J644)),0)</f>
        <v/>
      </c>
      <c r="U644" s="33" t="n"/>
    </row>
    <row r="645" hidden="1" s="40">
      <c r="A645" s="23" t="inlineStr">
        <is>
          <t>Semana 2 - abril</t>
        </is>
      </c>
      <c r="B645" s="27">
        <f>YEAR(E645)</f>
        <v/>
      </c>
      <c r="C645" s="18">
        <f>INDEX({"Janeiro";"Fevereiro";"Março";"Abril";"Maio";"Junho";"Julho";"Agosto";"Setembro";"Outubro";"Novembro";"Dezembro"},Q645)</f>
        <v/>
      </c>
      <c r="D645" s="24" t="n">
        <v>2</v>
      </c>
      <c r="E645" s="25" t="n">
        <v>46118</v>
      </c>
      <c r="F645" s="23" t="inlineStr">
        <is>
          <t>REQUEIJÃO VIÇOSA 400g</t>
        </is>
      </c>
      <c r="G645" s="23" t="inlineStr">
        <is>
          <t>REQUEIJÃO</t>
        </is>
      </c>
      <c r="H645" s="26" t="n">
        <v>0.4</v>
      </c>
      <c r="I645" s="36" t="n">
        <v>2310</v>
      </c>
      <c r="J645" s="21">
        <f>I645*H645</f>
        <v/>
      </c>
      <c r="K645" s="21">
        <f>IFERROR(IF(J645/P645&gt;1,P645,J645),0)</f>
        <v/>
      </c>
      <c r="L645" s="36" t="n">
        <v>1632</v>
      </c>
      <c r="M645" s="21">
        <f>L645*H645</f>
        <v/>
      </c>
      <c r="N645" s="21">
        <f>IFERROR(IF(M645/K645&gt;1,K645,M645),0)</f>
        <v/>
      </c>
      <c r="O645" s="36" t="n">
        <v>3200</v>
      </c>
      <c r="P645" s="21">
        <f>O645*H645</f>
        <v/>
      </c>
      <c r="Q645" s="30">
        <f>IF(MONTH(E645+1)=MONTH(E645+6),MONTH(E645+1),IF(MIN(EOMONTH(E645+1,0),E645+6)-(E645+1)+1&gt;=3,MONTH(E645+1),MONTH(E645+6)))</f>
        <v/>
      </c>
      <c r="R645" s="22">
        <f>IFERROR(K645/P645, 0)</f>
        <v/>
      </c>
      <c r="S645" s="38">
        <f>IFERROR(N645/P645,0)</f>
        <v/>
      </c>
      <c r="T645" s="31">
        <f>IFERROR(IF(N645&gt;0,(N645/K645),MIN(1,M645/J645)),0)</f>
        <v/>
      </c>
      <c r="U645" s="33" t="n"/>
    </row>
    <row r="646" hidden="1" s="40">
      <c r="A646" s="18" t="inlineStr">
        <is>
          <t>Semana 2 - abril</t>
        </is>
      </c>
      <c r="B646" s="27">
        <f>YEAR(E646)</f>
        <v/>
      </c>
      <c r="C646" s="18">
        <f>INDEX({"Janeiro";"Fevereiro";"Março";"Abril";"Maio";"Junho";"Julho";"Agosto";"Setembro";"Outubro";"Novembro";"Dezembro"},Q646)</f>
        <v/>
      </c>
      <c r="D646" s="19" t="n">
        <v>2</v>
      </c>
      <c r="E646" s="20" t="n">
        <v>46118</v>
      </c>
      <c r="F646" s="18" t="inlineStr">
        <is>
          <t>Requeijão Light 200g</t>
        </is>
      </c>
      <c r="G646" s="18" t="inlineStr">
        <is>
          <t>REQUEIJÃO</t>
        </is>
      </c>
      <c r="H646" s="21" t="n">
        <v>0.2</v>
      </c>
      <c r="I646" s="36" t="n">
        <v>1200</v>
      </c>
      <c r="J646" s="21">
        <f>I646*H646</f>
        <v/>
      </c>
      <c r="K646" s="21">
        <f>IFERROR(IF(J646/P646&gt;1,P646,J646),0)</f>
        <v/>
      </c>
      <c r="L646" s="36" t="n">
        <v>1752</v>
      </c>
      <c r="M646" s="21">
        <f>L646*H646</f>
        <v/>
      </c>
      <c r="N646" s="21">
        <f>IFERROR(IF(M646/K646&gt;1,K646,M646),0)</f>
        <v/>
      </c>
      <c r="O646" s="36" t="n">
        <v>1200</v>
      </c>
      <c r="P646" s="21">
        <f>O646*H646</f>
        <v/>
      </c>
      <c r="Q646" s="30">
        <f>IF(MONTH(E646+1)=MONTH(E646+6),MONTH(E646+1),IF(MIN(EOMONTH(E646+1,0),E646+6)-(E646+1)+1&gt;=3,MONTH(E646+1),MONTH(E646+6)))</f>
        <v/>
      </c>
      <c r="R646" s="22">
        <f>IFERROR(K646/P646, 0)</f>
        <v/>
      </c>
      <c r="S646" s="38">
        <f>IFERROR(N646/P646,0)</f>
        <v/>
      </c>
      <c r="T646" s="31">
        <f>IFERROR(IF(N646&gt;0,(N646/K646),MIN(1,M646/J646)),0)</f>
        <v/>
      </c>
      <c r="U646" s="33" t="n"/>
    </row>
    <row r="647" hidden="1" s="40">
      <c r="A647" s="23" t="inlineStr">
        <is>
          <t>Semana 2 - abril</t>
        </is>
      </c>
      <c r="B647" s="27">
        <f>YEAR(E647)</f>
        <v/>
      </c>
      <c r="C647" s="18">
        <f>INDEX({"Janeiro";"Fevereiro";"Março";"Abril";"Maio";"Junho";"Julho";"Agosto";"Setembro";"Outubro";"Novembro";"Dezembro"},Q647)</f>
        <v/>
      </c>
      <c r="D647" s="24" t="n">
        <v>2</v>
      </c>
      <c r="E647" s="25" t="n">
        <v>46118</v>
      </c>
      <c r="F647" s="23" t="inlineStr">
        <is>
          <t>Creme de Ricota 200g</t>
        </is>
      </c>
      <c r="G647" s="23" t="inlineStr">
        <is>
          <t>RICOTA</t>
        </is>
      </c>
      <c r="H647" s="26" t="n">
        <v>0.2</v>
      </c>
      <c r="I647" s="36" t="n">
        <v>1000</v>
      </c>
      <c r="J647" s="21">
        <f>I647*H647</f>
        <v/>
      </c>
      <c r="K647" s="21">
        <f>IFERROR(IF(J647/P647&gt;1,P647,J647),0)</f>
        <v/>
      </c>
      <c r="L647" s="36" t="n">
        <v>1368</v>
      </c>
      <c r="M647" s="21">
        <f>L647*H647</f>
        <v/>
      </c>
      <c r="N647" s="21">
        <f>IFERROR(IF(M647/K647&gt;1,K647,M647),0)</f>
        <v/>
      </c>
      <c r="O647" s="36" t="n">
        <v>1200</v>
      </c>
      <c r="P647" s="21">
        <f>O647*H647</f>
        <v/>
      </c>
      <c r="Q647" s="30">
        <f>IF(MONTH(E647+1)=MONTH(E647+6),MONTH(E647+1),IF(MIN(EOMONTH(E647+1,0),E647+6)-(E647+1)+1&gt;=3,MONTH(E647+1),MONTH(E647+6)))</f>
        <v/>
      </c>
      <c r="R647" s="22">
        <f>IFERROR(K647/P647, 0)</f>
        <v/>
      </c>
      <c r="S647" s="38">
        <f>IFERROR(N647/P647,0)</f>
        <v/>
      </c>
      <c r="T647" s="31">
        <f>IFERROR(IF(N647&gt;0,(N647/K647),MIN(1,M647/J647)),0)</f>
        <v/>
      </c>
      <c r="U647" s="33" t="n"/>
    </row>
    <row r="648" hidden="1" s="40">
      <c r="A648" s="18" t="inlineStr">
        <is>
          <t>Semana 3 - abril</t>
        </is>
      </c>
      <c r="B648" s="27">
        <f>YEAR(E648)</f>
        <v/>
      </c>
      <c r="C648" s="18">
        <f>INDEX({"Janeiro";"Fevereiro";"Março";"Abril";"Maio";"Junho";"Julho";"Agosto";"Setembro";"Outubro";"Novembro";"Dezembro"},Q648)</f>
        <v/>
      </c>
      <c r="D648" s="19" t="n">
        <v>3</v>
      </c>
      <c r="E648" s="20" t="n">
        <v>46125</v>
      </c>
      <c r="F648" s="18" t="inlineStr">
        <is>
          <t>Doce de Leite 400g</t>
        </is>
      </c>
      <c r="G648" s="18" t="inlineStr">
        <is>
          <t>DOCE</t>
        </is>
      </c>
      <c r="H648" s="21" t="n">
        <v>0.4</v>
      </c>
      <c r="I648" s="36" t="n">
        <v>10000</v>
      </c>
      <c r="J648" s="21">
        <f>I648*H648</f>
        <v/>
      </c>
      <c r="K648" s="21">
        <f>IFERROR(IF(J648/P648&gt;1,P648,J648),0)</f>
        <v/>
      </c>
      <c r="L648" s="36" t="n">
        <v>9569</v>
      </c>
      <c r="M648" s="21">
        <f>L648*H648</f>
        <v/>
      </c>
      <c r="N648" s="21">
        <f>IFERROR(IF(M648/K648&gt;1,K648,M648),0)</f>
        <v/>
      </c>
      <c r="O648" s="36" t="n">
        <v>30000</v>
      </c>
      <c r="P648" s="21">
        <f>O648*H648</f>
        <v/>
      </c>
      <c r="Q648" s="30">
        <f>IF(MONTH(E648+1)=MONTH(E648+6),MONTH(E648+1),IF(MIN(EOMONTH(E648+1,0),E648+6)-(E648+1)+1&gt;=3,MONTH(E648+1),MONTH(E648+6)))</f>
        <v/>
      </c>
      <c r="R648" s="22">
        <f>IFERROR(K648/P648, 0)</f>
        <v/>
      </c>
      <c r="S648" s="38">
        <f>IFERROR(N648/P648,0)</f>
        <v/>
      </c>
      <c r="T648" s="31">
        <f>IFERROR(IF(N648&gt;0,(N648/K648),MIN(1,M648/J648)),0)</f>
        <v/>
      </c>
      <c r="U648" s="33" t="inlineStr">
        <is>
          <t>Não houve produção de manteiga 500g pois a máquina apresentou problemas na hora do envase</t>
        </is>
      </c>
    </row>
    <row r="649" hidden="1" s="40">
      <c r="A649" s="23" t="inlineStr">
        <is>
          <t>Semana 3 - abril</t>
        </is>
      </c>
      <c r="B649" s="27">
        <f>YEAR(E649)</f>
        <v/>
      </c>
      <c r="C649" s="18">
        <f>INDEX({"Janeiro";"Fevereiro";"Março";"Abril";"Maio";"Junho";"Julho";"Agosto";"Setembro";"Outubro";"Novembro";"Dezembro"},Q649)</f>
        <v/>
      </c>
      <c r="D649" s="24" t="n">
        <v>3</v>
      </c>
      <c r="E649" s="25" t="n">
        <v>46125</v>
      </c>
      <c r="F649" s="23" t="inlineStr">
        <is>
          <t>Doce de Leite 5kg</t>
        </is>
      </c>
      <c r="G649" s="23" t="inlineStr">
        <is>
          <t>DOCE</t>
        </is>
      </c>
      <c r="H649" s="26" t="n">
        <v>5</v>
      </c>
      <c r="I649" s="36" t="n">
        <v>930</v>
      </c>
      <c r="J649" s="21">
        <f>I649*H649</f>
        <v/>
      </c>
      <c r="K649" s="21">
        <f>IFERROR(IF(J649/P649&gt;1,P649,J649),0)</f>
        <v/>
      </c>
      <c r="L649" s="36" t="n">
        <v>881</v>
      </c>
      <c r="M649" s="21">
        <f>L649*H649</f>
        <v/>
      </c>
      <c r="N649" s="21">
        <f>IFERROR(IF(M649/K649&gt;1,K649,M649),0)</f>
        <v/>
      </c>
      <c r="O649" s="36" t="n">
        <v>3255</v>
      </c>
      <c r="P649" s="21">
        <f>O649*H649</f>
        <v/>
      </c>
      <c r="Q649" s="30">
        <f>IF(MONTH(E649+1)=MONTH(E649+6),MONTH(E649+1),IF(MIN(EOMONTH(E649+1,0),E649+6)-(E649+1)+1&gt;=3,MONTH(E649+1),MONTH(E649+6)))</f>
        <v/>
      </c>
      <c r="R649" s="22">
        <f>IFERROR(K649/P649, 0)</f>
        <v/>
      </c>
      <c r="S649" s="38">
        <f>IFERROR(N649/P649,0)</f>
        <v/>
      </c>
      <c r="T649" s="31">
        <f>IFERROR(IF(N649&gt;0,(N649/K649),MIN(1,M649/J649)),0)</f>
        <v/>
      </c>
      <c r="U649" s="33" t="inlineStr">
        <is>
          <t>A demanda de doce de leite puro 400g por parte do comercial foi alta, porém, com o lançamento do doce zero, os setores optaram por produzir maior quantidade do lançamento para atender a demanda e suprir o problema de produção da semana anterior.</t>
        </is>
      </c>
    </row>
    <row r="650" hidden="1" s="40">
      <c r="A650" s="18" t="inlineStr">
        <is>
          <t>Semana 3 - abril</t>
        </is>
      </c>
      <c r="B650" s="27">
        <f>YEAR(E650)</f>
        <v/>
      </c>
      <c r="C650" s="18">
        <f>INDEX({"Janeiro";"Fevereiro";"Março";"Abril";"Maio";"Junho";"Julho";"Agosto";"Setembro";"Outubro";"Novembro";"Dezembro"},Q650)</f>
        <v/>
      </c>
      <c r="D650" s="19" t="n">
        <v>3</v>
      </c>
      <c r="E650" s="20" t="n">
        <v>46125</v>
      </c>
      <c r="F650" s="18" t="inlineStr">
        <is>
          <t>Doce de Leite 5kg - Bombeável</t>
        </is>
      </c>
      <c r="G650" s="18" t="inlineStr">
        <is>
          <t>DOCE</t>
        </is>
      </c>
      <c r="H650" s="21" t="n">
        <v>5</v>
      </c>
      <c r="I650" s="36" t="n">
        <v>160</v>
      </c>
      <c r="J650" s="21">
        <f>I650*H650</f>
        <v/>
      </c>
      <c r="K650" s="21">
        <f>IFERROR(IF(J650/P650&gt;1,P650,J650),0)</f>
        <v/>
      </c>
      <c r="L650" s="36" t="n">
        <v>162</v>
      </c>
      <c r="M650" s="21">
        <f>L650*H650</f>
        <v/>
      </c>
      <c r="N650" s="21">
        <f>IFERROR(IF(M650/K650&gt;1,K650,M650),0)</f>
        <v/>
      </c>
      <c r="O650" s="36" t="n">
        <v>80</v>
      </c>
      <c r="P650" s="21">
        <f>O650*H650</f>
        <v/>
      </c>
      <c r="Q650" s="30">
        <f>IF(MONTH(E650+1)=MONTH(E650+6),MONTH(E650+1),IF(MIN(EOMONTH(E650+1,0),E650+6)-(E650+1)+1&gt;=3,MONTH(E650+1),MONTH(E650+6)))</f>
        <v/>
      </c>
      <c r="R650" s="22">
        <f>IFERROR(K650/P650, 0)</f>
        <v/>
      </c>
      <c r="S650" s="38">
        <f>IFERROR(N650/P650,0)</f>
        <v/>
      </c>
      <c r="T650" s="31">
        <f>IFERROR(IF(N650&gt;0,(N650/K650),MIN(1,M650/J650)),0)</f>
        <v/>
      </c>
      <c r="U650" s="33" t="inlineStr">
        <is>
          <t>Pelo mesmo motivo acima, o doce de leite puro 800g não foi produzido</t>
        </is>
      </c>
    </row>
    <row r="651" hidden="1" s="40">
      <c r="A651" s="23" t="inlineStr">
        <is>
          <t>Semana 3 - abril</t>
        </is>
      </c>
      <c r="B651" s="27">
        <f>YEAR(E651)</f>
        <v/>
      </c>
      <c r="C651" s="18">
        <f>INDEX({"Janeiro";"Fevereiro";"Março";"Abril";"Maio";"Junho";"Julho";"Agosto";"Setembro";"Outubro";"Novembro";"Dezembro"},Q651)</f>
        <v/>
      </c>
      <c r="D651" s="24" t="n">
        <v>3</v>
      </c>
      <c r="E651" s="25" t="n">
        <v>46125</v>
      </c>
      <c r="F651" s="23" t="inlineStr">
        <is>
          <t>Doce de Leite 5kg - Forneável</t>
        </is>
      </c>
      <c r="G651" s="23" t="inlineStr">
        <is>
          <t>DOCE</t>
        </is>
      </c>
      <c r="H651" s="26" t="n">
        <v>5</v>
      </c>
      <c r="I651" s="36" t="n">
        <v>320</v>
      </c>
      <c r="J651" s="21">
        <f>I651*H651</f>
        <v/>
      </c>
      <c r="K651" s="21">
        <f>IFERROR(IF(J651/P651&gt;1,P651,J651),0)</f>
        <v/>
      </c>
      <c r="L651" s="36" t="n">
        <v>301</v>
      </c>
      <c r="M651" s="21">
        <f>L651*H651</f>
        <v/>
      </c>
      <c r="N651" s="21">
        <f>IFERROR(IF(M651/K651&gt;1,K651,M651),0)</f>
        <v/>
      </c>
      <c r="O651" s="36" t="n">
        <v>160</v>
      </c>
      <c r="P651" s="21">
        <f>O651*H651</f>
        <v/>
      </c>
      <c r="Q651" s="30">
        <f>IF(MONTH(E651+1)=MONTH(E651+6),MONTH(E651+1),IF(MIN(EOMONTH(E651+1,0),E651+6)-(E651+1)+1&gt;=3,MONTH(E651+1),MONTH(E651+6)))</f>
        <v/>
      </c>
      <c r="R651" s="22">
        <f>IFERROR(K651/P651, 0)</f>
        <v/>
      </c>
      <c r="S651" s="38">
        <f>IFERROR(N651/P651,0)</f>
        <v/>
      </c>
      <c r="T651" s="31">
        <f>IFERROR(IF(N651&gt;0,(N651/K651),MIN(1,M651/J651)),0)</f>
        <v/>
      </c>
      <c r="U651" s="33" t="inlineStr">
        <is>
          <t>Os queijos meia cura e padrão estão com a produção real considerando a programada, pois ainda não se sabe o peso real devido período de maturação</t>
        </is>
      </c>
    </row>
    <row r="652" hidden="1" s="40">
      <c r="A652" s="18" t="inlineStr">
        <is>
          <t>Semana 3 - abril</t>
        </is>
      </c>
      <c r="B652" s="27">
        <f>YEAR(E652)</f>
        <v/>
      </c>
      <c r="C652" s="18">
        <f>INDEX({"Janeiro";"Fevereiro";"Março";"Abril";"Maio";"Junho";"Julho";"Agosto";"Setembro";"Outubro";"Novembro";"Dezembro"},Q652)</f>
        <v/>
      </c>
      <c r="D652" s="19" t="n">
        <v>3</v>
      </c>
      <c r="E652" s="20" t="n">
        <v>46125</v>
      </c>
      <c r="F652" s="18" t="inlineStr">
        <is>
          <t>Doce de Leite 800g</t>
        </is>
      </c>
      <c r="G652" s="18" t="inlineStr">
        <is>
          <t>DOCE</t>
        </is>
      </c>
      <c r="H652" s="21" t="n">
        <v>0.8</v>
      </c>
      <c r="I652" s="36" t="n">
        <v>0</v>
      </c>
      <c r="J652" s="21">
        <f>I652*H652</f>
        <v/>
      </c>
      <c r="K652" s="21">
        <f>IFERROR(IF(J652/P652&gt;1,P652,J652),0)</f>
        <v/>
      </c>
      <c r="L652" s="36" t="n">
        <v>0</v>
      </c>
      <c r="M652" s="21">
        <f>L652*H652</f>
        <v/>
      </c>
      <c r="N652" s="21">
        <f>IFERROR(IF(M652/K652&gt;1,K652,M652),0)</f>
        <v/>
      </c>
      <c r="O652" s="36" t="n">
        <v>3000</v>
      </c>
      <c r="P652" s="21">
        <f>O652*H652</f>
        <v/>
      </c>
      <c r="Q652" s="30">
        <f>IF(MONTH(E652+1)=MONTH(E652+6),MONTH(E652+1),IF(MIN(EOMONTH(E652+1,0),E652+6)-(E652+1)+1&gt;=3,MONTH(E652+1),MONTH(E652+6)))</f>
        <v/>
      </c>
      <c r="R652" s="22">
        <f>IFERROR(K652/P652, 0)</f>
        <v/>
      </c>
      <c r="S652" s="38">
        <f>IFERROR(N652/P652,0)</f>
        <v/>
      </c>
      <c r="T652" s="31">
        <f>IFERROR(IF(N652&gt;0,(N652/K652),MIN(1,M652/J652)),0)</f>
        <v/>
      </c>
      <c r="U652" s="33" t="n"/>
    </row>
    <row r="653" hidden="1" s="40">
      <c r="A653" s="23" t="inlineStr">
        <is>
          <t>Semana 3 - abril</t>
        </is>
      </c>
      <c r="B653" s="27">
        <f>YEAR(E653)</f>
        <v/>
      </c>
      <c r="C653" s="18">
        <f>INDEX({"Janeiro";"Fevereiro";"Março";"Abril";"Maio";"Junho";"Julho";"Agosto";"Setembro";"Outubro";"Novembro";"Dezembro"},Q653)</f>
        <v/>
      </c>
      <c r="D653" s="24" t="n">
        <v>3</v>
      </c>
      <c r="E653" s="25" t="n">
        <v>46125</v>
      </c>
      <c r="F653" s="23" t="inlineStr">
        <is>
          <t>Doce de Leite Cacau 400g</t>
        </is>
      </c>
      <c r="G653" s="23" t="inlineStr">
        <is>
          <t>DOCE</t>
        </is>
      </c>
      <c r="H653" s="26" t="n">
        <v>0.4</v>
      </c>
      <c r="I653" s="36" t="n">
        <v>0</v>
      </c>
      <c r="J653" s="21">
        <f>I653*H653</f>
        <v/>
      </c>
      <c r="K653" s="21">
        <f>IFERROR(IF(J653/P653&gt;1,P653,J653),0)</f>
        <v/>
      </c>
      <c r="L653" s="36" t="n">
        <v>0</v>
      </c>
      <c r="M653" s="21">
        <f>L653*H653</f>
        <v/>
      </c>
      <c r="N653" s="21">
        <f>IFERROR(IF(M653/K653&gt;1,K653,M653),0)</f>
        <v/>
      </c>
      <c r="O653" s="36" t="n">
        <v>0</v>
      </c>
      <c r="P653" s="21">
        <f>O653*H653</f>
        <v/>
      </c>
      <c r="Q653" s="30">
        <f>IF(MONTH(E653+1)=MONTH(E653+6),MONTH(E653+1),IF(MIN(EOMONTH(E653+1,0),E653+6)-(E653+1)+1&gt;=3,MONTH(E653+1),MONTH(E653+6)))</f>
        <v/>
      </c>
      <c r="R653" s="22">
        <f>IFERROR(K653/P653, 0)</f>
        <v/>
      </c>
      <c r="S653" s="38">
        <f>IFERROR(N653/P653,0)</f>
        <v/>
      </c>
      <c r="T653" s="31">
        <f>IFERROR(IF(N653&gt;0,(N653/K653),MIN(1,M653/J653)),0)</f>
        <v/>
      </c>
      <c r="U653" s="33" t="n"/>
    </row>
    <row r="654" hidden="1" s="40">
      <c r="A654" s="18" t="inlineStr">
        <is>
          <t>Semana 3 - abril</t>
        </is>
      </c>
      <c r="B654" s="27">
        <f>YEAR(E654)</f>
        <v/>
      </c>
      <c r="C654" s="18">
        <f>INDEX({"Janeiro";"Fevereiro";"Março";"Abril";"Maio";"Junho";"Julho";"Agosto";"Setembro";"Outubro";"Novembro";"Dezembro"},Q654)</f>
        <v/>
      </c>
      <c r="D654" s="19" t="n">
        <v>3</v>
      </c>
      <c r="E654" s="20" t="n">
        <v>46125</v>
      </c>
      <c r="F654" s="18" t="inlineStr">
        <is>
          <t>Doce de Leite Cacau 5kg - Bombeável</t>
        </is>
      </c>
      <c r="G654" s="18" t="inlineStr">
        <is>
          <t>DOCE</t>
        </is>
      </c>
      <c r="H654" s="21" t="n">
        <v>5</v>
      </c>
      <c r="I654" s="36" t="n">
        <v>0</v>
      </c>
      <c r="J654" s="21">
        <f>I654*H654</f>
        <v/>
      </c>
      <c r="K654" s="21">
        <f>IFERROR(IF(J654/P654&gt;1,P654,J654),0)</f>
        <v/>
      </c>
      <c r="L654" s="36" t="n">
        <v>0</v>
      </c>
      <c r="M654" s="21">
        <f>L654*H654</f>
        <v/>
      </c>
      <c r="N654" s="21">
        <f>IFERROR(IF(M654/K654&gt;1,K654,M654),0)</f>
        <v/>
      </c>
      <c r="O654" s="36" t="n">
        <v>0</v>
      </c>
      <c r="P654" s="21">
        <f>O654*H654</f>
        <v/>
      </c>
      <c r="Q654" s="30">
        <f>IF(MONTH(E654+1)=MONTH(E654+6),MONTH(E654+1),IF(MIN(EOMONTH(E654+1,0),E654+6)-(E654+1)+1&gt;=3,MONTH(E654+1),MONTH(E654+6)))</f>
        <v/>
      </c>
      <c r="R654" s="22">
        <f>IFERROR(K654/P654, 0)</f>
        <v/>
      </c>
      <c r="S654" s="38">
        <f>IFERROR(N654/P654,0)</f>
        <v/>
      </c>
      <c r="T654" s="31">
        <f>IFERROR(IF(N654&gt;0,(N654/K654),MIN(1,M654/J654)),0)</f>
        <v/>
      </c>
      <c r="U654" s="33" t="n"/>
    </row>
    <row r="655" hidden="1" s="40">
      <c r="A655" s="23" t="inlineStr">
        <is>
          <t>Semana 3 - abril</t>
        </is>
      </c>
      <c r="B655" s="27">
        <f>YEAR(E655)</f>
        <v/>
      </c>
      <c r="C655" s="18">
        <f>INDEX({"Janeiro";"Fevereiro";"Março";"Abril";"Maio";"Junho";"Julho";"Agosto";"Setembro";"Outubro";"Novembro";"Dezembro"},Q655)</f>
        <v/>
      </c>
      <c r="D655" s="24" t="n">
        <v>3</v>
      </c>
      <c r="E655" s="25" t="n">
        <v>46125</v>
      </c>
      <c r="F655" s="23" t="inlineStr">
        <is>
          <t>Doce de Leite Cacau 5kg - FOOD</t>
        </is>
      </c>
      <c r="G655" s="23" t="inlineStr">
        <is>
          <t>DOCE</t>
        </is>
      </c>
      <c r="H655" s="26" t="n">
        <v>5</v>
      </c>
      <c r="I655" s="36" t="n">
        <v>465</v>
      </c>
      <c r="J655" s="21">
        <f>I655*H655</f>
        <v/>
      </c>
      <c r="K655" s="21">
        <f>IFERROR(IF(J655/P655&gt;1,P655,J655),0)</f>
        <v/>
      </c>
      <c r="L655" s="36" t="n">
        <v>546</v>
      </c>
      <c r="M655" s="21">
        <f>L655*H655</f>
        <v/>
      </c>
      <c r="N655" s="21">
        <f>IFERROR(IF(M655/K655&gt;1,K655,M655),0)</f>
        <v/>
      </c>
      <c r="O655" s="36" t="n">
        <v>465</v>
      </c>
      <c r="P655" s="21">
        <f>O655*H655</f>
        <v/>
      </c>
      <c r="Q655" s="30">
        <f>IF(MONTH(E655+1)=MONTH(E655+6),MONTH(E655+1),IF(MIN(EOMONTH(E655+1,0),E655+6)-(E655+1)+1&gt;=3,MONTH(E655+1),MONTH(E655+6)))</f>
        <v/>
      </c>
      <c r="R655" s="22">
        <f>IFERROR(K655/P655, 0)</f>
        <v/>
      </c>
      <c r="S655" s="38">
        <f>IFERROR(N655/P655,0)</f>
        <v/>
      </c>
      <c r="T655" s="31">
        <f>IFERROR(IF(N655&gt;0,(N655/K655),MIN(1,M655/J655)),0)</f>
        <v/>
      </c>
      <c r="U655" s="33" t="n"/>
    </row>
    <row r="656" hidden="1" s="40">
      <c r="A656" s="18" t="inlineStr">
        <is>
          <t>Semana 3 - abril</t>
        </is>
      </c>
      <c r="B656" s="27">
        <f>YEAR(E656)</f>
        <v/>
      </c>
      <c r="C656" s="18">
        <f>INDEX({"Janeiro";"Fevereiro";"Março";"Abril";"Maio";"Junho";"Julho";"Agosto";"Setembro";"Outubro";"Novembro";"Dezembro"},Q656)</f>
        <v/>
      </c>
      <c r="D656" s="19" t="n">
        <v>3</v>
      </c>
      <c r="E656" s="20" t="n">
        <v>46125</v>
      </c>
      <c r="F656" s="18" t="inlineStr">
        <is>
          <t>Doce de Leite Zero Açúcar e Lactose 400g</t>
        </is>
      </c>
      <c r="G656" s="18" t="inlineStr">
        <is>
          <t>DOCE</t>
        </is>
      </c>
      <c r="H656" s="21" t="n">
        <v>0.4</v>
      </c>
      <c r="I656" s="36" t="n">
        <v>30000</v>
      </c>
      <c r="J656" s="21">
        <f>I656*H656</f>
        <v/>
      </c>
      <c r="K656" s="21">
        <f>IFERROR(IF(J656/P656&gt;1,P656,J656),0)</f>
        <v/>
      </c>
      <c r="L656" s="36" t="n">
        <v>28383</v>
      </c>
      <c r="M656" s="21">
        <f>L656*H656</f>
        <v/>
      </c>
      <c r="N656" s="21">
        <f>IFERROR(IF(M656/K656&gt;1,K656,M656),0)</f>
        <v/>
      </c>
      <c r="O656" s="36" t="n">
        <v>18000</v>
      </c>
      <c r="P656" s="21">
        <f>O656*H656</f>
        <v/>
      </c>
      <c r="Q656" s="30">
        <f>IF(MONTH(E656+1)=MONTH(E656+6),MONTH(E656+1),IF(MIN(EOMONTH(E656+1,0),E656+6)-(E656+1)+1&gt;=3,MONTH(E656+1),MONTH(E656+6)))</f>
        <v/>
      </c>
      <c r="R656" s="22">
        <f>IFERROR(K656/P656, 0)</f>
        <v/>
      </c>
      <c r="S656" s="38">
        <f>IFERROR(N656/P656,0)</f>
        <v/>
      </c>
      <c r="T656" s="31">
        <f>IFERROR(IF(N656&gt;0,(N656/K656),MIN(1,M656/J656)),0)</f>
        <v/>
      </c>
      <c r="U656" s="33" t="n"/>
    </row>
    <row r="657" hidden="1" s="40">
      <c r="A657" s="23" t="inlineStr">
        <is>
          <t>Semana 3 - abril</t>
        </is>
      </c>
      <c r="B657" s="27">
        <f>YEAR(E657)</f>
        <v/>
      </c>
      <c r="C657" s="18">
        <f>INDEX({"Janeiro";"Fevereiro";"Março";"Abril";"Maio";"Junho";"Julho";"Agosto";"Setembro";"Outubro";"Novembro";"Dezembro"},Q657)</f>
        <v/>
      </c>
      <c r="D657" s="24" t="n">
        <v>3</v>
      </c>
      <c r="E657" s="25" t="n">
        <v>46125</v>
      </c>
      <c r="F657" s="23" t="inlineStr">
        <is>
          <t>Doce de Leite c/ Café 400</t>
        </is>
      </c>
      <c r="G657" s="23" t="inlineStr">
        <is>
          <t>DOCE</t>
        </is>
      </c>
      <c r="H657" s="26" t="n">
        <v>0.4</v>
      </c>
      <c r="I657" s="36" t="n">
        <v>6000</v>
      </c>
      <c r="J657" s="21">
        <f>I657*H657</f>
        <v/>
      </c>
      <c r="K657" s="21">
        <f>IFERROR(IF(J657/P657&gt;1,P657,J657),0)</f>
        <v/>
      </c>
      <c r="L657" s="36" t="n">
        <v>6801</v>
      </c>
      <c r="M657" s="21">
        <f>L657*H657</f>
        <v/>
      </c>
      <c r="N657" s="21">
        <f>IFERROR(IF(M657/K657&gt;1,K657,M657),0)</f>
        <v/>
      </c>
      <c r="O657" s="36" t="n">
        <v>6000</v>
      </c>
      <c r="P657" s="21">
        <f>O657*H657</f>
        <v/>
      </c>
      <c r="Q657" s="30">
        <f>IF(MONTH(E657+1)=MONTH(E657+6),MONTH(E657+1),IF(MIN(EOMONTH(E657+1,0),E657+6)-(E657+1)+1&gt;=3,MONTH(E657+1),MONTH(E657+6)))</f>
        <v/>
      </c>
      <c r="R657" s="22">
        <f>IFERROR(K657/P657, 0)</f>
        <v/>
      </c>
      <c r="S657" s="38">
        <f>IFERROR(N657/P657,0)</f>
        <v/>
      </c>
      <c r="T657" s="31">
        <f>IFERROR(IF(N657&gt;0,(N657/K657),MIN(1,M657/J657)),0)</f>
        <v/>
      </c>
      <c r="U657" s="33" t="n"/>
    </row>
    <row r="658" hidden="1" s="40">
      <c r="A658" s="18" t="inlineStr">
        <is>
          <t>Semana 3 - abril</t>
        </is>
      </c>
      <c r="B658" s="27">
        <f>YEAR(E658)</f>
        <v/>
      </c>
      <c r="C658" s="18">
        <f>INDEX({"Janeiro";"Fevereiro";"Março";"Abril";"Maio";"Junho";"Julho";"Agosto";"Setembro";"Outubro";"Novembro";"Dezembro"},Q658)</f>
        <v/>
      </c>
      <c r="D658" s="19" t="n">
        <v>3</v>
      </c>
      <c r="E658" s="20" t="n">
        <v>46125</v>
      </c>
      <c r="F658" s="18" t="inlineStr">
        <is>
          <t>Doce de Leite c/ Café 5kg</t>
        </is>
      </c>
      <c r="G658" s="18" t="inlineStr">
        <is>
          <t>DOCE</t>
        </is>
      </c>
      <c r="H658" s="21" t="n">
        <v>5</v>
      </c>
      <c r="I658" s="36" t="n">
        <v>0</v>
      </c>
      <c r="J658" s="21">
        <f>I658*H658</f>
        <v/>
      </c>
      <c r="K658" s="21">
        <f>IFERROR(IF(J658/P658&gt;1,P658,J658),0)</f>
        <v/>
      </c>
      <c r="L658" s="36" t="n">
        <v>0</v>
      </c>
      <c r="M658" s="21">
        <f>L658*H658</f>
        <v/>
      </c>
      <c r="N658" s="21">
        <f>IFERROR(IF(M658/K658&gt;1,K658,M658),0)</f>
        <v/>
      </c>
      <c r="O658" s="36" t="n">
        <v>0</v>
      </c>
      <c r="P658" s="21">
        <f>O658*H658</f>
        <v/>
      </c>
      <c r="Q658" s="30">
        <f>IF(MONTH(E658+1)=MONTH(E658+6),MONTH(E658+1),IF(MIN(EOMONTH(E658+1,0),E658+6)-(E658+1)+1&gt;=3,MONTH(E658+1),MONTH(E658+6)))</f>
        <v/>
      </c>
      <c r="R658" s="22">
        <f>IFERROR(K658/P658, 0)</f>
        <v/>
      </c>
      <c r="S658" s="38">
        <f>IFERROR(N658/P658,0)</f>
        <v/>
      </c>
      <c r="T658" s="31">
        <f>IFERROR(IF(N658&gt;0,(N658/K658),MIN(1,M658/J658)),0)</f>
        <v/>
      </c>
      <c r="U658" s="33" t="n"/>
    </row>
    <row r="659" hidden="1" s="40">
      <c r="A659" s="23" t="inlineStr">
        <is>
          <t>Semana 3 - abril</t>
        </is>
      </c>
      <c r="B659" s="27">
        <f>YEAR(E659)</f>
        <v/>
      </c>
      <c r="C659" s="18">
        <f>INDEX({"Janeiro";"Fevereiro";"Março";"Abril";"Maio";"Junho";"Julho";"Agosto";"Setembro";"Outubro";"Novembro";"Dezembro"},Q659)</f>
        <v/>
      </c>
      <c r="D659" s="24" t="n">
        <v>3</v>
      </c>
      <c r="E659" s="25" t="n">
        <v>46125</v>
      </c>
      <c r="F659" s="23" t="inlineStr">
        <is>
          <t>Doce de Leite c/ coco 400</t>
        </is>
      </c>
      <c r="G659" s="23" t="inlineStr">
        <is>
          <t>DOCE</t>
        </is>
      </c>
      <c r="H659" s="26" t="n">
        <v>0.4</v>
      </c>
      <c r="I659" s="36" t="n">
        <v>6000</v>
      </c>
      <c r="J659" s="21">
        <f>I659*H659</f>
        <v/>
      </c>
      <c r="K659" s="21">
        <f>IFERROR(IF(J659/P659&gt;1,P659,J659),0)</f>
        <v/>
      </c>
      <c r="L659" s="36" t="n">
        <v>6519</v>
      </c>
      <c r="M659" s="21">
        <f>L659*H659</f>
        <v/>
      </c>
      <c r="N659" s="21">
        <f>IFERROR(IF(M659/K659&gt;1,K659,M659),0)</f>
        <v/>
      </c>
      <c r="O659" s="36" t="n">
        <v>6000</v>
      </c>
      <c r="P659" s="21">
        <f>O659*H659</f>
        <v/>
      </c>
      <c r="Q659" s="30">
        <f>IF(MONTH(E659+1)=MONTH(E659+6),MONTH(E659+1),IF(MIN(EOMONTH(E659+1,0),E659+6)-(E659+1)+1&gt;=3,MONTH(E659+1),MONTH(E659+6)))</f>
        <v/>
      </c>
      <c r="R659" s="22">
        <f>IFERROR(K659/P659, 0)</f>
        <v/>
      </c>
      <c r="S659" s="38">
        <f>IFERROR(N659/P659,0)</f>
        <v/>
      </c>
      <c r="T659" s="31">
        <f>IFERROR(IF(N659&gt;0,(N659/K659),MIN(1,M659/J659)),0)</f>
        <v/>
      </c>
      <c r="U659" s="33" t="n"/>
    </row>
    <row r="660" hidden="1" s="40">
      <c r="A660" s="18" t="inlineStr">
        <is>
          <t>Semana 3 - abril</t>
        </is>
      </c>
      <c r="B660" s="27">
        <f>YEAR(E660)</f>
        <v/>
      </c>
      <c r="C660" s="18">
        <f>INDEX({"Janeiro";"Fevereiro";"Março";"Abril";"Maio";"Junho";"Julho";"Agosto";"Setembro";"Outubro";"Novembro";"Dezembro"},Q660)</f>
        <v/>
      </c>
      <c r="D660" s="19" t="n">
        <v>3</v>
      </c>
      <c r="E660" s="20" t="n">
        <v>46125</v>
      </c>
      <c r="F660" s="18" t="inlineStr">
        <is>
          <t>IOGURTE VIÇOSA MORANGO LIGHT 180g</t>
        </is>
      </c>
      <c r="G660" s="18" t="inlineStr">
        <is>
          <t>IOGURTE</t>
        </is>
      </c>
      <c r="H660" s="21" t="n">
        <v>0.18</v>
      </c>
      <c r="I660" s="36" t="n">
        <v>0</v>
      </c>
      <c r="J660" s="21">
        <f>I660*H660</f>
        <v/>
      </c>
      <c r="K660" s="21">
        <f>IFERROR(IF(J660/P660&gt;1,P660,J660),0)</f>
        <v/>
      </c>
      <c r="L660" s="36" t="n">
        <v>0</v>
      </c>
      <c r="M660" s="21">
        <f>L660*H660</f>
        <v/>
      </c>
      <c r="N660" s="21">
        <f>IFERROR(IF(M660/K660&gt;1,K660,M660),0)</f>
        <v/>
      </c>
      <c r="O660" s="36" t="n">
        <v>0</v>
      </c>
      <c r="P660" s="21">
        <f>O660*H660</f>
        <v/>
      </c>
      <c r="Q660" s="30">
        <f>IF(MONTH(E660+1)=MONTH(E660+6),MONTH(E660+1),IF(MIN(EOMONTH(E660+1,0),E660+6)-(E660+1)+1&gt;=3,MONTH(E660+1),MONTH(E660+6)))</f>
        <v/>
      </c>
      <c r="R660" s="22">
        <f>IFERROR(K660/P660, 0)</f>
        <v/>
      </c>
      <c r="S660" s="38">
        <f>IFERROR(N660/P660,0)</f>
        <v/>
      </c>
      <c r="T660" s="31">
        <f>IFERROR(IF(N660&gt;0,(N660/K660),MIN(1,M660/J660)),0)</f>
        <v/>
      </c>
      <c r="U660" s="33" t="n"/>
    </row>
    <row r="661" hidden="1" s="40">
      <c r="A661" s="23" t="inlineStr">
        <is>
          <t>Semana 3 - abril</t>
        </is>
      </c>
      <c r="B661" s="27">
        <f>YEAR(E661)</f>
        <v/>
      </c>
      <c r="C661" s="18">
        <f>INDEX({"Janeiro";"Fevereiro";"Março";"Abril";"Maio";"Junho";"Julho";"Agosto";"Setembro";"Outubro";"Novembro";"Dezembro"},Q661)</f>
        <v/>
      </c>
      <c r="D661" s="24" t="n">
        <v>3</v>
      </c>
      <c r="E661" s="25" t="n">
        <v>46125</v>
      </c>
      <c r="F661" s="23" t="inlineStr">
        <is>
          <t>IOGURTE VIÇOSA MORANGO LIGHT 800g</t>
        </is>
      </c>
      <c r="G661" s="23" t="inlineStr">
        <is>
          <t>IOGURTE</t>
        </is>
      </c>
      <c r="H661" s="26" t="n">
        <v>0.8</v>
      </c>
      <c r="I661" s="36" t="n">
        <v>0</v>
      </c>
      <c r="J661" s="21">
        <f>I661*H661</f>
        <v/>
      </c>
      <c r="K661" s="21">
        <f>IFERROR(IF(J661/P661&gt;1,P661,J661),0)</f>
        <v/>
      </c>
      <c r="L661" s="36" t="n">
        <v>0</v>
      </c>
      <c r="M661" s="21">
        <f>L661*H661</f>
        <v/>
      </c>
      <c r="N661" s="21">
        <f>IFERROR(IF(M661/K661&gt;1,K661,M661),0)</f>
        <v/>
      </c>
      <c r="O661" s="36" t="n">
        <v>0</v>
      </c>
      <c r="P661" s="21">
        <f>O661*H661</f>
        <v/>
      </c>
      <c r="Q661" s="30">
        <f>IF(MONTH(E661+1)=MONTH(E661+6),MONTH(E661+1),IF(MIN(EOMONTH(E661+1,0),E661+6)-(E661+1)+1&gt;=3,MONTH(E661+1),MONTH(E661+6)))</f>
        <v/>
      </c>
      <c r="R661" s="22">
        <f>IFERROR(K661/P661, 0)</f>
        <v/>
      </c>
      <c r="S661" s="38">
        <f>IFERROR(N661/P661,0)</f>
        <v/>
      </c>
      <c r="T661" s="31">
        <f>IFERROR(IF(N661&gt;0,(N661/K661),MIN(1,M661/J661)),0)</f>
        <v/>
      </c>
      <c r="U661" s="33" t="n"/>
    </row>
    <row r="662" hidden="1" s="40">
      <c r="A662" s="23" t="inlineStr">
        <is>
          <t>Semana 3 - abril</t>
        </is>
      </c>
      <c r="B662" s="27">
        <f>YEAR(E662)</f>
        <v/>
      </c>
      <c r="C662" s="18">
        <f>INDEX({"Janeiro";"Fevereiro";"Março";"Abril";"Maio";"Junho";"Julho";"Agosto";"Setembro";"Outubro";"Novembro";"Dezembro"},Q662)</f>
        <v/>
      </c>
      <c r="D662" s="24" t="n">
        <v>3</v>
      </c>
      <c r="E662" s="25" t="n">
        <v>46125</v>
      </c>
      <c r="F662" s="23" t="inlineStr">
        <is>
          <t>Iogurte Abacaxi c/ Coco 120g</t>
        </is>
      </c>
      <c r="G662" s="23" t="inlineStr">
        <is>
          <t>IOGURTE</t>
        </is>
      </c>
      <c r="H662" s="26" t="n">
        <v>0.12</v>
      </c>
      <c r="I662" s="36" t="n">
        <v>2000</v>
      </c>
      <c r="J662" s="21">
        <f>I662*H662</f>
        <v/>
      </c>
      <c r="K662" s="21">
        <f>IFERROR(IF(J662/P662&gt;1,P662,J662),0)</f>
        <v/>
      </c>
      <c r="L662" s="36" t="n">
        <v>2170</v>
      </c>
      <c r="M662" s="21">
        <f>L662*H662</f>
        <v/>
      </c>
      <c r="N662" s="21">
        <f>IFERROR(IF(M662/K662&gt;1,K662,M662),0)</f>
        <v/>
      </c>
      <c r="O662" s="36" t="n">
        <v>2000</v>
      </c>
      <c r="P662" s="21">
        <f>O662*H662</f>
        <v/>
      </c>
      <c r="Q662" s="30">
        <f>IF(MONTH(E662+1)=MONTH(E662+6),MONTH(E662+1),IF(MIN(EOMONTH(E662+1,0),E662+6)-(E662+1)+1&gt;=3,MONTH(E662+1),MONTH(E662+6)))</f>
        <v/>
      </c>
      <c r="R662" s="22">
        <f>IFERROR(K662/P662, 0)</f>
        <v/>
      </c>
      <c r="S662" s="38">
        <f>IFERROR(N662/P662,0)</f>
        <v/>
      </c>
      <c r="T662" s="31">
        <f>IFERROR(IF(N662&gt;0,(N662/K662),MIN(1,M662/J662)),0)</f>
        <v/>
      </c>
      <c r="U662" s="33" t="n"/>
    </row>
    <row r="663" hidden="1" s="40">
      <c r="A663" s="18" t="inlineStr">
        <is>
          <t>Semana 3 - abril</t>
        </is>
      </c>
      <c r="B663" s="27">
        <f>YEAR(E663)</f>
        <v/>
      </c>
      <c r="C663" s="18">
        <f>INDEX({"Janeiro";"Fevereiro";"Março";"Abril";"Maio";"Junho";"Julho";"Agosto";"Setembro";"Outubro";"Novembro";"Dezembro"},Q663)</f>
        <v/>
      </c>
      <c r="D663" s="19" t="n">
        <v>3</v>
      </c>
      <c r="E663" s="20" t="n">
        <v>46125</v>
      </c>
      <c r="F663" s="18" t="inlineStr">
        <is>
          <t>Iogurte Abacaxi c/ Coco 185g</t>
        </is>
      </c>
      <c r="G663" s="18" t="inlineStr">
        <is>
          <t>IOGURTE</t>
        </is>
      </c>
      <c r="H663" s="21" t="n">
        <v>0.185</v>
      </c>
      <c r="I663" s="36" t="n">
        <v>520</v>
      </c>
      <c r="J663" s="21">
        <f>I663*H663</f>
        <v/>
      </c>
      <c r="K663" s="21">
        <f>IFERROR(IF(J663/P663&gt;1,P663,J663),0)</f>
        <v/>
      </c>
      <c r="L663" s="36" t="n">
        <v>515</v>
      </c>
      <c r="M663" s="21">
        <f>L663*H663</f>
        <v/>
      </c>
      <c r="N663" s="21">
        <f>IFERROR(IF(M663/K663&gt;1,K663,M663),0)</f>
        <v/>
      </c>
      <c r="O663" s="36" t="n">
        <v>520</v>
      </c>
      <c r="P663" s="21">
        <f>O663*H663</f>
        <v/>
      </c>
      <c r="Q663" s="30">
        <f>IF(MONTH(E663+1)=MONTH(E663+6),MONTH(E663+1),IF(MIN(EOMONTH(E663+1,0),E663+6)-(E663+1)+1&gt;=3,MONTH(E663+1),MONTH(E663+6)))</f>
        <v/>
      </c>
      <c r="R663" s="22">
        <f>IFERROR(K663/P663, 0)</f>
        <v/>
      </c>
      <c r="S663" s="38">
        <f>IFERROR(N663/P663,0)</f>
        <v/>
      </c>
      <c r="T663" s="31">
        <f>IFERROR(IF(N663&gt;0,(N663/K663),MIN(1,M663/J663)),0)</f>
        <v/>
      </c>
      <c r="U663" s="33" t="n"/>
    </row>
    <row r="664" hidden="1" s="40">
      <c r="A664" s="23" t="inlineStr">
        <is>
          <t>Semana 3 - abril</t>
        </is>
      </c>
      <c r="B664" s="27">
        <f>YEAR(E664)</f>
        <v/>
      </c>
      <c r="C664" s="18">
        <f>INDEX({"Janeiro";"Fevereiro";"Março";"Abril";"Maio";"Junho";"Julho";"Agosto";"Setembro";"Outubro";"Novembro";"Dezembro"},Q664)</f>
        <v/>
      </c>
      <c r="D664" s="24" t="n">
        <v>3</v>
      </c>
      <c r="E664" s="25" t="n">
        <v>46125</v>
      </c>
      <c r="F664" s="23" t="inlineStr">
        <is>
          <t>Iogurte Abacaxi c/ Coco 900g</t>
        </is>
      </c>
      <c r="G664" s="23" t="inlineStr">
        <is>
          <t>IOGURTE</t>
        </is>
      </c>
      <c r="H664" s="26" t="n">
        <v>0.9</v>
      </c>
      <c r="I664" s="36" t="n">
        <v>1260</v>
      </c>
      <c r="J664" s="21">
        <f>I664*H664</f>
        <v/>
      </c>
      <c r="K664" s="21">
        <f>IFERROR(IF(J664/P664&gt;1,P664,J664),0)</f>
        <v/>
      </c>
      <c r="L664" s="36" t="n">
        <v>1195</v>
      </c>
      <c r="M664" s="21">
        <f>L664*H664</f>
        <v/>
      </c>
      <c r="N664" s="21">
        <f>IFERROR(IF(M664/K664&gt;1,K664,M664),0)</f>
        <v/>
      </c>
      <c r="O664" s="36" t="n">
        <v>1200</v>
      </c>
      <c r="P664" s="21">
        <f>O664*H664</f>
        <v/>
      </c>
      <c r="Q664" s="30">
        <f>IF(MONTH(E664+1)=MONTH(E664+6),MONTH(E664+1),IF(MIN(EOMONTH(E664+1,0),E664+6)-(E664+1)+1&gt;=3,MONTH(E664+1),MONTH(E664+6)))</f>
        <v/>
      </c>
      <c r="R664" s="22">
        <f>IFERROR(K664/P664, 0)</f>
        <v/>
      </c>
      <c r="S664" s="38">
        <f>IFERROR(N664/P664,0)</f>
        <v/>
      </c>
      <c r="T664" s="31">
        <f>IFERROR(IF(N664&gt;0,(N664/K664),MIN(1,M664/J664)),0)</f>
        <v/>
      </c>
      <c r="U664" s="33" t="n"/>
    </row>
    <row r="665" hidden="1" s="40">
      <c r="A665" s="23" t="inlineStr">
        <is>
          <t>Semana 3 - abril</t>
        </is>
      </c>
      <c r="B665" s="27">
        <f>YEAR(E665)</f>
        <v/>
      </c>
      <c r="C665" s="18">
        <f>INDEX({"Janeiro";"Fevereiro";"Março";"Abril";"Maio";"Junho";"Julho";"Agosto";"Setembro";"Outubro";"Novembro";"Dezembro"},Q665)</f>
        <v/>
      </c>
      <c r="D665" s="24" t="n">
        <v>3</v>
      </c>
      <c r="E665" s="25" t="n">
        <v>46125</v>
      </c>
      <c r="F665" s="23" t="inlineStr">
        <is>
          <t>Iogurte Coco 120g</t>
        </is>
      </c>
      <c r="G665" s="23" t="inlineStr">
        <is>
          <t>IOGURTE</t>
        </is>
      </c>
      <c r="H665" s="26" t="n">
        <v>0.12</v>
      </c>
      <c r="I665" s="36" t="n">
        <v>8000</v>
      </c>
      <c r="J665" s="21">
        <f>I665*H665</f>
        <v/>
      </c>
      <c r="K665" s="21">
        <f>IFERROR(IF(J665/P665&gt;1,P665,J665),0)</f>
        <v/>
      </c>
      <c r="L665" s="36" t="n">
        <v>7795</v>
      </c>
      <c r="M665" s="21">
        <f>L665*H665</f>
        <v/>
      </c>
      <c r="N665" s="21">
        <f>IFERROR(IF(M665/K665&gt;1,K665,M665),0)</f>
        <v/>
      </c>
      <c r="O665" s="36" t="n">
        <v>8000</v>
      </c>
      <c r="P665" s="21">
        <f>O665*H665</f>
        <v/>
      </c>
      <c r="Q665" s="30">
        <f>IF(MONTH(E665+1)=MONTH(E665+6),MONTH(E665+1),IF(MIN(EOMONTH(E665+1,0),E665+6)-(E665+1)+1&gt;=3,MONTH(E665+1),MONTH(E665+6)))</f>
        <v/>
      </c>
      <c r="R665" s="22">
        <f>IFERROR(K665/P665, 0)</f>
        <v/>
      </c>
      <c r="S665" s="38">
        <f>IFERROR(N665/P665,0)</f>
        <v/>
      </c>
      <c r="T665" s="31">
        <f>IFERROR(IF(N665&gt;0,(N665/K665),MIN(1,M665/J665)),0)</f>
        <v/>
      </c>
      <c r="U665" s="33" t="n"/>
    </row>
    <row r="666" hidden="1" s="40">
      <c r="A666" s="18" t="inlineStr">
        <is>
          <t>Semana 3 - abril</t>
        </is>
      </c>
      <c r="B666" s="27">
        <f>YEAR(E666)</f>
        <v/>
      </c>
      <c r="C666" s="18">
        <f>INDEX({"Janeiro";"Fevereiro";"Março";"Abril";"Maio";"Junho";"Julho";"Agosto";"Setembro";"Outubro";"Novembro";"Dezembro"},Q666)</f>
        <v/>
      </c>
      <c r="D666" s="19" t="n">
        <v>3</v>
      </c>
      <c r="E666" s="20" t="n">
        <v>46125</v>
      </c>
      <c r="F666" s="18" t="inlineStr">
        <is>
          <t>Iogurte Coco 185g</t>
        </is>
      </c>
      <c r="G666" s="18" t="inlineStr">
        <is>
          <t>IOGURTE</t>
        </is>
      </c>
      <c r="H666" s="21" t="n">
        <v>0.185</v>
      </c>
      <c r="I666" s="36" t="n">
        <v>520</v>
      </c>
      <c r="J666" s="21">
        <f>I666*H666</f>
        <v/>
      </c>
      <c r="K666" s="21">
        <f>IFERROR(IF(J666/P666&gt;1,P666,J666),0)</f>
        <v/>
      </c>
      <c r="L666" s="36" t="n">
        <v>532</v>
      </c>
      <c r="M666" s="21">
        <f>L666*H666</f>
        <v/>
      </c>
      <c r="N666" s="21">
        <f>IFERROR(IF(M666/K666&gt;1,K666,M666),0)</f>
        <v/>
      </c>
      <c r="O666" s="36" t="n">
        <v>560</v>
      </c>
      <c r="P666" s="21">
        <f>O666*H666</f>
        <v/>
      </c>
      <c r="Q666" s="30">
        <f>IF(MONTH(E666+1)=MONTH(E666+6),MONTH(E666+1),IF(MIN(EOMONTH(E666+1,0),E666+6)-(E666+1)+1&gt;=3,MONTH(E666+1),MONTH(E666+6)))</f>
        <v/>
      </c>
      <c r="R666" s="22">
        <f>IFERROR(K666/P666, 0)</f>
        <v/>
      </c>
      <c r="S666" s="38">
        <f>IFERROR(N666/P666,0)</f>
        <v/>
      </c>
      <c r="T666" s="31">
        <f>IFERROR(IF(N666&gt;0,(N666/K666),MIN(1,M666/J666)),0)</f>
        <v/>
      </c>
      <c r="U666" s="33" t="n"/>
    </row>
    <row r="667" hidden="1" s="40">
      <c r="A667" s="23" t="inlineStr">
        <is>
          <t>Semana 3 - abril</t>
        </is>
      </c>
      <c r="B667" s="27">
        <f>YEAR(E667)</f>
        <v/>
      </c>
      <c r="C667" s="18">
        <f>INDEX({"Janeiro";"Fevereiro";"Março";"Abril";"Maio";"Junho";"Julho";"Agosto";"Setembro";"Outubro";"Novembro";"Dezembro"},Q667)</f>
        <v/>
      </c>
      <c r="D667" s="24" t="n">
        <v>3</v>
      </c>
      <c r="E667" s="25" t="n">
        <v>46125</v>
      </c>
      <c r="F667" s="23" t="inlineStr">
        <is>
          <t>Iogurte Coco 900g</t>
        </is>
      </c>
      <c r="G667" s="23" t="inlineStr">
        <is>
          <t>IOGURTE</t>
        </is>
      </c>
      <c r="H667" s="26" t="n">
        <v>0.9</v>
      </c>
      <c r="I667" s="36" t="n">
        <v>3150</v>
      </c>
      <c r="J667" s="21">
        <f>I667*H667</f>
        <v/>
      </c>
      <c r="K667" s="21">
        <f>IFERROR(IF(J667/P667&gt;1,P667,J667),0)</f>
        <v/>
      </c>
      <c r="L667" s="36" t="n">
        <v>3142</v>
      </c>
      <c r="M667" s="21">
        <f>L667*H667</f>
        <v/>
      </c>
      <c r="N667" s="21">
        <f>IFERROR(IF(M667/K667&gt;1,K667,M667),0)</f>
        <v/>
      </c>
      <c r="O667" s="36" t="n">
        <v>3200</v>
      </c>
      <c r="P667" s="21">
        <f>O667*H667</f>
        <v/>
      </c>
      <c r="Q667" s="30">
        <f>IF(MONTH(E667+1)=MONTH(E667+6),MONTH(E667+1),IF(MIN(EOMONTH(E667+1,0),E667+6)-(E667+1)+1&gt;=3,MONTH(E667+1),MONTH(E667+6)))</f>
        <v/>
      </c>
      <c r="R667" s="22">
        <f>IFERROR(K667/P667, 0)</f>
        <v/>
      </c>
      <c r="S667" s="38">
        <f>IFERROR(N667/P667,0)</f>
        <v/>
      </c>
      <c r="T667" s="31">
        <f>IFERROR(IF(N667&gt;0,(N667/K667),MIN(1,M667/J667)),0)</f>
        <v/>
      </c>
      <c r="U667" s="33" t="n"/>
    </row>
    <row r="668" hidden="1" s="40">
      <c r="A668" s="18" t="inlineStr">
        <is>
          <t>Semana 3 - abril</t>
        </is>
      </c>
      <c r="B668" s="27">
        <f>YEAR(E668)</f>
        <v/>
      </c>
      <c r="C668" s="18">
        <f>INDEX({"Janeiro";"Fevereiro";"Março";"Abril";"Maio";"Junho";"Julho";"Agosto";"Setembro";"Outubro";"Novembro";"Dezembro"},Q668)</f>
        <v/>
      </c>
      <c r="D668" s="19" t="n">
        <v>3</v>
      </c>
      <c r="E668" s="20" t="n">
        <v>46125</v>
      </c>
      <c r="F668" s="18" t="inlineStr">
        <is>
          <t>Iogurte Grego Frutas vermelhas 120g</t>
        </is>
      </c>
      <c r="G668" s="18" t="inlineStr">
        <is>
          <t>IOGURTE</t>
        </is>
      </c>
      <c r="H668" s="21" t="n">
        <v>0.17</v>
      </c>
      <c r="I668" s="36" t="n">
        <v>1400</v>
      </c>
      <c r="J668" s="21">
        <f>I668*H668</f>
        <v/>
      </c>
      <c r="K668" s="21">
        <f>IFERROR(IF(J668/P668&gt;1,P668,J668),0)</f>
        <v/>
      </c>
      <c r="L668" s="36" t="n">
        <v>1248</v>
      </c>
      <c r="M668" s="21">
        <f>L668*H668</f>
        <v/>
      </c>
      <c r="N668" s="21">
        <f>IFERROR(IF(M668/K668&gt;1,K668,M668),0)</f>
        <v/>
      </c>
      <c r="O668" s="36" t="n">
        <v>1400</v>
      </c>
      <c r="P668" s="21">
        <f>O668*H668</f>
        <v/>
      </c>
      <c r="Q668" s="30">
        <f>IF(MONTH(E668+1)=MONTH(E668+6),MONTH(E668+1),IF(MIN(EOMONTH(E668+1,0),E668+6)-(E668+1)+1&gt;=3,MONTH(E668+1),MONTH(E668+6)))</f>
        <v/>
      </c>
      <c r="R668" s="22">
        <f>IFERROR(K668/P668, 0)</f>
        <v/>
      </c>
      <c r="S668" s="38">
        <f>IFERROR(N668/P668,0)</f>
        <v/>
      </c>
      <c r="T668" s="31">
        <f>IFERROR(IF(N668&gt;0,(N668/K668),MIN(1,M668/J668)),0)</f>
        <v/>
      </c>
      <c r="U668" s="33" t="n"/>
    </row>
    <row r="669" hidden="1" s="40">
      <c r="A669" s="18" t="inlineStr">
        <is>
          <t>Semana 3 - abril</t>
        </is>
      </c>
      <c r="B669" s="27">
        <f>YEAR(E669)</f>
        <v/>
      </c>
      <c r="C669" s="18">
        <f>INDEX({"Janeiro";"Fevereiro";"Março";"Abril";"Maio";"Junho";"Julho";"Agosto";"Setembro";"Outubro";"Novembro";"Dezembro"},Q669)</f>
        <v/>
      </c>
      <c r="D669" s="19" t="n">
        <v>3</v>
      </c>
      <c r="E669" s="20" t="n">
        <v>46125</v>
      </c>
      <c r="F669" s="18" t="inlineStr">
        <is>
          <t>Iogurte Morango 120g</t>
        </is>
      </c>
      <c r="G669" s="18" t="inlineStr">
        <is>
          <t>IOGURTE</t>
        </is>
      </c>
      <c r="H669" s="21" t="n">
        <v>0.12</v>
      </c>
      <c r="I669" s="36" t="n">
        <v>15000</v>
      </c>
      <c r="J669" s="21">
        <f>I669*H669</f>
        <v/>
      </c>
      <c r="K669" s="21">
        <f>IFERROR(IF(J669/P669&gt;1,P669,J669),0)</f>
        <v/>
      </c>
      <c r="L669" s="36" t="n">
        <v>14080</v>
      </c>
      <c r="M669" s="21">
        <f>L669*H669</f>
        <v/>
      </c>
      <c r="N669" s="21">
        <f>IFERROR(IF(M669/K669&gt;1,K669,M669),0)</f>
        <v/>
      </c>
      <c r="O669" s="36" t="n">
        <v>38000</v>
      </c>
      <c r="P669" s="21">
        <f>O669*H669</f>
        <v/>
      </c>
      <c r="Q669" s="30">
        <f>IF(MONTH(E669+1)=MONTH(E669+6),MONTH(E669+1),IF(MIN(EOMONTH(E669+1,0),E669+6)-(E669+1)+1&gt;=3,MONTH(E669+1),MONTH(E669+6)))</f>
        <v/>
      </c>
      <c r="R669" s="22">
        <f>IFERROR(K669/P669, 0)</f>
        <v/>
      </c>
      <c r="S669" s="38">
        <f>IFERROR(N669/P669,0)</f>
        <v/>
      </c>
      <c r="T669" s="31">
        <f>IFERROR(IF(N669&gt;0,(N669/K669),MIN(1,M669/J669)),0)</f>
        <v/>
      </c>
      <c r="U669" s="33" t="n"/>
    </row>
    <row r="670" hidden="1" s="40">
      <c r="A670" s="23" t="inlineStr">
        <is>
          <t>Semana 3 - abril</t>
        </is>
      </c>
      <c r="B670" s="27">
        <f>YEAR(E670)</f>
        <v/>
      </c>
      <c r="C670" s="18">
        <f>INDEX({"Janeiro";"Fevereiro";"Março";"Abril";"Maio";"Junho";"Julho";"Agosto";"Setembro";"Outubro";"Novembro";"Dezembro"},Q670)</f>
        <v/>
      </c>
      <c r="D670" s="24" t="n">
        <v>3</v>
      </c>
      <c r="E670" s="25" t="n">
        <v>46125</v>
      </c>
      <c r="F670" s="23" t="inlineStr">
        <is>
          <t>Iogurte Morango 185g</t>
        </is>
      </c>
      <c r="G670" s="23" t="inlineStr">
        <is>
          <t>IOGURTE</t>
        </is>
      </c>
      <c r="H670" s="26" t="n">
        <v>0.185</v>
      </c>
      <c r="I670" s="36" t="n">
        <v>1300</v>
      </c>
      <c r="J670" s="21">
        <f>I670*H670</f>
        <v/>
      </c>
      <c r="K670" s="21">
        <f>IFERROR(IF(J670/P670&gt;1,P670,J670),0)</f>
        <v/>
      </c>
      <c r="L670" s="36" t="n">
        <v>1242</v>
      </c>
      <c r="M670" s="21">
        <f>L670*H670</f>
        <v/>
      </c>
      <c r="N670" s="21">
        <f>IFERROR(IF(M670/K670&gt;1,K670,M670),0)</f>
        <v/>
      </c>
      <c r="O670" s="36" t="n">
        <v>1300</v>
      </c>
      <c r="P670" s="21">
        <f>O670*H670</f>
        <v/>
      </c>
      <c r="Q670" s="30">
        <f>IF(MONTH(E670+1)=MONTH(E670+6),MONTH(E670+1),IF(MIN(EOMONTH(E670+1,0),E670+6)-(E670+1)+1&gt;=3,MONTH(E670+1),MONTH(E670+6)))</f>
        <v/>
      </c>
      <c r="R670" s="22">
        <f>IFERROR(K670/P670, 0)</f>
        <v/>
      </c>
      <c r="S670" s="38">
        <f>IFERROR(N670/P670,0)</f>
        <v/>
      </c>
      <c r="T670" s="31">
        <f>IFERROR(IF(N670&gt;0,(N670/K670),MIN(1,M670/J670)),0)</f>
        <v/>
      </c>
      <c r="U670" s="33" t="n"/>
    </row>
    <row r="671" hidden="1" s="40">
      <c r="A671" s="18" t="inlineStr">
        <is>
          <t>Semana 3 - abril</t>
        </is>
      </c>
      <c r="B671" s="27">
        <f>YEAR(E671)</f>
        <v/>
      </c>
      <c r="C671" s="18">
        <f>INDEX({"Janeiro";"Fevereiro";"Março";"Abril";"Maio";"Junho";"Julho";"Agosto";"Setembro";"Outubro";"Novembro";"Dezembro"},Q671)</f>
        <v/>
      </c>
      <c r="D671" s="19" t="n">
        <v>3</v>
      </c>
      <c r="E671" s="20" t="n">
        <v>46125</v>
      </c>
      <c r="F671" s="18" t="inlineStr">
        <is>
          <t>Iogurte Morango 900G</t>
        </is>
      </c>
      <c r="G671" s="18" t="inlineStr">
        <is>
          <t>IOGURTE</t>
        </is>
      </c>
      <c r="H671" s="21" t="n">
        <v>0.9</v>
      </c>
      <c r="I671" s="36" t="n">
        <v>2070</v>
      </c>
      <c r="J671" s="21">
        <f>I671*H671</f>
        <v/>
      </c>
      <c r="K671" s="21">
        <f>IFERROR(IF(J671/P671&gt;1,P671,J671),0)</f>
        <v/>
      </c>
      <c r="L671" s="36" t="n">
        <v>2091</v>
      </c>
      <c r="M671" s="21">
        <f>L671*H671</f>
        <v/>
      </c>
      <c r="N671" s="21">
        <f>IFERROR(IF(M671/K671&gt;1,K671,M671),0)</f>
        <v/>
      </c>
      <c r="O671" s="36" t="n">
        <v>7800</v>
      </c>
      <c r="P671" s="21">
        <f>O671*H671</f>
        <v/>
      </c>
      <c r="Q671" s="30">
        <f>IF(MONTH(E671+1)=MONTH(E671+6),MONTH(E671+1),IF(MIN(EOMONTH(E671+1,0),E671+6)-(E671+1)+1&gt;=3,MONTH(E671+1),MONTH(E671+6)))</f>
        <v/>
      </c>
      <c r="R671" s="22">
        <f>IFERROR(K671/P671, 0)</f>
        <v/>
      </c>
      <c r="S671" s="38">
        <f>IFERROR(N671/P671,0)</f>
        <v/>
      </c>
      <c r="T671" s="31">
        <f>IFERROR(IF(N671&gt;0,(N671/K671),MIN(1,M671/J671)),0)</f>
        <v/>
      </c>
      <c r="U671" s="33" t="n"/>
    </row>
    <row r="672" hidden="1" s="40">
      <c r="A672" s="23" t="inlineStr">
        <is>
          <t>Semana 3 - abril</t>
        </is>
      </c>
      <c r="B672" s="27">
        <f>YEAR(E672)</f>
        <v/>
      </c>
      <c r="C672" s="18">
        <f>INDEX({"Janeiro";"Fevereiro";"Março";"Abril";"Maio";"Junho";"Julho";"Agosto";"Setembro";"Outubro";"Novembro";"Dezembro"},Q672)</f>
        <v/>
      </c>
      <c r="D672" s="24" t="n">
        <v>3</v>
      </c>
      <c r="E672" s="25" t="n">
        <v>46125</v>
      </c>
      <c r="F672" s="23" t="inlineStr">
        <is>
          <t>Iogurte Natural Integral 170g</t>
        </is>
      </c>
      <c r="G672" s="23" t="inlineStr">
        <is>
          <t>IOGURTE</t>
        </is>
      </c>
      <c r="H672" s="26" t="n">
        <v>0.17</v>
      </c>
      <c r="I672" s="36" t="n">
        <v>3820</v>
      </c>
      <c r="J672" s="21">
        <f>I672*H672</f>
        <v/>
      </c>
      <c r="K672" s="21">
        <f>IFERROR(IF(J672/P672&gt;1,P672,J672),0)</f>
        <v/>
      </c>
      <c r="L672" s="36" t="n">
        <v>3643</v>
      </c>
      <c r="M672" s="21">
        <f>L672*H672</f>
        <v/>
      </c>
      <c r="N672" s="21">
        <f>IFERROR(IF(M672/K672&gt;1,K672,M672),0)</f>
        <v/>
      </c>
      <c r="O672" s="36" t="n">
        <v>5200</v>
      </c>
      <c r="P672" s="21">
        <f>O672*H672</f>
        <v/>
      </c>
      <c r="Q672" s="30">
        <f>IF(MONTH(E672+1)=MONTH(E672+6),MONTH(E672+1),IF(MIN(EOMONTH(E672+1,0),E672+6)-(E672+1)+1&gt;=3,MONTH(E672+1),MONTH(E672+6)))</f>
        <v/>
      </c>
      <c r="R672" s="22">
        <f>IFERROR(K672/P672, 0)</f>
        <v/>
      </c>
      <c r="S672" s="38">
        <f>IFERROR(N672/P672,0)</f>
        <v/>
      </c>
      <c r="T672" s="31">
        <f>IFERROR(IF(N672&gt;0,(N672/K672),MIN(1,M672/J672)),0)</f>
        <v/>
      </c>
      <c r="U672" s="33" t="n"/>
    </row>
    <row r="673" hidden="1" s="40">
      <c r="A673" s="18" t="inlineStr">
        <is>
          <t>Semana 3 - abril</t>
        </is>
      </c>
      <c r="B673" s="27">
        <f>YEAR(E673)</f>
        <v/>
      </c>
      <c r="C673" s="18">
        <f>INDEX({"Janeiro";"Fevereiro";"Março";"Abril";"Maio";"Junho";"Julho";"Agosto";"Setembro";"Outubro";"Novembro";"Dezembro"},Q673)</f>
        <v/>
      </c>
      <c r="D673" s="19" t="n">
        <v>3</v>
      </c>
      <c r="E673" s="20" t="n">
        <v>46125</v>
      </c>
      <c r="F673" s="18" t="inlineStr">
        <is>
          <t>Iogurte Natural Triplo Zero 170g</t>
        </is>
      </c>
      <c r="G673" s="18" t="inlineStr">
        <is>
          <t>IOGURTE</t>
        </is>
      </c>
      <c r="H673" s="21" t="n">
        <v>0.17</v>
      </c>
      <c r="I673" s="36" t="n">
        <v>3820</v>
      </c>
      <c r="J673" s="21">
        <f>I673*H673</f>
        <v/>
      </c>
      <c r="K673" s="21">
        <f>IFERROR(IF(J673/P673&gt;1,P673,J673),0)</f>
        <v/>
      </c>
      <c r="L673" s="36" t="n">
        <v>3566</v>
      </c>
      <c r="M673" s="21">
        <f>L673*H673</f>
        <v/>
      </c>
      <c r="N673" s="21">
        <f>IFERROR(IF(M673/K673&gt;1,K673,M673),0)</f>
        <v/>
      </c>
      <c r="O673" s="36" t="n">
        <v>3800</v>
      </c>
      <c r="P673" s="21">
        <f>O673*H673</f>
        <v/>
      </c>
      <c r="Q673" s="30">
        <f>IF(MONTH(E673+1)=MONTH(E673+6),MONTH(E673+1),IF(MIN(EOMONTH(E673+1,0),E673+6)-(E673+1)+1&gt;=3,MONTH(E673+1),MONTH(E673+6)))</f>
        <v/>
      </c>
      <c r="R673" s="22">
        <f>IFERROR(K673/P673, 0)</f>
        <v/>
      </c>
      <c r="S673" s="38">
        <f>IFERROR(N673/P673,0)</f>
        <v/>
      </c>
      <c r="T673" s="31">
        <f>IFERROR(IF(N673&gt;0,(N673/K673),MIN(1,M673/J673)),0)</f>
        <v/>
      </c>
      <c r="U673" s="33" t="n"/>
    </row>
    <row r="674" hidden="1" s="40">
      <c r="A674" s="18" t="inlineStr">
        <is>
          <t>Semana 3 - abril</t>
        </is>
      </c>
      <c r="B674" s="27">
        <f>YEAR(E674)</f>
        <v/>
      </c>
      <c r="C674" s="18">
        <f>INDEX({"Janeiro";"Fevereiro";"Março";"Abril";"Maio";"Junho";"Julho";"Agosto";"Setembro";"Outubro";"Novembro";"Dezembro"},Q674)</f>
        <v/>
      </c>
      <c r="D674" s="19" t="n">
        <v>3</v>
      </c>
      <c r="E674" s="20" t="n">
        <v>46125</v>
      </c>
      <c r="F674" s="18" t="inlineStr">
        <is>
          <t>Iogurte Salada 120g</t>
        </is>
      </c>
      <c r="G674" s="18" t="inlineStr">
        <is>
          <t>IOGURTE</t>
        </is>
      </c>
      <c r="H674" s="21" t="n">
        <v>0.12</v>
      </c>
      <c r="I674" s="36" t="n">
        <v>5000</v>
      </c>
      <c r="J674" s="21">
        <f>I674*H674</f>
        <v/>
      </c>
      <c r="K674" s="21">
        <f>IFERROR(IF(J674/P674&gt;1,P674,J674),0)</f>
        <v/>
      </c>
      <c r="L674" s="36" t="n">
        <v>5133</v>
      </c>
      <c r="M674" s="21">
        <f>L674*H674</f>
        <v/>
      </c>
      <c r="N674" s="21">
        <f>IFERROR(IF(M674/K674&gt;1,K674,M674),0)</f>
        <v/>
      </c>
      <c r="O674" s="36" t="n">
        <v>4000</v>
      </c>
      <c r="P674" s="21">
        <f>O674*H674</f>
        <v/>
      </c>
      <c r="Q674" s="30">
        <f>IF(MONTH(E674+1)=MONTH(E674+6),MONTH(E674+1),IF(MIN(EOMONTH(E674+1,0),E674+6)-(E674+1)+1&gt;=3,MONTH(E674+1),MONTH(E674+6)))</f>
        <v/>
      </c>
      <c r="R674" s="22">
        <f>IFERROR(K674/P674, 0)</f>
        <v/>
      </c>
      <c r="S674" s="38">
        <f>IFERROR(N674/P674,0)</f>
        <v/>
      </c>
      <c r="T674" s="31">
        <f>IFERROR(IF(N674&gt;0,(N674/K674),MIN(1,M674/J674)),0)</f>
        <v/>
      </c>
      <c r="U674" s="33" t="n"/>
    </row>
    <row r="675" hidden="1" s="40">
      <c r="A675" s="23" t="inlineStr">
        <is>
          <t>Semana 3 - abril</t>
        </is>
      </c>
      <c r="B675" s="27">
        <f>YEAR(E675)</f>
        <v/>
      </c>
      <c r="C675" s="18">
        <f>INDEX({"Janeiro";"Fevereiro";"Março";"Abril";"Maio";"Junho";"Julho";"Agosto";"Setembro";"Outubro";"Novembro";"Dezembro"},Q675)</f>
        <v/>
      </c>
      <c r="D675" s="24" t="n">
        <v>3</v>
      </c>
      <c r="E675" s="25" t="n">
        <v>46125</v>
      </c>
      <c r="F675" s="23" t="inlineStr">
        <is>
          <t>Iogurte Salada 185g</t>
        </is>
      </c>
      <c r="G675" s="23" t="inlineStr">
        <is>
          <t>IOGURTE</t>
        </is>
      </c>
      <c r="H675" s="26" t="n">
        <v>0.185</v>
      </c>
      <c r="I675" s="36" t="n">
        <v>780</v>
      </c>
      <c r="J675" s="21">
        <f>I675*H675</f>
        <v/>
      </c>
      <c r="K675" s="21">
        <f>IFERROR(IF(J675/P675&gt;1,P675,J675),0)</f>
        <v/>
      </c>
      <c r="L675" s="36" t="n">
        <v>768</v>
      </c>
      <c r="M675" s="21">
        <f>L675*H675</f>
        <v/>
      </c>
      <c r="N675" s="21">
        <f>IFERROR(IF(M675/K675&gt;1,K675,M675),0)</f>
        <v/>
      </c>
      <c r="O675" s="36" t="n">
        <v>780</v>
      </c>
      <c r="P675" s="21">
        <f>O675*H675</f>
        <v/>
      </c>
      <c r="Q675" s="30">
        <f>IF(MONTH(E675+1)=MONTH(E675+6),MONTH(E675+1),IF(MIN(EOMONTH(E675+1,0),E675+6)-(E675+1)+1&gt;=3,MONTH(E675+1),MONTH(E675+6)))</f>
        <v/>
      </c>
      <c r="R675" s="22">
        <f>IFERROR(K675/P675, 0)</f>
        <v/>
      </c>
      <c r="S675" s="38">
        <f>IFERROR(N675/P675,0)</f>
        <v/>
      </c>
      <c r="T675" s="31">
        <f>IFERROR(IF(N675&gt;0,(N675/K675),MIN(1,M675/J675)),0)</f>
        <v/>
      </c>
      <c r="U675" s="33" t="n"/>
    </row>
    <row r="676" hidden="1" s="40">
      <c r="A676" s="18" t="inlineStr">
        <is>
          <t>Semana 3 - abril</t>
        </is>
      </c>
      <c r="B676" s="27">
        <f>YEAR(E676)</f>
        <v/>
      </c>
      <c r="C676" s="18">
        <f>INDEX({"Janeiro";"Fevereiro";"Março";"Abril";"Maio";"Junho";"Julho";"Agosto";"Setembro";"Outubro";"Novembro";"Dezembro"},Q676)</f>
        <v/>
      </c>
      <c r="D676" s="19" t="n">
        <v>3</v>
      </c>
      <c r="E676" s="20" t="n">
        <v>46125</v>
      </c>
      <c r="F676" s="18" t="inlineStr">
        <is>
          <t>Iogurte Salada 900g</t>
        </is>
      </c>
      <c r="G676" s="18" t="inlineStr">
        <is>
          <t>IOGURTE</t>
        </is>
      </c>
      <c r="H676" s="21" t="n">
        <v>0.9</v>
      </c>
      <c r="I676" s="36" t="n">
        <v>3420</v>
      </c>
      <c r="J676" s="21">
        <f>I676*H676</f>
        <v/>
      </c>
      <c r="K676" s="21">
        <f>IFERROR(IF(J676/P676&gt;1,P676,J676),0)</f>
        <v/>
      </c>
      <c r="L676" s="36" t="n">
        <v>3503</v>
      </c>
      <c r="M676" s="21">
        <f>L676*H676</f>
        <v/>
      </c>
      <c r="N676" s="21">
        <f>IFERROR(IF(M676/K676&gt;1,K676,M676),0)</f>
        <v/>
      </c>
      <c r="O676" s="36" t="n">
        <v>2500</v>
      </c>
      <c r="P676" s="21">
        <f>O676*H676</f>
        <v/>
      </c>
      <c r="Q676" s="30">
        <f>IF(MONTH(E676+1)=MONTH(E676+6),MONTH(E676+1),IF(MIN(EOMONTH(E676+1,0),E676+6)-(E676+1)+1&gt;=3,MONTH(E676+1),MONTH(E676+6)))</f>
        <v/>
      </c>
      <c r="R676" s="22">
        <f>IFERROR(K676/P676, 0)</f>
        <v/>
      </c>
      <c r="S676" s="38">
        <f>IFERROR(N676/P676,0)</f>
        <v/>
      </c>
      <c r="T676" s="31">
        <f>IFERROR(IF(N676&gt;0,(N676/K676),MIN(1,M676/J676)),0)</f>
        <v/>
      </c>
      <c r="U676" s="33" t="n"/>
    </row>
    <row r="677" hidden="1" s="40">
      <c r="A677" s="23" t="inlineStr">
        <is>
          <t>Semana 3 - abril</t>
        </is>
      </c>
      <c r="B677" s="27">
        <f>YEAR(E677)</f>
        <v/>
      </c>
      <c r="C677" s="18">
        <f>INDEX({"Janeiro";"Fevereiro";"Março";"Abril";"Maio";"Junho";"Julho";"Agosto";"Setembro";"Outubro";"Novembro";"Dezembro"},Q677)</f>
        <v/>
      </c>
      <c r="D677" s="24" t="n">
        <v>3</v>
      </c>
      <c r="E677" s="25" t="n">
        <v>46125</v>
      </c>
      <c r="F677" s="23" t="inlineStr">
        <is>
          <t>Iogurte Vida Leve Ameixa c/ Grãos 180g</t>
        </is>
      </c>
      <c r="G677" s="23" t="inlineStr">
        <is>
          <t>IOGURTE</t>
        </is>
      </c>
      <c r="H677" s="26" t="n">
        <v>0.18</v>
      </c>
      <c r="I677" s="36" t="n">
        <v>0</v>
      </c>
      <c r="J677" s="21">
        <f>I677*H677</f>
        <v/>
      </c>
      <c r="K677" s="21">
        <f>IFERROR(IF(J677/P677&gt;1,P677,J677),0)</f>
        <v/>
      </c>
      <c r="L677" s="36" t="n">
        <v>0</v>
      </c>
      <c r="M677" s="21">
        <f>L677*H677</f>
        <v/>
      </c>
      <c r="N677" s="21">
        <f>IFERROR(IF(M677/K677&gt;1,K677,M677),0)</f>
        <v/>
      </c>
      <c r="O677" s="36" t="n">
        <v>0</v>
      </c>
      <c r="P677" s="21">
        <f>O677*H677</f>
        <v/>
      </c>
      <c r="Q677" s="30">
        <f>IF(MONTH(E677+1)=MONTH(E677+6),MONTH(E677+1),IF(MIN(EOMONTH(E677+1,0),E677+6)-(E677+1)+1&gt;=3,MONTH(E677+1),MONTH(E677+6)))</f>
        <v/>
      </c>
      <c r="R677" s="22">
        <f>IFERROR(K677/P677, 0)</f>
        <v/>
      </c>
      <c r="S677" s="38">
        <f>IFERROR(N677/P677,0)</f>
        <v/>
      </c>
      <c r="T677" s="31">
        <f>IFERROR(IF(N677&gt;0,(N677/K677),MIN(1,M677/J677)),0)</f>
        <v/>
      </c>
      <c r="U677" s="33" t="n"/>
    </row>
    <row r="678" hidden="1" s="40">
      <c r="A678" s="18" t="inlineStr">
        <is>
          <t>Semana 3 - abril</t>
        </is>
      </c>
      <c r="B678" s="27">
        <f>YEAR(E678)</f>
        <v/>
      </c>
      <c r="C678" s="18">
        <f>INDEX({"Janeiro";"Fevereiro";"Março";"Abril";"Maio";"Junho";"Julho";"Agosto";"Setembro";"Outubro";"Novembro";"Dezembro"},Q678)</f>
        <v/>
      </c>
      <c r="D678" s="19" t="n">
        <v>3</v>
      </c>
      <c r="E678" s="20" t="n">
        <v>46125</v>
      </c>
      <c r="F678" s="18" t="inlineStr">
        <is>
          <t>Iogurte Vida Leve Ameixa c/ Grãos 500g</t>
        </is>
      </c>
      <c r="G678" s="18" t="inlineStr">
        <is>
          <t>IOGURTE</t>
        </is>
      </c>
      <c r="H678" s="21" t="n">
        <v>0.5</v>
      </c>
      <c r="I678" s="36" t="n">
        <v>0</v>
      </c>
      <c r="J678" s="21">
        <f>I678*H678</f>
        <v/>
      </c>
      <c r="K678" s="21">
        <f>IFERROR(IF(J678/P678&gt;1,P678,J678),0)</f>
        <v/>
      </c>
      <c r="L678" s="36" t="n">
        <v>0</v>
      </c>
      <c r="M678" s="21">
        <f>L678*H678</f>
        <v/>
      </c>
      <c r="N678" s="21">
        <f>IFERROR(IF(M678/K678&gt;1,K678,M678),0)</f>
        <v/>
      </c>
      <c r="O678" s="36" t="n">
        <v>0</v>
      </c>
      <c r="P678" s="21">
        <f>O678*H678</f>
        <v/>
      </c>
      <c r="Q678" s="30">
        <f>IF(MONTH(E678+1)=MONTH(E678+6),MONTH(E678+1),IF(MIN(EOMONTH(E678+1,0),E678+6)-(E678+1)+1&gt;=3,MONTH(E678+1),MONTH(E678+6)))</f>
        <v/>
      </c>
      <c r="R678" s="22">
        <f>IFERROR(K678/P678, 0)</f>
        <v/>
      </c>
      <c r="S678" s="38">
        <f>IFERROR(N678/P678,0)</f>
        <v/>
      </c>
      <c r="T678" s="31">
        <f>IFERROR(IF(N678&gt;0,(N678/K678),MIN(1,M678/J678)),0)</f>
        <v/>
      </c>
      <c r="U678" s="33" t="n"/>
    </row>
    <row r="679" hidden="1" s="40">
      <c r="A679" s="23" t="inlineStr">
        <is>
          <t>Semana 3 - abril</t>
        </is>
      </c>
      <c r="B679" s="27">
        <f>YEAR(E679)</f>
        <v/>
      </c>
      <c r="C679" s="18">
        <f>INDEX({"Janeiro";"Fevereiro";"Março";"Abril";"Maio";"Junho";"Julho";"Agosto";"Setembro";"Outubro";"Novembro";"Dezembro"},Q679)</f>
        <v/>
      </c>
      <c r="D679" s="24" t="n">
        <v>3</v>
      </c>
      <c r="E679" s="25" t="n">
        <v>46125</v>
      </c>
      <c r="F679" s="23" t="inlineStr">
        <is>
          <t>Iogurte Vida Leve Morango 180g</t>
        </is>
      </c>
      <c r="G679" s="23" t="inlineStr">
        <is>
          <t>IOGURTE</t>
        </is>
      </c>
      <c r="H679" s="26" t="n">
        <v>0.185</v>
      </c>
      <c r="I679" s="36" t="n">
        <v>0</v>
      </c>
      <c r="J679" s="21">
        <f>I679*H679</f>
        <v/>
      </c>
      <c r="K679" s="21">
        <f>IFERROR(IF(J679/P679&gt;1,P679,J679),0)</f>
        <v/>
      </c>
      <c r="L679" s="36" t="n">
        <v>0</v>
      </c>
      <c r="M679" s="21">
        <f>L679*H679</f>
        <v/>
      </c>
      <c r="N679" s="21">
        <f>IFERROR(IF(M679/K679&gt;1,K679,M679),0)</f>
        <v/>
      </c>
      <c r="O679" s="36" t="n">
        <v>0</v>
      </c>
      <c r="P679" s="21">
        <f>O679*H679</f>
        <v/>
      </c>
      <c r="Q679" s="30">
        <f>IF(MONTH(E679+1)=MONTH(E679+6),MONTH(E679+1),IF(MIN(EOMONTH(E679+1,0),E679+6)-(E679+1)+1&gt;=3,MONTH(E679+1),MONTH(E679+6)))</f>
        <v/>
      </c>
      <c r="R679" s="22">
        <f>IFERROR(K679/P679, 0)</f>
        <v/>
      </c>
      <c r="S679" s="38">
        <f>IFERROR(N679/P679,0)</f>
        <v/>
      </c>
      <c r="T679" s="31">
        <f>IFERROR(IF(N679&gt;0,(N679/K679),MIN(1,M679/J679)),0)</f>
        <v/>
      </c>
      <c r="U679" s="33" t="n"/>
    </row>
    <row r="680" hidden="1" s="40">
      <c r="A680" s="18" t="inlineStr">
        <is>
          <t>Semana 3 - abril</t>
        </is>
      </c>
      <c r="B680" s="27">
        <f>YEAR(E680)</f>
        <v/>
      </c>
      <c r="C680" s="18">
        <f>INDEX({"Janeiro";"Fevereiro";"Março";"Abril";"Maio";"Junho";"Julho";"Agosto";"Setembro";"Outubro";"Novembro";"Dezembro"},Q680)</f>
        <v/>
      </c>
      <c r="D680" s="19" t="n">
        <v>3</v>
      </c>
      <c r="E680" s="20" t="n">
        <v>46125</v>
      </c>
      <c r="F680" s="18" t="inlineStr">
        <is>
          <t>Iogurte Vida Leve Morango 500g</t>
        </is>
      </c>
      <c r="G680" s="18" t="inlineStr">
        <is>
          <t>IOGURTE</t>
        </is>
      </c>
      <c r="H680" s="21" t="n">
        <v>0.5</v>
      </c>
      <c r="I680" s="36" t="n">
        <v>0</v>
      </c>
      <c r="J680" s="21">
        <f>I680*H680</f>
        <v/>
      </c>
      <c r="K680" s="21">
        <f>IFERROR(IF(J680/P680&gt;1,P680,J680),0)</f>
        <v/>
      </c>
      <c r="L680" s="36" t="n">
        <v>0</v>
      </c>
      <c r="M680" s="21">
        <f>L680*H680</f>
        <v/>
      </c>
      <c r="N680" s="21">
        <f>IFERROR(IF(M680/K680&gt;1,K680,M680),0)</f>
        <v/>
      </c>
      <c r="O680" s="36" t="n">
        <v>0</v>
      </c>
      <c r="P680" s="21">
        <f>O680*H680</f>
        <v/>
      </c>
      <c r="Q680" s="30">
        <f>IF(MONTH(E680+1)=MONTH(E680+6),MONTH(E680+1),IF(MIN(EOMONTH(E680+1,0),E680+6)-(E680+1)+1&gt;=3,MONTH(E680+1),MONTH(E680+6)))</f>
        <v/>
      </c>
      <c r="R680" s="22">
        <f>IFERROR(K680/P680, 0)</f>
        <v/>
      </c>
      <c r="S680" s="38">
        <f>IFERROR(N680/P680,0)</f>
        <v/>
      </c>
      <c r="T680" s="31">
        <f>IFERROR(IF(N680&gt;0,(N680/K680),MIN(1,M680/J680)),0)</f>
        <v/>
      </c>
      <c r="U680" s="33" t="n"/>
    </row>
    <row r="681" hidden="1" s="40">
      <c r="A681" s="23" t="inlineStr">
        <is>
          <t>Semana 3 - abril</t>
        </is>
      </c>
      <c r="B681" s="27">
        <f>YEAR(E681)</f>
        <v/>
      </c>
      <c r="C681" s="18">
        <f>INDEX({"Janeiro";"Fevereiro";"Março";"Abril";"Maio";"Junho";"Julho";"Agosto";"Setembro";"Outubro";"Novembro";"Dezembro"},Q681)</f>
        <v/>
      </c>
      <c r="D681" s="24" t="n">
        <v>3</v>
      </c>
      <c r="E681" s="25" t="n">
        <v>46125</v>
      </c>
      <c r="F681" s="23" t="inlineStr">
        <is>
          <t>LEITE PASTEURIZADO VIÇOSA DESNATADO</t>
        </is>
      </c>
      <c r="G681" s="23" t="inlineStr">
        <is>
          <t>LEITE PAST.</t>
        </is>
      </c>
      <c r="H681" s="26" t="n">
        <v>1</v>
      </c>
      <c r="I681" s="36" t="n">
        <v>600</v>
      </c>
      <c r="J681" s="21">
        <f>I681*H681</f>
        <v/>
      </c>
      <c r="K681" s="21">
        <f>IFERROR(IF(J681/P681&gt;1,P681,J681),0)</f>
        <v/>
      </c>
      <c r="L681" s="36" t="n">
        <v>766</v>
      </c>
      <c r="M681" s="21">
        <f>L681*H681</f>
        <v/>
      </c>
      <c r="N681" s="21">
        <f>IFERROR(IF(M681/K681&gt;1,K681,M681),0)</f>
        <v/>
      </c>
      <c r="O681" s="36" t="n">
        <v>600</v>
      </c>
      <c r="P681" s="21">
        <f>O681*H681</f>
        <v/>
      </c>
      <c r="Q681" s="30">
        <f>IF(MONTH(E681+1)=MONTH(E681+6),MONTH(E681+1),IF(MIN(EOMONTH(E681+1,0),E681+6)-(E681+1)+1&gt;=3,MONTH(E681+1),MONTH(E681+6)))</f>
        <v/>
      </c>
      <c r="R681" s="22">
        <f>IFERROR(K681/P681, 0)</f>
        <v/>
      </c>
      <c r="S681" s="38">
        <f>IFERROR(N681/P681,0)</f>
        <v/>
      </c>
      <c r="T681" s="31">
        <f>IFERROR(IF(N681&gt;0,(N681/K681),MIN(1,M681/J681)),0)</f>
        <v/>
      </c>
      <c r="U681" s="33" t="n"/>
    </row>
    <row r="682" hidden="1" s="40">
      <c r="A682" s="18" t="inlineStr">
        <is>
          <t>Semana 3 - abril</t>
        </is>
      </c>
      <c r="B682" s="27">
        <f>YEAR(E682)</f>
        <v/>
      </c>
      <c r="C682" s="18">
        <f>INDEX({"Janeiro";"Fevereiro";"Março";"Abril";"Maio";"Junho";"Julho";"Agosto";"Setembro";"Outubro";"Novembro";"Dezembro"},Q682)</f>
        <v/>
      </c>
      <c r="D682" s="19" t="n">
        <v>3</v>
      </c>
      <c r="E682" s="20" t="n">
        <v>46125</v>
      </c>
      <c r="F682" s="18" t="inlineStr">
        <is>
          <t>LEITE PASTEURIZADO VIÇOSA INTEGRAL</t>
        </is>
      </c>
      <c r="G682" s="18" t="inlineStr">
        <is>
          <t>LEITE PAST.</t>
        </is>
      </c>
      <c r="H682" s="21" t="n">
        <v>1</v>
      </c>
      <c r="I682" s="36" t="n">
        <v>19800</v>
      </c>
      <c r="J682" s="21">
        <f>I682*H682</f>
        <v/>
      </c>
      <c r="K682" s="21">
        <f>IFERROR(IF(J682/P682&gt;1,P682,J682),0)</f>
        <v/>
      </c>
      <c r="L682" s="36" t="n">
        <v>20360</v>
      </c>
      <c r="M682" s="21">
        <f>L682*H682</f>
        <v/>
      </c>
      <c r="N682" s="21">
        <f>IFERROR(IF(M682/K682&gt;1,K682,M682),0)</f>
        <v/>
      </c>
      <c r="O682" s="36" t="n">
        <v>19800</v>
      </c>
      <c r="P682" s="21">
        <f>O682*H682</f>
        <v/>
      </c>
      <c r="Q682" s="30">
        <f>IF(MONTH(E682+1)=MONTH(E682+6),MONTH(E682+1),IF(MIN(EOMONTH(E682+1,0),E682+6)-(E682+1)+1&gt;=3,MONTH(E682+1),MONTH(E682+6)))</f>
        <v/>
      </c>
      <c r="R682" s="22">
        <f>IFERROR(K682/P682, 0)</f>
        <v/>
      </c>
      <c r="S682" s="38">
        <f>IFERROR(N682/P682,0)</f>
        <v/>
      </c>
      <c r="T682" s="31">
        <f>IFERROR(IF(N682&gt;0,(N682/K682),MIN(1,M682/J682)),0)</f>
        <v/>
      </c>
      <c r="U682" s="33" t="n"/>
    </row>
    <row r="683" hidden="1" s="40">
      <c r="A683" s="23" t="inlineStr">
        <is>
          <t>Semana 3 - abril</t>
        </is>
      </c>
      <c r="B683" s="27">
        <f>YEAR(E683)</f>
        <v/>
      </c>
      <c r="C683" s="18">
        <f>INDEX({"Janeiro";"Fevereiro";"Março";"Abril";"Maio";"Junho";"Julho";"Agosto";"Setembro";"Outubro";"Novembro";"Dezembro"},Q683)</f>
        <v/>
      </c>
      <c r="D683" s="24" t="n">
        <v>3</v>
      </c>
      <c r="E683" s="25" t="n">
        <v>46125</v>
      </c>
      <c r="F683" s="23" t="inlineStr">
        <is>
          <t>LEITE PASTEURIZADO VIÇOSA ZERO LACTOSE INTEGRAL 1 L</t>
        </is>
      </c>
      <c r="G683" s="23" t="inlineStr">
        <is>
          <t>LEITE PAST.</t>
        </is>
      </c>
      <c r="H683" s="26" t="n">
        <v>1</v>
      </c>
      <c r="I683" s="36" t="n">
        <v>700</v>
      </c>
      <c r="J683" s="21">
        <f>I683*H683</f>
        <v/>
      </c>
      <c r="K683" s="21">
        <f>IFERROR(IF(J683/P683&gt;1,P683,J683),0)</f>
        <v/>
      </c>
      <c r="L683" s="36" t="n">
        <v>640</v>
      </c>
      <c r="M683" s="21">
        <f>L683*H683</f>
        <v/>
      </c>
      <c r="N683" s="21">
        <f>IFERROR(IF(M683/K683&gt;1,K683,M683),0)</f>
        <v/>
      </c>
      <c r="O683" s="36" t="n">
        <v>700</v>
      </c>
      <c r="P683" s="21">
        <f>O683*H683</f>
        <v/>
      </c>
      <c r="Q683" s="30">
        <f>IF(MONTH(E683+1)=MONTH(E683+6),MONTH(E683+1),IF(MIN(EOMONTH(E683+1,0),E683+6)-(E683+1)+1&gt;=3,MONTH(E683+1),MONTH(E683+6)))</f>
        <v/>
      </c>
      <c r="R683" s="22">
        <f>IFERROR(K683/P683, 0)</f>
        <v/>
      </c>
      <c r="S683" s="38">
        <f>IFERROR(N683/P683,0)</f>
        <v/>
      </c>
      <c r="T683" s="31">
        <f>IFERROR(IF(N683&gt;0,(N683/K683),MIN(1,M683/J683)),0)</f>
        <v/>
      </c>
      <c r="U683" s="33" t="n"/>
    </row>
    <row r="684" hidden="1" s="40">
      <c r="A684" s="18" t="inlineStr">
        <is>
          <t>Semana 3 - abril</t>
        </is>
      </c>
      <c r="B684" s="27">
        <f>YEAR(E684)</f>
        <v/>
      </c>
      <c r="C684" s="18">
        <f>INDEX({"Janeiro";"Fevereiro";"Março";"Abril";"Maio";"Junho";"Julho";"Agosto";"Setembro";"Outubro";"Novembro";"Dezembro"},Q684)</f>
        <v/>
      </c>
      <c r="D684" s="19" t="n">
        <v>3</v>
      </c>
      <c r="E684" s="20" t="n">
        <v>46125</v>
      </c>
      <c r="F684" s="18" t="inlineStr">
        <is>
          <t>Manteiga 200g</t>
        </is>
      </c>
      <c r="G684" s="18" t="inlineStr">
        <is>
          <t>MANTEIGA</t>
        </is>
      </c>
      <c r="H684" s="21" t="n">
        <v>0.2</v>
      </c>
      <c r="I684" s="36" t="n">
        <v>2500</v>
      </c>
      <c r="J684" s="21">
        <f>I684*H684</f>
        <v/>
      </c>
      <c r="K684" s="21">
        <f>IFERROR(IF(J684/P684&gt;1,P684,J684),0)</f>
        <v/>
      </c>
      <c r="L684" s="36" t="n">
        <v>1962</v>
      </c>
      <c r="M684" s="21">
        <f>L684*H684</f>
        <v/>
      </c>
      <c r="N684" s="21">
        <f>IFERROR(IF(M684/K684&gt;1,K684,M684),0)</f>
        <v/>
      </c>
      <c r="O684" s="36" t="n">
        <v>2500</v>
      </c>
      <c r="P684" s="21">
        <f>O684*H684</f>
        <v/>
      </c>
      <c r="Q684" s="30">
        <f>IF(MONTH(E684+1)=MONTH(E684+6),MONTH(E684+1),IF(MIN(EOMONTH(E684+1,0),E684+6)-(E684+1)+1&gt;=3,MONTH(E684+1),MONTH(E684+6)))</f>
        <v/>
      </c>
      <c r="R684" s="22">
        <f>IFERROR(K684/P684, 0)</f>
        <v/>
      </c>
      <c r="S684" s="38">
        <f>IFERROR(N684/P684,0)</f>
        <v/>
      </c>
      <c r="T684" s="31">
        <f>IFERROR(IF(N684&gt;0,(N684/K684),MIN(1,M684/J684)),0)</f>
        <v/>
      </c>
      <c r="U684" s="33" t="n"/>
    </row>
    <row r="685" hidden="1" s="40">
      <c r="A685" s="23" t="inlineStr">
        <is>
          <t>Semana 3 - abril</t>
        </is>
      </c>
      <c r="B685" s="27">
        <f>YEAR(E685)</f>
        <v/>
      </c>
      <c r="C685" s="18">
        <f>INDEX({"Janeiro";"Fevereiro";"Março";"Abril";"Maio";"Junho";"Julho";"Agosto";"Setembro";"Outubro";"Novembro";"Dezembro"},Q685)</f>
        <v/>
      </c>
      <c r="D685" s="24" t="n">
        <v>3</v>
      </c>
      <c r="E685" s="25" t="n">
        <v>46125</v>
      </c>
      <c r="F685" s="23" t="inlineStr">
        <is>
          <t>Manteiga 500g</t>
        </is>
      </c>
      <c r="G685" s="23" t="inlineStr">
        <is>
          <t>MANTEIGA</t>
        </is>
      </c>
      <c r="H685" s="26" t="n">
        <v>0.5</v>
      </c>
      <c r="I685" s="36" t="n">
        <v>550</v>
      </c>
      <c r="J685" s="21">
        <f>I685*H685</f>
        <v/>
      </c>
      <c r="K685" s="21">
        <f>IFERROR(IF(J685/P685&gt;1,P685,J685),0)</f>
        <v/>
      </c>
      <c r="L685" s="36" t="n">
        <v>0</v>
      </c>
      <c r="M685" s="21">
        <f>L685*H685</f>
        <v/>
      </c>
      <c r="N685" s="21">
        <f>IFERROR(IF(M685/K685&gt;1,K685,M685),0)</f>
        <v/>
      </c>
      <c r="O685" s="36" t="n">
        <v>550</v>
      </c>
      <c r="P685" s="21">
        <f>O685*H685</f>
        <v/>
      </c>
      <c r="Q685" s="30">
        <f>IF(MONTH(E685+1)=MONTH(E685+6),MONTH(E685+1),IF(MIN(EOMONTH(E685+1,0),E685+6)-(E685+1)+1&gt;=3,MONTH(E685+1),MONTH(E685+6)))</f>
        <v/>
      </c>
      <c r="R685" s="22">
        <f>IFERROR(K685/P685, 0)</f>
        <v/>
      </c>
      <c r="S685" s="38">
        <f>IFERROR(N685/P685,0)</f>
        <v/>
      </c>
      <c r="T685" s="31">
        <f>IFERROR(IF(N685&gt;0,(N685/K685),MIN(1,M685/J685)),0)</f>
        <v/>
      </c>
      <c r="U685" s="33" t="n"/>
    </row>
    <row r="686" hidden="1" s="40">
      <c r="A686" s="18" t="inlineStr">
        <is>
          <t>Semana 3 - abril</t>
        </is>
      </c>
      <c r="B686" s="27">
        <f>YEAR(E686)</f>
        <v/>
      </c>
      <c r="C686" s="18">
        <f>INDEX({"Janeiro";"Fevereiro";"Março";"Abril";"Maio";"Junho";"Julho";"Agosto";"Setembro";"Outubro";"Novembro";"Dezembro"},Q686)</f>
        <v/>
      </c>
      <c r="D686" s="19" t="n">
        <v>3</v>
      </c>
      <c r="E686" s="20" t="n">
        <v>46125</v>
      </c>
      <c r="F686" s="18" t="inlineStr">
        <is>
          <t>QUEIJO MINAS MEIA CURA (FRACIONADO)</t>
        </is>
      </c>
      <c r="G686" s="18" t="inlineStr">
        <is>
          <t>QUEIJO</t>
        </is>
      </c>
      <c r="H686" s="21" t="n">
        <v>1</v>
      </c>
      <c r="I686" s="36" t="n">
        <v>400</v>
      </c>
      <c r="J686" s="21">
        <f>I686*H686</f>
        <v/>
      </c>
      <c r="K686" s="21">
        <f>IFERROR(IF(J686/P686&gt;1,P686,J686),0)</f>
        <v/>
      </c>
      <c r="L686" s="36" t="n">
        <v>400</v>
      </c>
      <c r="M686" s="21">
        <f>L686*H686</f>
        <v/>
      </c>
      <c r="N686" s="21">
        <f>IFERROR(IF(M686/K686&gt;1,K686,M686),0)</f>
        <v/>
      </c>
      <c r="O686" s="36" t="n">
        <v>200</v>
      </c>
      <c r="P686" s="21">
        <f>O686*H686</f>
        <v/>
      </c>
      <c r="Q686" s="30">
        <f>IF(MONTH(E686+1)=MONTH(E686+6),MONTH(E686+1),IF(MIN(EOMONTH(E686+1,0),E686+6)-(E686+1)+1&gt;=3,MONTH(E686+1),MONTH(E686+6)))</f>
        <v/>
      </c>
      <c r="R686" s="22">
        <f>IFERROR(K686/P686, 0)</f>
        <v/>
      </c>
      <c r="S686" s="38">
        <f>IFERROR(N686/P686,0)</f>
        <v/>
      </c>
      <c r="T686" s="31">
        <f>IFERROR(IF(N686&gt;0,(N686/K686),MIN(1,M686/J686)),0)</f>
        <v/>
      </c>
      <c r="U686" s="33" t="n"/>
    </row>
    <row r="687" hidden="1" s="40">
      <c r="A687" s="23" t="inlineStr">
        <is>
          <t>Semana 3 - abril</t>
        </is>
      </c>
      <c r="B687" s="27">
        <f>YEAR(E687)</f>
        <v/>
      </c>
      <c r="C687" s="18">
        <f>INDEX({"Janeiro";"Fevereiro";"Março";"Abril";"Maio";"Junho";"Julho";"Agosto";"Setembro";"Outubro";"Novembro";"Dezembro"},Q687)</f>
        <v/>
      </c>
      <c r="D687" s="24" t="n">
        <v>3</v>
      </c>
      <c r="E687" s="25" t="n">
        <v>46125</v>
      </c>
      <c r="F687" s="23" t="inlineStr">
        <is>
          <t>QUEIJO MINAS MEIA CURA (INTEIRO)</t>
        </is>
      </c>
      <c r="G687" s="23" t="inlineStr">
        <is>
          <t>QUEIJO</t>
        </is>
      </c>
      <c r="H687" s="26" t="n">
        <v>1</v>
      </c>
      <c r="I687" s="36" t="n">
        <v>200</v>
      </c>
      <c r="J687" s="21">
        <f>I687*H687</f>
        <v/>
      </c>
      <c r="K687" s="21">
        <f>IFERROR(IF(J687/P687&gt;1,P687,J687),0)</f>
        <v/>
      </c>
      <c r="L687" s="36" t="n">
        <v>200</v>
      </c>
      <c r="M687" s="21">
        <f>L687*H687</f>
        <v/>
      </c>
      <c r="N687" s="21">
        <f>IFERROR(IF(M687/K687&gt;1,K687,M687),0)</f>
        <v/>
      </c>
      <c r="O687" s="36" t="n">
        <v>200</v>
      </c>
      <c r="P687" s="21">
        <f>O687*H687</f>
        <v/>
      </c>
      <c r="Q687" s="30">
        <f>IF(MONTH(E687+1)=MONTH(E687+6),MONTH(E687+1),IF(MIN(EOMONTH(E687+1,0),E687+6)-(E687+1)+1&gt;=3,MONTH(E687+1),MONTH(E687+6)))</f>
        <v/>
      </c>
      <c r="R687" s="22">
        <f>IFERROR(K687/P687, 0)</f>
        <v/>
      </c>
      <c r="S687" s="38">
        <f>IFERROR(N687/P687,0)</f>
        <v/>
      </c>
      <c r="T687" s="31">
        <f>IFERROR(IF(N687&gt;0,(N687/K687),MIN(1,M687/J687)),0)</f>
        <v/>
      </c>
      <c r="U687" s="33" t="n"/>
    </row>
    <row r="688" hidden="1" s="40">
      <c r="A688" s="18" t="inlineStr">
        <is>
          <t>Semana 3 - abril</t>
        </is>
      </c>
      <c r="B688" s="27">
        <f>YEAR(E688)</f>
        <v/>
      </c>
      <c r="C688" s="18">
        <f>INDEX({"Janeiro";"Fevereiro";"Março";"Abril";"Maio";"Junho";"Julho";"Agosto";"Setembro";"Outubro";"Novembro";"Dezembro"},Q688)</f>
        <v/>
      </c>
      <c r="D688" s="19" t="n">
        <v>3</v>
      </c>
      <c r="E688" s="20" t="n">
        <v>46125</v>
      </c>
      <c r="F688" s="18" t="inlineStr">
        <is>
          <t xml:space="preserve">QUEIJO MINAS PADRÃO VIÇOSA FRACIONADO </t>
        </is>
      </c>
      <c r="G688" s="18" t="inlineStr">
        <is>
          <t>QUEIJO</t>
        </is>
      </c>
      <c r="H688" s="21" t="n">
        <v>1</v>
      </c>
      <c r="I688" s="36" t="n">
        <v>200</v>
      </c>
      <c r="J688" s="21">
        <f>I688*H688</f>
        <v/>
      </c>
      <c r="K688" s="21">
        <f>IFERROR(IF(J688/P688&gt;1,P688,J688),0)</f>
        <v/>
      </c>
      <c r="L688" s="36" t="n">
        <v>200</v>
      </c>
      <c r="M688" s="21">
        <f>L688*H688</f>
        <v/>
      </c>
      <c r="N688" s="21">
        <f>IFERROR(IF(M688/K688&gt;1,K688,M688),0)</f>
        <v/>
      </c>
      <c r="O688" s="36" t="n">
        <v>0</v>
      </c>
      <c r="P688" s="21">
        <f>O688*H688</f>
        <v/>
      </c>
      <c r="Q688" s="30">
        <f>IF(MONTH(E688+1)=MONTH(E688+6),MONTH(E688+1),IF(MIN(EOMONTH(E688+1,0),E688+6)-(E688+1)+1&gt;=3,MONTH(E688+1),MONTH(E688+6)))</f>
        <v/>
      </c>
      <c r="R688" s="22">
        <f>IFERROR(K688/P688, 0)</f>
        <v/>
      </c>
      <c r="S688" s="38">
        <f>IFERROR(N688/P688,0)</f>
        <v/>
      </c>
      <c r="T688" s="31">
        <f>IFERROR(IF(N688&gt;0,(N688/K688),MIN(1,M688/J688)),0)</f>
        <v/>
      </c>
      <c r="U688" s="33" t="n"/>
    </row>
    <row r="689" hidden="1" s="40">
      <c r="A689" s="23" t="inlineStr">
        <is>
          <t>Semana 3 - abril</t>
        </is>
      </c>
      <c r="B689" s="27">
        <f>YEAR(E689)</f>
        <v/>
      </c>
      <c r="C689" s="18">
        <f>INDEX({"Janeiro";"Fevereiro";"Março";"Abril";"Maio";"Junho";"Julho";"Agosto";"Setembro";"Outubro";"Novembro";"Dezembro"},Q689)</f>
        <v/>
      </c>
      <c r="D689" s="24" t="n">
        <v>3</v>
      </c>
      <c r="E689" s="25" t="n">
        <v>46125</v>
      </c>
      <c r="F689" s="23" t="inlineStr">
        <is>
          <t>QUEIJO MUSSARELA 3KG</t>
        </is>
      </c>
      <c r="G689" s="23" t="inlineStr">
        <is>
          <t>QUEIJO</t>
        </is>
      </c>
      <c r="H689" s="26" t="n">
        <v>1</v>
      </c>
      <c r="I689" s="36" t="n">
        <v>800</v>
      </c>
      <c r="J689" s="21">
        <f>I689*H689</f>
        <v/>
      </c>
      <c r="K689" s="21">
        <f>IFERROR(IF(J689/P689&gt;1,P689,J689),0)</f>
        <v/>
      </c>
      <c r="L689" s="36" t="n">
        <v>800</v>
      </c>
      <c r="M689" s="21">
        <f>L689*H689</f>
        <v/>
      </c>
      <c r="N689" s="21">
        <f>IFERROR(IF(M689/K689&gt;1,K689,M689),0)</f>
        <v/>
      </c>
      <c r="O689" s="36" t="n">
        <v>800</v>
      </c>
      <c r="P689" s="21">
        <f>O689*H689</f>
        <v/>
      </c>
      <c r="Q689" s="30">
        <f>IF(MONTH(E689+1)=MONTH(E689+6),MONTH(E689+1),IF(MIN(EOMONTH(E689+1,0),E689+6)-(E689+1)+1&gt;=3,MONTH(E689+1),MONTH(E689+6)))</f>
        <v/>
      </c>
      <c r="R689" s="22">
        <f>IFERROR(K689/P689, 0)</f>
        <v/>
      </c>
      <c r="S689" s="38">
        <f>IFERROR(N689/P689,0)</f>
        <v/>
      </c>
      <c r="T689" s="31">
        <f>IFERROR(IF(N689&gt;0,(N689/K689),MIN(1,M689/J689)),0)</f>
        <v/>
      </c>
      <c r="U689" s="33" t="n"/>
    </row>
    <row r="690" hidden="1" s="40">
      <c r="A690" s="18" t="inlineStr">
        <is>
          <t>Semana 3 - abril</t>
        </is>
      </c>
      <c r="B690" s="27">
        <f>YEAR(E690)</f>
        <v/>
      </c>
      <c r="C690" s="18">
        <f>INDEX({"Janeiro";"Fevereiro";"Março";"Abril";"Maio";"Junho";"Julho";"Agosto";"Setembro";"Outubro";"Novembro";"Dezembro"},Q690)</f>
        <v/>
      </c>
      <c r="D690" s="19" t="n">
        <v>3</v>
      </c>
      <c r="E690" s="20" t="n">
        <v>46125</v>
      </c>
      <c r="F690" s="18" t="inlineStr">
        <is>
          <t>QUEIJO MUSSARELA LANCHE</t>
        </is>
      </c>
      <c r="G690" s="18" t="inlineStr">
        <is>
          <t>QUEIJO</t>
        </is>
      </c>
      <c r="H690" s="21" t="n">
        <v>1</v>
      </c>
      <c r="I690" s="36" t="n">
        <v>200</v>
      </c>
      <c r="J690" s="21">
        <f>I690*H690</f>
        <v/>
      </c>
      <c r="K690" s="21">
        <f>IFERROR(IF(J690/P690&gt;1,P690,J690),0)</f>
        <v/>
      </c>
      <c r="L690" s="36" t="n">
        <v>200</v>
      </c>
      <c r="M690" s="21">
        <f>L690*H690</f>
        <v/>
      </c>
      <c r="N690" s="21">
        <f>IFERROR(IF(M690/K690&gt;1,K690,M690),0)</f>
        <v/>
      </c>
      <c r="O690" s="36" t="n">
        <v>200</v>
      </c>
      <c r="P690" s="21">
        <f>O690*H690</f>
        <v/>
      </c>
      <c r="Q690" s="30">
        <f>IF(MONTH(E690+1)=MONTH(E690+6),MONTH(E690+1),IF(MIN(EOMONTH(E690+1,0),E690+6)-(E690+1)+1&gt;=3,MONTH(E690+1),MONTH(E690+6)))</f>
        <v/>
      </c>
      <c r="R690" s="22">
        <f>IFERROR(K690/P690, 0)</f>
        <v/>
      </c>
      <c r="S690" s="38">
        <f>IFERROR(N690/P690,0)</f>
        <v/>
      </c>
      <c r="T690" s="31">
        <f>IFERROR(IF(N690&gt;0,(N690/K690),MIN(1,M690/J690)),0)</f>
        <v/>
      </c>
      <c r="U690" s="33" t="n"/>
    </row>
    <row r="691" hidden="1" s="40">
      <c r="A691" s="23" t="inlineStr">
        <is>
          <t>Semana 3 - abril</t>
        </is>
      </c>
      <c r="B691" s="27">
        <f>YEAR(E691)</f>
        <v/>
      </c>
      <c r="C691" s="18">
        <f>INDEX({"Janeiro";"Fevereiro";"Março";"Abril";"Maio";"Junho";"Julho";"Agosto";"Setembro";"Outubro";"Novembro";"Dezembro"},Q691)</f>
        <v/>
      </c>
      <c r="D691" s="24" t="n">
        <v>3</v>
      </c>
      <c r="E691" s="25" t="n">
        <v>46125</v>
      </c>
      <c r="F691" s="23" t="inlineStr">
        <is>
          <t>REQUEIJÃO VIÇOSA 200g</t>
        </is>
      </c>
      <c r="G691" s="23" t="inlineStr">
        <is>
          <t>REQUEIJÃO</t>
        </is>
      </c>
      <c r="H691" s="26" t="n">
        <v>0.2</v>
      </c>
      <c r="I691" s="36" t="n">
        <v>3200</v>
      </c>
      <c r="J691" s="21">
        <f>I691*H691</f>
        <v/>
      </c>
      <c r="K691" s="21">
        <f>IFERROR(IF(J691/P691&gt;1,P691,J691),0)</f>
        <v/>
      </c>
      <c r="L691" s="36" t="n">
        <v>3098</v>
      </c>
      <c r="M691" s="21">
        <f>L691*H691</f>
        <v/>
      </c>
      <c r="N691" s="21">
        <f>IFERROR(IF(M691/K691&gt;1,K691,M691),0)</f>
        <v/>
      </c>
      <c r="O691" s="36" t="n">
        <v>3200</v>
      </c>
      <c r="P691" s="21">
        <f>O691*H691</f>
        <v/>
      </c>
      <c r="Q691" s="30">
        <f>IF(MONTH(E691+1)=MONTH(E691+6),MONTH(E691+1),IF(MIN(EOMONTH(E691+1,0),E691+6)-(E691+1)+1&gt;=3,MONTH(E691+1),MONTH(E691+6)))</f>
        <v/>
      </c>
      <c r="R691" s="22">
        <f>IFERROR(K691/P691, 0)</f>
        <v/>
      </c>
      <c r="S691" s="38">
        <f>IFERROR(N691/P691,0)</f>
        <v/>
      </c>
      <c r="T691" s="31">
        <f>IFERROR(IF(N691&gt;0,(N691/K691),MIN(1,M691/J691)),0)</f>
        <v/>
      </c>
      <c r="U691" s="33" t="n"/>
    </row>
    <row r="692" hidden="1" s="40">
      <c r="A692" s="18" t="inlineStr">
        <is>
          <t>Semana 3 - abril</t>
        </is>
      </c>
      <c r="B692" s="27">
        <f>YEAR(E692)</f>
        <v/>
      </c>
      <c r="C692" s="18">
        <f>INDEX({"Janeiro";"Fevereiro";"Março";"Abril";"Maio";"Junho";"Julho";"Agosto";"Setembro";"Outubro";"Novembro";"Dezembro"},Q692)</f>
        <v/>
      </c>
      <c r="D692" s="19" t="n">
        <v>3</v>
      </c>
      <c r="E692" s="20" t="n">
        <v>46125</v>
      </c>
      <c r="F692" s="18" t="inlineStr">
        <is>
          <t>REQUEIJÃO VIÇOSA 400g</t>
        </is>
      </c>
      <c r="G692" s="18" t="inlineStr">
        <is>
          <t>REQUEIJÃO</t>
        </is>
      </c>
      <c r="H692" s="21" t="n">
        <v>0.4</v>
      </c>
      <c r="I692" s="36" t="n">
        <v>5510</v>
      </c>
      <c r="J692" s="21">
        <f>I692*H692</f>
        <v/>
      </c>
      <c r="K692" s="21">
        <f>IFERROR(IF(J692/P692&gt;1,P692,J692),0)</f>
        <v/>
      </c>
      <c r="L692" s="36" t="n">
        <v>5134</v>
      </c>
      <c r="M692" s="21">
        <f>L692*H692</f>
        <v/>
      </c>
      <c r="N692" s="21">
        <f>IFERROR(IF(M692/K692&gt;1,K692,M692),0)</f>
        <v/>
      </c>
      <c r="O692" s="36" t="n">
        <v>1200</v>
      </c>
      <c r="P692" s="21">
        <f>O692*H692</f>
        <v/>
      </c>
      <c r="Q692" s="30">
        <f>IF(MONTH(E692+1)=MONTH(E692+6),MONTH(E692+1),IF(MIN(EOMONTH(E692+1,0),E692+6)-(E692+1)+1&gt;=3,MONTH(E692+1),MONTH(E692+6)))</f>
        <v/>
      </c>
      <c r="R692" s="22">
        <f>IFERROR(K692/P692, 0)</f>
        <v/>
      </c>
      <c r="S692" s="38">
        <f>IFERROR(N692/P692,0)</f>
        <v/>
      </c>
      <c r="T692" s="31">
        <f>IFERROR(IF(N692&gt;0,(N692/K692),MIN(1,M692/J692)),0)</f>
        <v/>
      </c>
      <c r="U692" s="33" t="n"/>
    </row>
    <row r="693" hidden="1" s="40">
      <c r="A693" s="23" t="inlineStr">
        <is>
          <t>Semana 3 - abril</t>
        </is>
      </c>
      <c r="B693" s="27">
        <f>YEAR(E693)</f>
        <v/>
      </c>
      <c r="C693" s="18">
        <f>INDEX({"Janeiro";"Fevereiro";"Março";"Abril";"Maio";"Junho";"Julho";"Agosto";"Setembro";"Outubro";"Novembro";"Dezembro"},Q693)</f>
        <v/>
      </c>
      <c r="D693" s="24" t="n">
        <v>3</v>
      </c>
      <c r="E693" s="25" t="n">
        <v>46125</v>
      </c>
      <c r="F693" s="23" t="inlineStr">
        <is>
          <t>Requeijão Light 200g</t>
        </is>
      </c>
      <c r="G693" s="23" t="inlineStr">
        <is>
          <t>REQUEIJÃO</t>
        </is>
      </c>
      <c r="H693" s="26" t="n">
        <v>0.2</v>
      </c>
      <c r="I693" s="36" t="n">
        <v>1200</v>
      </c>
      <c r="J693" s="21">
        <f>I693*H693</f>
        <v/>
      </c>
      <c r="K693" s="21">
        <f>IFERROR(IF(J693/P693&gt;1,P693,J693),0)</f>
        <v/>
      </c>
      <c r="L693" s="36" t="n">
        <v>2171</v>
      </c>
      <c r="M693" s="21">
        <f>L693*H693</f>
        <v/>
      </c>
      <c r="N693" s="21">
        <f>IFERROR(IF(M693/K693&gt;1,K693,M693),0)</f>
        <v/>
      </c>
      <c r="O693" s="36" t="n">
        <v>1200</v>
      </c>
      <c r="P693" s="21">
        <f>O693*H693</f>
        <v/>
      </c>
      <c r="Q693" s="30">
        <f>IF(MONTH(E693+1)=MONTH(E693+6),MONTH(E693+1),IF(MIN(EOMONTH(E693+1,0),E693+6)-(E693+1)+1&gt;=3,MONTH(E693+1),MONTH(E693+6)))</f>
        <v/>
      </c>
      <c r="R693" s="22">
        <f>IFERROR(K693/P693, 0)</f>
        <v/>
      </c>
      <c r="S693" s="38">
        <f>IFERROR(N693/P693,0)</f>
        <v/>
      </c>
      <c r="T693" s="31">
        <f>IFERROR(IF(N693&gt;0,(N693/K693),MIN(1,M693/J693)),0)</f>
        <v/>
      </c>
      <c r="U693" s="33" t="n"/>
    </row>
    <row r="694" hidden="1" s="40">
      <c r="A694" s="18" t="inlineStr">
        <is>
          <t>Semana 3 - abril</t>
        </is>
      </c>
      <c r="B694" s="27">
        <f>YEAR(E694)</f>
        <v/>
      </c>
      <c r="C694" s="18">
        <f>INDEX({"Janeiro";"Fevereiro";"Março";"Abril";"Maio";"Junho";"Julho";"Agosto";"Setembro";"Outubro";"Novembro";"Dezembro"},Q694)</f>
        <v/>
      </c>
      <c r="D694" s="19" t="n">
        <v>3</v>
      </c>
      <c r="E694" s="20" t="n">
        <v>46125</v>
      </c>
      <c r="F694" s="18" t="inlineStr">
        <is>
          <t>Creme de Ricota 200g</t>
        </is>
      </c>
      <c r="G694" s="18" t="inlineStr">
        <is>
          <t>RICOTA</t>
        </is>
      </c>
      <c r="H694" s="21" t="n">
        <v>0.2</v>
      </c>
      <c r="I694" s="36" t="n">
        <v>1000</v>
      </c>
      <c r="J694" s="21">
        <f>I694*H694</f>
        <v/>
      </c>
      <c r="K694" s="21">
        <f>IFERROR(IF(J694/P694&gt;1,P694,J694),0)</f>
        <v/>
      </c>
      <c r="L694" s="36" t="n">
        <v>1244</v>
      </c>
      <c r="M694" s="21">
        <f>L694*H694</f>
        <v/>
      </c>
      <c r="N694" s="21">
        <f>IFERROR(IF(M694/K694&gt;1,K694,M694),0)</f>
        <v/>
      </c>
      <c r="O694" s="36" t="n">
        <v>1600</v>
      </c>
      <c r="P694" s="21">
        <f>O694*H694</f>
        <v/>
      </c>
      <c r="Q694" s="30">
        <f>IF(MONTH(E694+1)=MONTH(E694+6),MONTH(E694+1),IF(MIN(EOMONTH(E694+1,0),E694+6)-(E694+1)+1&gt;=3,MONTH(E694+1),MONTH(E694+6)))</f>
        <v/>
      </c>
      <c r="R694" s="22">
        <f>IFERROR(K694/P694, 0)</f>
        <v/>
      </c>
      <c r="S694" s="38">
        <f>IFERROR(N694/P694,0)</f>
        <v/>
      </c>
      <c r="T694" s="31">
        <f>IFERROR(IF(N694&gt;0,(N694/K694),MIN(1,M694/J694)),0)</f>
        <v/>
      </c>
      <c r="U694" s="33" t="n"/>
    </row>
    <row r="695" hidden="1" s="40">
      <c r="A695" s="23" t="inlineStr">
        <is>
          <t>Semana 4 - abril</t>
        </is>
      </c>
      <c r="B695" s="27">
        <f>YEAR(E695)</f>
        <v/>
      </c>
      <c r="C695" s="18">
        <f>INDEX({"Janeiro";"Fevereiro";"Março";"Abril";"Maio";"Junho";"Julho";"Agosto";"Setembro";"Outubro";"Novembro";"Dezembro"},Q695)</f>
        <v/>
      </c>
      <c r="D695" s="24" t="n">
        <v>4</v>
      </c>
      <c r="E695" s="25" t="n">
        <v>46132</v>
      </c>
      <c r="F695" s="23" t="inlineStr">
        <is>
          <t>Doce de Leite 400g</t>
        </is>
      </c>
      <c r="G695" s="23" t="inlineStr">
        <is>
          <t>DOCE</t>
        </is>
      </c>
      <c r="H695" s="26" t="n">
        <v>0.4</v>
      </c>
      <c r="I695" s="36" t="n">
        <v>34000</v>
      </c>
      <c r="J695" s="21">
        <f>I695*H695</f>
        <v/>
      </c>
      <c r="K695" s="21">
        <f>IFERROR(IF(J695/P695&gt;1,P695,J695),0)</f>
        <v/>
      </c>
      <c r="L695" s="36" t="n">
        <v>36029</v>
      </c>
      <c r="M695" s="21">
        <f>L695*H695</f>
        <v/>
      </c>
      <c r="N695" s="21">
        <f>IFERROR(IF(M695/K695&gt;1,K695,M695),0)</f>
        <v/>
      </c>
      <c r="O695" s="36" t="n">
        <v>30000</v>
      </c>
      <c r="P695" s="21">
        <f>O695*H695</f>
        <v/>
      </c>
      <c r="Q695" s="30">
        <f>IF(MONTH(E695+1)=MONTH(E695+6),MONTH(E695+1),IF(MIN(EOMONTH(E695+1,0),E695+6)-(E695+1)+1&gt;=3,MONTH(E695+1),MONTH(E695+6)))</f>
        <v/>
      </c>
      <c r="R695" s="22">
        <f>IFERROR(K695/P695, 0)</f>
        <v/>
      </c>
      <c r="S695" s="38">
        <f>IFERROR(N695/P695,0)</f>
        <v/>
      </c>
      <c r="T695" s="31">
        <f>IFERROR(IF(N695&gt;0,(N695/K695),MIN(1,M695/J695)),0)</f>
        <v/>
      </c>
      <c r="U695" s="33" t="inlineStr">
        <is>
          <t>Um lote de doce bag foi cancelado na quinta-feira devido a atrasos na linha ao longo da semana. Esses atrasos foram em decorrencia da produção de doce zero no iniciio da semana</t>
        </is>
      </c>
    </row>
    <row r="696" hidden="1" s="40">
      <c r="A696" s="18" t="inlineStr">
        <is>
          <t>Semana 4 - abril</t>
        </is>
      </c>
      <c r="B696" s="27">
        <f>YEAR(E696)</f>
        <v/>
      </c>
      <c r="C696" s="18">
        <f>INDEX({"Janeiro";"Fevereiro";"Março";"Abril";"Maio";"Junho";"Julho";"Agosto";"Setembro";"Outubro";"Novembro";"Dezembro"},Q696)</f>
        <v/>
      </c>
      <c r="D696" s="19" t="n">
        <v>4</v>
      </c>
      <c r="E696" s="20" t="n">
        <v>46132</v>
      </c>
      <c r="F696" s="18" t="inlineStr">
        <is>
          <t>Doce de Leite 5kg</t>
        </is>
      </c>
      <c r="G696" s="18" t="inlineStr">
        <is>
          <t>DOCE</t>
        </is>
      </c>
      <c r="H696" s="21" t="n">
        <v>5</v>
      </c>
      <c r="I696" s="36" t="n">
        <v>3255</v>
      </c>
      <c r="J696" s="21">
        <f>I696*H696</f>
        <v/>
      </c>
      <c r="K696" s="21">
        <f>IFERROR(IF(J696/P696&gt;1,P696,J696),0)</f>
        <v/>
      </c>
      <c r="L696" s="36" t="n">
        <v>2483</v>
      </c>
      <c r="M696" s="21">
        <f>L696*H696</f>
        <v/>
      </c>
      <c r="N696" s="21">
        <f>IFERROR(IF(M696/K696&gt;1,K696,M696),0)</f>
        <v/>
      </c>
      <c r="O696" s="36" t="n">
        <v>3255</v>
      </c>
      <c r="P696" s="21">
        <f>O696*H696</f>
        <v/>
      </c>
      <c r="Q696" s="30">
        <f>IF(MONTH(E696+1)=MONTH(E696+6),MONTH(E696+1),IF(MIN(EOMONTH(E696+1,0),E696+6)-(E696+1)+1&gt;=3,MONTH(E696+1),MONTH(E696+6)))</f>
        <v/>
      </c>
      <c r="R696" s="22">
        <f>IFERROR(K696/P696, 0)</f>
        <v/>
      </c>
      <c r="S696" s="38">
        <f>IFERROR(N696/P696,0)</f>
        <v/>
      </c>
      <c r="T696" s="31">
        <f>IFERROR(IF(N696&gt;0,(N696/K696),MIN(1,M696/J696)),0)</f>
        <v/>
      </c>
      <c r="U696" s="33" t="inlineStr">
        <is>
          <t>Não houve produção de iogurte 185g em algumas gramaturas devido a problema que a máquina de envase apresentou durante a semana</t>
        </is>
      </c>
    </row>
    <row r="697" hidden="1" s="40">
      <c r="A697" s="23" t="inlineStr">
        <is>
          <t>Semana 4 - abril</t>
        </is>
      </c>
      <c r="B697" s="27">
        <f>YEAR(E697)</f>
        <v/>
      </c>
      <c r="C697" s="18">
        <f>INDEX({"Janeiro";"Fevereiro";"Março";"Abril";"Maio";"Junho";"Julho";"Agosto";"Setembro";"Outubro";"Novembro";"Dezembro"},Q697)</f>
        <v/>
      </c>
      <c r="D697" s="24" t="n">
        <v>4</v>
      </c>
      <c r="E697" s="25" t="n">
        <v>46132</v>
      </c>
      <c r="F697" s="23" t="inlineStr">
        <is>
          <t>Doce de Leite 5kg - Bombeável</t>
        </is>
      </c>
      <c r="G697" s="23" t="inlineStr">
        <is>
          <t>DOCE</t>
        </is>
      </c>
      <c r="H697" s="26" t="n">
        <v>5</v>
      </c>
      <c r="I697" s="36" t="n">
        <v>0</v>
      </c>
      <c r="J697" s="21">
        <f>I697*H697</f>
        <v/>
      </c>
      <c r="K697" s="21">
        <f>IFERROR(IF(J697/P697&gt;1,P697,J697),0)</f>
        <v/>
      </c>
      <c r="L697" s="36" t="n">
        <v>0</v>
      </c>
      <c r="M697" s="21">
        <f>L697*H697</f>
        <v/>
      </c>
      <c r="N697" s="21">
        <f>IFERROR(IF(M697/K697&gt;1,K697,M697),0)</f>
        <v/>
      </c>
      <c r="O697" s="36" t="n">
        <v>0</v>
      </c>
      <c r="P697" s="21">
        <f>O697*H697</f>
        <v/>
      </c>
      <c r="Q697" s="30">
        <f>IF(MONTH(E697+1)=MONTH(E697+6),MONTH(E697+1),IF(MIN(EOMONTH(E697+1,0),E697+6)-(E697+1)+1&gt;=3,MONTH(E697+1),MONTH(E697+6)))</f>
        <v/>
      </c>
      <c r="R697" s="22">
        <f>IFERROR(K697/P697, 0)</f>
        <v/>
      </c>
      <c r="S697" s="38">
        <f>IFERROR(N697/P697,0)</f>
        <v/>
      </c>
      <c r="T697" s="31">
        <f>IFERROR(IF(N697&gt;0,(N697/K697),MIN(1,M697/J697)),0)</f>
        <v/>
      </c>
      <c r="U697" s="33" t="n"/>
    </row>
    <row r="698" hidden="1" s="40">
      <c r="A698" s="18" t="inlineStr">
        <is>
          <t>Semana 4 - abril</t>
        </is>
      </c>
      <c r="B698" s="27">
        <f>YEAR(E698)</f>
        <v/>
      </c>
      <c r="C698" s="18">
        <f>INDEX({"Janeiro";"Fevereiro";"Março";"Abril";"Maio";"Junho";"Julho";"Agosto";"Setembro";"Outubro";"Novembro";"Dezembro"},Q698)</f>
        <v/>
      </c>
      <c r="D698" s="19" t="n">
        <v>4</v>
      </c>
      <c r="E698" s="20" t="n">
        <v>46132</v>
      </c>
      <c r="F698" s="18" t="inlineStr">
        <is>
          <t>Doce de Leite 5kg - Forneável</t>
        </is>
      </c>
      <c r="G698" s="18" t="inlineStr">
        <is>
          <t>DOCE</t>
        </is>
      </c>
      <c r="H698" s="21" t="n">
        <v>5</v>
      </c>
      <c r="I698" s="36" t="n">
        <v>0</v>
      </c>
      <c r="J698" s="21">
        <f>I698*H698</f>
        <v/>
      </c>
      <c r="K698" s="21">
        <f>IFERROR(IF(J698/P698&gt;1,P698,J698),0)</f>
        <v/>
      </c>
      <c r="L698" s="36" t="n">
        <v>0</v>
      </c>
      <c r="M698" s="21">
        <f>L698*H698</f>
        <v/>
      </c>
      <c r="N698" s="21">
        <f>IFERROR(IF(M698/K698&gt;1,K698,M698),0)</f>
        <v/>
      </c>
      <c r="O698" s="36" t="n">
        <v>0</v>
      </c>
      <c r="P698" s="21">
        <f>O698*H698</f>
        <v/>
      </c>
      <c r="Q698" s="30">
        <f>IF(MONTH(E698+1)=MONTH(E698+6),MONTH(E698+1),IF(MIN(EOMONTH(E698+1,0),E698+6)-(E698+1)+1&gt;=3,MONTH(E698+1),MONTH(E698+6)))</f>
        <v/>
      </c>
      <c r="R698" s="22">
        <f>IFERROR(K698/P698, 0)</f>
        <v/>
      </c>
      <c r="S698" s="38">
        <f>IFERROR(N698/P698,0)</f>
        <v/>
      </c>
      <c r="T698" s="31">
        <f>IFERROR(IF(N698&gt;0,(N698/K698),MIN(1,M698/J698)),0)</f>
        <v/>
      </c>
      <c r="U698" s="33" t="n"/>
    </row>
    <row r="699" hidden="1" s="40">
      <c r="A699" s="23" t="inlineStr">
        <is>
          <t>Semana 4 - abril</t>
        </is>
      </c>
      <c r="B699" s="27">
        <f>YEAR(E699)</f>
        <v/>
      </c>
      <c r="C699" s="18">
        <f>INDEX({"Janeiro";"Fevereiro";"Março";"Abril";"Maio";"Junho";"Julho";"Agosto";"Setembro";"Outubro";"Novembro";"Dezembro"},Q699)</f>
        <v/>
      </c>
      <c r="D699" s="24" t="n">
        <v>4</v>
      </c>
      <c r="E699" s="25" t="n">
        <v>46132</v>
      </c>
      <c r="F699" s="23" t="inlineStr">
        <is>
          <t>Doce de Leite 800g</t>
        </is>
      </c>
      <c r="G699" s="23" t="inlineStr">
        <is>
          <t>DOCE</t>
        </is>
      </c>
      <c r="H699" s="26" t="n">
        <v>0.8</v>
      </c>
      <c r="I699" s="36" t="n">
        <v>0</v>
      </c>
      <c r="J699" s="21">
        <f>I699*H699</f>
        <v/>
      </c>
      <c r="K699" s="21">
        <f>IFERROR(IF(J699/P699&gt;1,P699,J699),0)</f>
        <v/>
      </c>
      <c r="L699" s="36" t="n">
        <v>0</v>
      </c>
      <c r="M699" s="21">
        <f>L699*H699</f>
        <v/>
      </c>
      <c r="N699" s="21">
        <f>IFERROR(IF(M699/K699&gt;1,K699,M699),0)</f>
        <v/>
      </c>
      <c r="O699" s="36" t="n">
        <v>0</v>
      </c>
      <c r="P699" s="21">
        <f>O699*H699</f>
        <v/>
      </c>
      <c r="Q699" s="30">
        <f>IF(MONTH(E699+1)=MONTH(E699+6),MONTH(E699+1),IF(MIN(EOMONTH(E699+1,0),E699+6)-(E699+1)+1&gt;=3,MONTH(E699+1),MONTH(E699+6)))</f>
        <v/>
      </c>
      <c r="R699" s="22">
        <f>IFERROR(K699/P699, 0)</f>
        <v/>
      </c>
      <c r="S699" s="38">
        <f>IFERROR(N699/P699,0)</f>
        <v/>
      </c>
      <c r="T699" s="31">
        <f>IFERROR(IF(N699&gt;0,(N699/K699),MIN(1,M699/J699)),0)</f>
        <v/>
      </c>
      <c r="U699" s="33" t="n"/>
    </row>
    <row r="700" hidden="1" s="40">
      <c r="A700" s="18" t="inlineStr">
        <is>
          <t>Semana 4 - abril</t>
        </is>
      </c>
      <c r="B700" s="27">
        <f>YEAR(E700)</f>
        <v/>
      </c>
      <c r="C700" s="18">
        <f>INDEX({"Janeiro";"Fevereiro";"Março";"Abril";"Maio";"Junho";"Julho";"Agosto";"Setembro";"Outubro";"Novembro";"Dezembro"},Q700)</f>
        <v/>
      </c>
      <c r="D700" s="19" t="n">
        <v>4</v>
      </c>
      <c r="E700" s="20" t="n">
        <v>46132</v>
      </c>
      <c r="F700" s="18" t="inlineStr">
        <is>
          <t>Doce de Leite Cacau 400g</t>
        </is>
      </c>
      <c r="G700" s="18" t="inlineStr">
        <is>
          <t>DOCE</t>
        </is>
      </c>
      <c r="H700" s="21" t="n">
        <v>0.4</v>
      </c>
      <c r="I700" s="36" t="n">
        <v>0</v>
      </c>
      <c r="J700" s="21">
        <f>I700*H700</f>
        <v/>
      </c>
      <c r="K700" s="21">
        <f>IFERROR(IF(J700/P700&gt;1,P700,J700),0)</f>
        <v/>
      </c>
      <c r="L700" s="36" t="n">
        <v>0</v>
      </c>
      <c r="M700" s="21">
        <f>L700*H700</f>
        <v/>
      </c>
      <c r="N700" s="21">
        <f>IFERROR(IF(M700/K700&gt;1,K700,M700),0)</f>
        <v/>
      </c>
      <c r="O700" s="36" t="n">
        <v>0</v>
      </c>
      <c r="P700" s="21">
        <f>O700*H700</f>
        <v/>
      </c>
      <c r="Q700" s="30">
        <f>IF(MONTH(E700+1)=MONTH(E700+6),MONTH(E700+1),IF(MIN(EOMONTH(E700+1,0),E700+6)-(E700+1)+1&gt;=3,MONTH(E700+1),MONTH(E700+6)))</f>
        <v/>
      </c>
      <c r="R700" s="22">
        <f>IFERROR(K700/P700, 0)</f>
        <v/>
      </c>
      <c r="S700" s="38">
        <f>IFERROR(N700/P700,0)</f>
        <v/>
      </c>
      <c r="T700" s="31">
        <f>IFERROR(IF(N700&gt;0,(N700/K700),MIN(1,M700/J700)),0)</f>
        <v/>
      </c>
      <c r="U700" s="33" t="n"/>
    </row>
    <row r="701" hidden="1" s="40">
      <c r="A701" s="23" t="inlineStr">
        <is>
          <t>Semana 4 - abril</t>
        </is>
      </c>
      <c r="B701" s="27">
        <f>YEAR(E701)</f>
        <v/>
      </c>
      <c r="C701" s="18">
        <f>INDEX({"Janeiro";"Fevereiro";"Março";"Abril";"Maio";"Junho";"Julho";"Agosto";"Setembro";"Outubro";"Novembro";"Dezembro"},Q701)</f>
        <v/>
      </c>
      <c r="D701" s="24" t="n">
        <v>4</v>
      </c>
      <c r="E701" s="25" t="n">
        <v>46132</v>
      </c>
      <c r="F701" s="23" t="inlineStr">
        <is>
          <t>Doce de Leite Cacau 5kg - Bombeável</t>
        </is>
      </c>
      <c r="G701" s="23" t="inlineStr">
        <is>
          <t>DOCE</t>
        </is>
      </c>
      <c r="H701" s="26" t="n">
        <v>5</v>
      </c>
      <c r="I701" s="36" t="n">
        <v>0</v>
      </c>
      <c r="J701" s="21">
        <f>I701*H701</f>
        <v/>
      </c>
      <c r="K701" s="21">
        <f>IFERROR(IF(J701/P701&gt;1,P701,J701),0)</f>
        <v/>
      </c>
      <c r="L701" s="36" t="n">
        <v>0</v>
      </c>
      <c r="M701" s="21">
        <f>L701*H701</f>
        <v/>
      </c>
      <c r="N701" s="21">
        <f>IFERROR(IF(M701/K701&gt;1,K701,M701),0)</f>
        <v/>
      </c>
      <c r="O701" s="36" t="n">
        <v>0</v>
      </c>
      <c r="P701" s="21">
        <f>O701*H701</f>
        <v/>
      </c>
      <c r="Q701" s="30">
        <f>IF(MONTH(E701+1)=MONTH(E701+6),MONTH(E701+1),IF(MIN(EOMONTH(E701+1,0),E701+6)-(E701+1)+1&gt;=3,MONTH(E701+1),MONTH(E701+6)))</f>
        <v/>
      </c>
      <c r="R701" s="22">
        <f>IFERROR(K701/P701, 0)</f>
        <v/>
      </c>
      <c r="S701" s="38">
        <f>IFERROR(N701/P701,0)</f>
        <v/>
      </c>
      <c r="T701" s="31">
        <f>IFERROR(IF(N701&gt;0,(N701/K701),MIN(1,M701/J701)),0)</f>
        <v/>
      </c>
      <c r="U701" s="33" t="n"/>
    </row>
    <row r="702" hidden="1" s="40">
      <c r="A702" s="18" t="inlineStr">
        <is>
          <t>Semana 4 - abril</t>
        </is>
      </c>
      <c r="B702" s="27">
        <f>YEAR(E702)</f>
        <v/>
      </c>
      <c r="C702" s="18">
        <f>INDEX({"Janeiro";"Fevereiro";"Março";"Abril";"Maio";"Junho";"Julho";"Agosto";"Setembro";"Outubro";"Novembro";"Dezembro"},Q702)</f>
        <v/>
      </c>
      <c r="D702" s="19" t="n">
        <v>4</v>
      </c>
      <c r="E702" s="20" t="n">
        <v>46132</v>
      </c>
      <c r="F702" s="18" t="inlineStr">
        <is>
          <t>Doce de Leite Cacau 5kg - FOOD</t>
        </is>
      </c>
      <c r="G702" s="18" t="inlineStr">
        <is>
          <t>DOCE</t>
        </is>
      </c>
      <c r="H702" s="21" t="n">
        <v>5</v>
      </c>
      <c r="I702" s="36" t="n">
        <v>465</v>
      </c>
      <c r="J702" s="21">
        <f>I702*H702</f>
        <v/>
      </c>
      <c r="K702" s="21">
        <f>IFERROR(IF(J702/P702&gt;1,P702,J702),0)</f>
        <v/>
      </c>
      <c r="L702" s="36" t="n">
        <v>515</v>
      </c>
      <c r="M702" s="21">
        <f>L702*H702</f>
        <v/>
      </c>
      <c r="N702" s="21">
        <f>IFERROR(IF(M702/K702&gt;1,K702,M702),0)</f>
        <v/>
      </c>
      <c r="O702" s="36" t="n">
        <v>465</v>
      </c>
      <c r="P702" s="21">
        <f>O702*H702</f>
        <v/>
      </c>
      <c r="Q702" s="30">
        <f>IF(MONTH(E702+1)=MONTH(E702+6),MONTH(E702+1),IF(MIN(EOMONTH(E702+1,0),E702+6)-(E702+1)+1&gt;=3,MONTH(E702+1),MONTH(E702+6)))</f>
        <v/>
      </c>
      <c r="R702" s="22">
        <f>IFERROR(K702/P702, 0)</f>
        <v/>
      </c>
      <c r="S702" s="38">
        <f>IFERROR(N702/P702,0)</f>
        <v/>
      </c>
      <c r="T702" s="31">
        <f>IFERROR(IF(N702&gt;0,(N702/K702),MIN(1,M702/J702)),0)</f>
        <v/>
      </c>
      <c r="U702" s="33" t="n"/>
    </row>
    <row r="703" hidden="1" s="40">
      <c r="A703" s="23" t="inlineStr">
        <is>
          <t>Semana 4 - abril</t>
        </is>
      </c>
      <c r="B703" s="27">
        <f>YEAR(E703)</f>
        <v/>
      </c>
      <c r="C703" s="18">
        <f>INDEX({"Janeiro";"Fevereiro";"Março";"Abril";"Maio";"Junho";"Julho";"Agosto";"Setembro";"Outubro";"Novembro";"Dezembro"},Q703)</f>
        <v/>
      </c>
      <c r="D703" s="24" t="n">
        <v>4</v>
      </c>
      <c r="E703" s="25" t="n">
        <v>46132</v>
      </c>
      <c r="F703" s="23" t="inlineStr">
        <is>
          <t>Doce de Leite Zero Açúcar e Lactose 400g</t>
        </is>
      </c>
      <c r="G703" s="23" t="inlineStr">
        <is>
          <t>DOCE</t>
        </is>
      </c>
      <c r="H703" s="26" t="n">
        <v>0.4</v>
      </c>
      <c r="I703" s="36" t="n">
        <v>24000</v>
      </c>
      <c r="J703" s="21">
        <f>I703*H703</f>
        <v/>
      </c>
      <c r="K703" s="21">
        <f>IFERROR(IF(J703/P703&gt;1,P703,J703),0)</f>
        <v/>
      </c>
      <c r="L703" s="36" t="n">
        <v>23900</v>
      </c>
      <c r="M703" s="21">
        <f>L703*H703</f>
        <v/>
      </c>
      <c r="N703" s="21">
        <f>IFERROR(IF(M703/K703&gt;1,K703,M703),0)</f>
        <v/>
      </c>
      <c r="O703" s="36" t="n">
        <v>24000</v>
      </c>
      <c r="P703" s="21">
        <f>O703*H703</f>
        <v/>
      </c>
      <c r="Q703" s="30">
        <f>IF(MONTH(E703+1)=MONTH(E703+6),MONTH(E703+1),IF(MIN(EOMONTH(E703+1,0),E703+6)-(E703+1)+1&gt;=3,MONTH(E703+1),MONTH(E703+6)))</f>
        <v/>
      </c>
      <c r="R703" s="22">
        <f>IFERROR(K703/P703, 0)</f>
        <v/>
      </c>
      <c r="S703" s="38">
        <f>IFERROR(N703/P703,0)</f>
        <v/>
      </c>
      <c r="T703" s="31">
        <f>IFERROR(IF(N703&gt;0,(N703/K703),MIN(1,M703/J703)),0)</f>
        <v/>
      </c>
      <c r="U703" s="33" t="n"/>
    </row>
    <row r="704" hidden="1" s="40">
      <c r="A704" s="18" t="inlineStr">
        <is>
          <t>Semana 4 - abril</t>
        </is>
      </c>
      <c r="B704" s="27">
        <f>YEAR(E704)</f>
        <v/>
      </c>
      <c r="C704" s="18">
        <f>INDEX({"Janeiro";"Fevereiro";"Março";"Abril";"Maio";"Junho";"Julho";"Agosto";"Setembro";"Outubro";"Novembro";"Dezembro"},Q704)</f>
        <v/>
      </c>
      <c r="D704" s="19" t="n">
        <v>4</v>
      </c>
      <c r="E704" s="20" t="n">
        <v>46132</v>
      </c>
      <c r="F704" s="18" t="inlineStr">
        <is>
          <t>Doce de Leite c/ Café 400</t>
        </is>
      </c>
      <c r="G704" s="18" t="inlineStr">
        <is>
          <t>DOCE</t>
        </is>
      </c>
      <c r="H704" s="21" t="n">
        <v>0.4</v>
      </c>
      <c r="I704" s="36" t="n">
        <v>0</v>
      </c>
      <c r="J704" s="21">
        <f>I704*H704</f>
        <v/>
      </c>
      <c r="K704" s="21">
        <f>IFERROR(IF(J704/P704&gt;1,P704,J704),0)</f>
        <v/>
      </c>
      <c r="L704" s="36" t="n">
        <v>0</v>
      </c>
      <c r="M704" s="21">
        <f>L704*H704</f>
        <v/>
      </c>
      <c r="N704" s="21">
        <f>IFERROR(IF(M704/K704&gt;1,K704,M704),0)</f>
        <v/>
      </c>
      <c r="O704" s="36" t="n">
        <v>0</v>
      </c>
      <c r="P704" s="21">
        <f>O704*H704</f>
        <v/>
      </c>
      <c r="Q704" s="30">
        <f>IF(MONTH(E704+1)=MONTH(E704+6),MONTH(E704+1),IF(MIN(EOMONTH(E704+1,0),E704+6)-(E704+1)+1&gt;=3,MONTH(E704+1),MONTH(E704+6)))</f>
        <v/>
      </c>
      <c r="R704" s="22">
        <f>IFERROR(K704/P704, 0)</f>
        <v/>
      </c>
      <c r="S704" s="38">
        <f>IFERROR(N704/P704,0)</f>
        <v/>
      </c>
      <c r="T704" s="31">
        <f>IFERROR(IF(N704&gt;0,(N704/K704),MIN(1,M704/J704)),0)</f>
        <v/>
      </c>
      <c r="U704" s="33" t="n"/>
    </row>
    <row r="705" hidden="1" s="40">
      <c r="A705" s="23" t="inlineStr">
        <is>
          <t>Semana 4 - abril</t>
        </is>
      </c>
      <c r="B705" s="27">
        <f>YEAR(E705)</f>
        <v/>
      </c>
      <c r="C705" s="18">
        <f>INDEX({"Janeiro";"Fevereiro";"Março";"Abril";"Maio";"Junho";"Julho";"Agosto";"Setembro";"Outubro";"Novembro";"Dezembro"},Q705)</f>
        <v/>
      </c>
      <c r="D705" s="24" t="n">
        <v>4</v>
      </c>
      <c r="E705" s="25" t="n">
        <v>46132</v>
      </c>
      <c r="F705" s="23" t="inlineStr">
        <is>
          <t>Doce de Leite c/ Café 5kg</t>
        </is>
      </c>
      <c r="G705" s="23" t="inlineStr">
        <is>
          <t>DOCE</t>
        </is>
      </c>
      <c r="H705" s="26" t="n">
        <v>5</v>
      </c>
      <c r="I705" s="36" t="n">
        <v>0</v>
      </c>
      <c r="J705" s="21">
        <f>I705*H705</f>
        <v/>
      </c>
      <c r="K705" s="21">
        <f>IFERROR(IF(J705/P705&gt;1,P705,J705),0)</f>
        <v/>
      </c>
      <c r="L705" s="36" t="n">
        <v>0</v>
      </c>
      <c r="M705" s="21">
        <f>L705*H705</f>
        <v/>
      </c>
      <c r="N705" s="21">
        <f>IFERROR(IF(M705/K705&gt;1,K705,M705),0)</f>
        <v/>
      </c>
      <c r="O705" s="36" t="n">
        <v>0</v>
      </c>
      <c r="P705" s="21">
        <f>O705*H705</f>
        <v/>
      </c>
      <c r="Q705" s="30">
        <f>IF(MONTH(E705+1)=MONTH(E705+6),MONTH(E705+1),IF(MIN(EOMONTH(E705+1,0),E705+6)-(E705+1)+1&gt;=3,MONTH(E705+1),MONTH(E705+6)))</f>
        <v/>
      </c>
      <c r="R705" s="22">
        <f>IFERROR(K705/P705, 0)</f>
        <v/>
      </c>
      <c r="S705" s="38">
        <f>IFERROR(N705/P705,0)</f>
        <v/>
      </c>
      <c r="T705" s="31">
        <f>IFERROR(IF(N705&gt;0,(N705/K705),MIN(1,M705/J705)),0)</f>
        <v/>
      </c>
      <c r="U705" s="33" t="n"/>
    </row>
    <row r="706" hidden="1" s="40">
      <c r="A706" s="18" t="inlineStr">
        <is>
          <t>Semana 4 - abril</t>
        </is>
      </c>
      <c r="B706" s="27">
        <f>YEAR(E706)</f>
        <v/>
      </c>
      <c r="C706" s="18">
        <f>INDEX({"Janeiro";"Fevereiro";"Março";"Abril";"Maio";"Junho";"Julho";"Agosto";"Setembro";"Outubro";"Novembro";"Dezembro"},Q706)</f>
        <v/>
      </c>
      <c r="D706" s="19" t="n">
        <v>4</v>
      </c>
      <c r="E706" s="20" t="n">
        <v>46132</v>
      </c>
      <c r="F706" s="18" t="inlineStr">
        <is>
          <t>Doce de Leite c/ coco 400</t>
        </is>
      </c>
      <c r="G706" s="18" t="inlineStr">
        <is>
          <t>DOCE</t>
        </is>
      </c>
      <c r="H706" s="21" t="n">
        <v>0.4</v>
      </c>
      <c r="I706" s="36" t="n">
        <v>6000</v>
      </c>
      <c r="J706" s="21">
        <f>I706*H706</f>
        <v/>
      </c>
      <c r="K706" s="21">
        <f>IFERROR(IF(J706/P706&gt;1,P706,J706),0)</f>
        <v/>
      </c>
      <c r="L706" s="36" t="n">
        <v>7139</v>
      </c>
      <c r="M706" s="21">
        <f>L706*H706</f>
        <v/>
      </c>
      <c r="N706" s="21">
        <f>IFERROR(IF(M706/K706&gt;1,K706,M706),0)</f>
        <v/>
      </c>
      <c r="O706" s="36" t="n">
        <v>6000</v>
      </c>
      <c r="P706" s="21">
        <f>O706*H706</f>
        <v/>
      </c>
      <c r="Q706" s="30">
        <f>IF(MONTH(E706+1)=MONTH(E706+6),MONTH(E706+1),IF(MIN(EOMONTH(E706+1,0),E706+6)-(E706+1)+1&gt;=3,MONTH(E706+1),MONTH(E706+6)))</f>
        <v/>
      </c>
      <c r="R706" s="22">
        <f>IFERROR(K706/P706, 0)</f>
        <v/>
      </c>
      <c r="S706" s="38">
        <f>IFERROR(N706/P706,0)</f>
        <v/>
      </c>
      <c r="T706" s="31">
        <f>IFERROR(IF(N706&gt;0,(N706/K706),MIN(1,M706/J706)),0)</f>
        <v/>
      </c>
      <c r="U706" s="33" t="n"/>
    </row>
    <row r="707" hidden="1" s="40">
      <c r="A707" s="23" t="inlineStr">
        <is>
          <t>Semana 4 - abril</t>
        </is>
      </c>
      <c r="B707" s="27">
        <f>YEAR(E707)</f>
        <v/>
      </c>
      <c r="C707" s="18">
        <f>INDEX({"Janeiro";"Fevereiro";"Março";"Abril";"Maio";"Junho";"Julho";"Agosto";"Setembro";"Outubro";"Novembro";"Dezembro"},Q707)</f>
        <v/>
      </c>
      <c r="D707" s="24" t="n">
        <v>4</v>
      </c>
      <c r="E707" s="25" t="n">
        <v>46132</v>
      </c>
      <c r="F707" s="23" t="inlineStr">
        <is>
          <t>IOGURTE VIÇOSA MORANGO LIGHT 180g</t>
        </is>
      </c>
      <c r="G707" s="23" t="inlineStr">
        <is>
          <t>IOGURTE</t>
        </is>
      </c>
      <c r="H707" s="26" t="n">
        <v>0.18</v>
      </c>
      <c r="I707" s="36" t="n">
        <v>0</v>
      </c>
      <c r="J707" s="21">
        <f>I707*H707</f>
        <v/>
      </c>
      <c r="K707" s="21">
        <f>IFERROR(IF(J707/P707&gt;1,P707,J707),0)</f>
        <v/>
      </c>
      <c r="L707" s="36" t="n">
        <v>0</v>
      </c>
      <c r="M707" s="21">
        <f>L707*H707</f>
        <v/>
      </c>
      <c r="N707" s="21">
        <f>IFERROR(IF(M707/K707&gt;1,K707,M707),0)</f>
        <v/>
      </c>
      <c r="O707" s="36" t="n">
        <v>0</v>
      </c>
      <c r="P707" s="21">
        <f>O707*H707</f>
        <v/>
      </c>
      <c r="Q707" s="30">
        <f>IF(MONTH(E707+1)=MONTH(E707+6),MONTH(E707+1),IF(MIN(EOMONTH(E707+1,0),E707+6)-(E707+1)+1&gt;=3,MONTH(E707+1),MONTH(E707+6)))</f>
        <v/>
      </c>
      <c r="R707" s="22">
        <f>IFERROR(K707/P707, 0)</f>
        <v/>
      </c>
      <c r="S707" s="38">
        <f>IFERROR(N707/P707,0)</f>
        <v/>
      </c>
      <c r="T707" s="31">
        <f>IFERROR(IF(N707&gt;0,(N707/K707),MIN(1,M707/J707)),0)</f>
        <v/>
      </c>
      <c r="U707" s="33" t="n"/>
    </row>
    <row r="708" hidden="1" s="40">
      <c r="A708" s="18" t="inlineStr">
        <is>
          <t>Semana 4 - abril</t>
        </is>
      </c>
      <c r="B708" s="27">
        <f>YEAR(E708)</f>
        <v/>
      </c>
      <c r="C708" s="18">
        <f>INDEX({"Janeiro";"Fevereiro";"Março";"Abril";"Maio";"Junho";"Julho";"Agosto";"Setembro";"Outubro";"Novembro";"Dezembro"},Q708)</f>
        <v/>
      </c>
      <c r="D708" s="19" t="n">
        <v>4</v>
      </c>
      <c r="E708" s="20" t="n">
        <v>46132</v>
      </c>
      <c r="F708" s="18" t="inlineStr">
        <is>
          <t>IOGURTE VIÇOSA MORANGO LIGHT 800g</t>
        </is>
      </c>
      <c r="G708" s="18" t="inlineStr">
        <is>
          <t>IOGURTE</t>
        </is>
      </c>
      <c r="H708" s="21" t="n">
        <v>0.8</v>
      </c>
      <c r="I708" s="36" t="n">
        <v>0</v>
      </c>
      <c r="J708" s="21">
        <f>I708*H708</f>
        <v/>
      </c>
      <c r="K708" s="21">
        <f>IFERROR(IF(J708/P708&gt;1,P708,J708),0)</f>
        <v/>
      </c>
      <c r="L708" s="36" t="n">
        <v>0</v>
      </c>
      <c r="M708" s="21">
        <f>L708*H708</f>
        <v/>
      </c>
      <c r="N708" s="21">
        <f>IFERROR(IF(M708/K708&gt;1,K708,M708),0)</f>
        <v/>
      </c>
      <c r="O708" s="36" t="n">
        <v>0</v>
      </c>
      <c r="P708" s="21">
        <f>O708*H708</f>
        <v/>
      </c>
      <c r="Q708" s="30">
        <f>IF(MONTH(E708+1)=MONTH(E708+6),MONTH(E708+1),IF(MIN(EOMONTH(E708+1,0),E708+6)-(E708+1)+1&gt;=3,MONTH(E708+1),MONTH(E708+6)))</f>
        <v/>
      </c>
      <c r="R708" s="22">
        <f>IFERROR(K708/P708, 0)</f>
        <v/>
      </c>
      <c r="S708" s="38">
        <f>IFERROR(N708/P708,0)</f>
        <v/>
      </c>
      <c r="T708" s="31">
        <f>IFERROR(IF(N708&gt;0,(N708/K708),MIN(1,M708/J708)),0)</f>
        <v/>
      </c>
      <c r="U708" s="33" t="n"/>
    </row>
    <row r="709" hidden="1" s="40">
      <c r="A709" s="18" t="inlineStr">
        <is>
          <t>Semana 4 - abril</t>
        </is>
      </c>
      <c r="B709" s="27">
        <f>YEAR(E709)</f>
        <v/>
      </c>
      <c r="C709" s="18">
        <f>INDEX({"Janeiro";"Fevereiro";"Março";"Abril";"Maio";"Junho";"Julho";"Agosto";"Setembro";"Outubro";"Novembro";"Dezembro"},Q709)</f>
        <v/>
      </c>
      <c r="D709" s="19" t="n">
        <v>4</v>
      </c>
      <c r="E709" s="20" t="n">
        <v>46132</v>
      </c>
      <c r="F709" s="18" t="inlineStr">
        <is>
          <t>Iogurte Abacaxi c/ Coco 120g</t>
        </is>
      </c>
      <c r="G709" s="18" t="inlineStr">
        <is>
          <t>IOGURTE</t>
        </is>
      </c>
      <c r="H709" s="21" t="n">
        <v>0.12</v>
      </c>
      <c r="I709" s="36" t="n">
        <v>2000</v>
      </c>
      <c r="J709" s="21">
        <f>I709*H709</f>
        <v/>
      </c>
      <c r="K709" s="21">
        <f>IFERROR(IF(J709/P709&gt;1,P709,J709),0)</f>
        <v/>
      </c>
      <c r="L709" s="36" t="n">
        <v>2639</v>
      </c>
      <c r="M709" s="21">
        <f>L709*H709</f>
        <v/>
      </c>
      <c r="N709" s="21">
        <f>IFERROR(IF(M709/K709&gt;1,K709,M709),0)</f>
        <v/>
      </c>
      <c r="O709" s="36" t="n">
        <v>2000</v>
      </c>
      <c r="P709" s="21">
        <f>O709*H709</f>
        <v/>
      </c>
      <c r="Q709" s="30">
        <f>IF(MONTH(E709+1)=MONTH(E709+6),MONTH(E709+1),IF(MIN(EOMONTH(E709+1,0),E709+6)-(E709+1)+1&gt;=3,MONTH(E709+1),MONTH(E709+6)))</f>
        <v/>
      </c>
      <c r="R709" s="22">
        <f>IFERROR(K709/P709, 0)</f>
        <v/>
      </c>
      <c r="S709" s="38">
        <f>IFERROR(N709/P709,0)</f>
        <v/>
      </c>
      <c r="T709" s="31">
        <f>IFERROR(IF(N709&gt;0,(N709/K709),MIN(1,M709/J709)),0)</f>
        <v/>
      </c>
      <c r="U709" s="33" t="n"/>
    </row>
    <row r="710" hidden="1" s="40">
      <c r="A710" s="23" t="inlineStr">
        <is>
          <t>Semana 4 - abril</t>
        </is>
      </c>
      <c r="B710" s="27">
        <f>YEAR(E710)</f>
        <v/>
      </c>
      <c r="C710" s="18">
        <f>INDEX({"Janeiro";"Fevereiro";"Março";"Abril";"Maio";"Junho";"Julho";"Agosto";"Setembro";"Outubro";"Novembro";"Dezembro"},Q710)</f>
        <v/>
      </c>
      <c r="D710" s="24" t="n">
        <v>4</v>
      </c>
      <c r="E710" s="25" t="n">
        <v>46132</v>
      </c>
      <c r="F710" s="23" t="inlineStr">
        <is>
          <t>Iogurte Abacaxi c/ Coco 185g</t>
        </is>
      </c>
      <c r="G710" s="23" t="inlineStr">
        <is>
          <t>IOGURTE</t>
        </is>
      </c>
      <c r="H710" s="26" t="n">
        <v>0.185</v>
      </c>
      <c r="I710" s="36" t="n">
        <v>260</v>
      </c>
      <c r="J710" s="21">
        <f>I710*H710</f>
        <v/>
      </c>
      <c r="K710" s="21">
        <f>IFERROR(IF(J710/P710&gt;1,P710,J710),0)</f>
        <v/>
      </c>
      <c r="L710" s="36" t="n">
        <v>0</v>
      </c>
      <c r="M710" s="21">
        <f>L710*H710</f>
        <v/>
      </c>
      <c r="N710" s="21">
        <f>IFERROR(IF(M710/K710&gt;1,K710,M710),0)</f>
        <v/>
      </c>
      <c r="O710" s="36" t="n">
        <v>260</v>
      </c>
      <c r="P710" s="21">
        <f>O710*H710</f>
        <v/>
      </c>
      <c r="Q710" s="30">
        <f>IF(MONTH(E710+1)=MONTH(E710+6),MONTH(E710+1),IF(MIN(EOMONTH(E710+1,0),E710+6)-(E710+1)+1&gt;=3,MONTH(E710+1),MONTH(E710+6)))</f>
        <v/>
      </c>
      <c r="R710" s="22">
        <f>IFERROR(K710/P710, 0)</f>
        <v/>
      </c>
      <c r="S710" s="38">
        <f>IFERROR(N710/P710,0)</f>
        <v/>
      </c>
      <c r="T710" s="31">
        <f>IFERROR(IF(N710&gt;0,(N710/K710),MIN(1,M710/J710)),0)</f>
        <v/>
      </c>
      <c r="U710" s="33" t="n"/>
    </row>
    <row r="711" hidden="1" s="40">
      <c r="A711" s="18" t="inlineStr">
        <is>
          <t>Semana 4 - abril</t>
        </is>
      </c>
      <c r="B711" s="27">
        <f>YEAR(E711)</f>
        <v/>
      </c>
      <c r="C711" s="18">
        <f>INDEX({"Janeiro";"Fevereiro";"Março";"Abril";"Maio";"Junho";"Julho";"Agosto";"Setembro";"Outubro";"Novembro";"Dezembro"},Q711)</f>
        <v/>
      </c>
      <c r="D711" s="19" t="n">
        <v>4</v>
      </c>
      <c r="E711" s="20" t="n">
        <v>46132</v>
      </c>
      <c r="F711" s="18" t="inlineStr">
        <is>
          <t>Iogurte Abacaxi c/ Coco 900g</t>
        </is>
      </c>
      <c r="G711" s="18" t="inlineStr">
        <is>
          <t>IOGURTE</t>
        </is>
      </c>
      <c r="H711" s="21" t="n">
        <v>0.9</v>
      </c>
      <c r="I711" s="36" t="n">
        <v>1260</v>
      </c>
      <c r="J711" s="21">
        <f>I711*H711</f>
        <v/>
      </c>
      <c r="K711" s="21">
        <f>IFERROR(IF(J711/P711&gt;1,P711,J711),0)</f>
        <v/>
      </c>
      <c r="L711" s="36" t="n">
        <v>1220</v>
      </c>
      <c r="M711" s="21">
        <f>L711*H711</f>
        <v/>
      </c>
      <c r="N711" s="21">
        <f>IFERROR(IF(M711/K711&gt;1,K711,M711),0)</f>
        <v/>
      </c>
      <c r="O711" s="36" t="n">
        <v>1500</v>
      </c>
      <c r="P711" s="21">
        <f>O711*H711</f>
        <v/>
      </c>
      <c r="Q711" s="30">
        <f>IF(MONTH(E711+1)=MONTH(E711+6),MONTH(E711+1),IF(MIN(EOMONTH(E711+1,0),E711+6)-(E711+1)+1&gt;=3,MONTH(E711+1),MONTH(E711+6)))</f>
        <v/>
      </c>
      <c r="R711" s="22">
        <f>IFERROR(K711/P711, 0)</f>
        <v/>
      </c>
      <c r="S711" s="38">
        <f>IFERROR(N711/P711,0)</f>
        <v/>
      </c>
      <c r="T711" s="31">
        <f>IFERROR(IF(N711&gt;0,(N711/K711),MIN(1,M711/J711)),0)</f>
        <v/>
      </c>
      <c r="U711" s="33" t="n"/>
    </row>
    <row r="712" hidden="1" s="40">
      <c r="A712" s="18" t="inlineStr">
        <is>
          <t>Semana 4 - abril</t>
        </is>
      </c>
      <c r="B712" s="27">
        <f>YEAR(E712)</f>
        <v/>
      </c>
      <c r="C712" s="18">
        <f>INDEX({"Janeiro";"Fevereiro";"Março";"Abril";"Maio";"Junho";"Julho";"Agosto";"Setembro";"Outubro";"Novembro";"Dezembro"},Q712)</f>
        <v/>
      </c>
      <c r="D712" s="19" t="n">
        <v>4</v>
      </c>
      <c r="E712" s="20" t="n">
        <v>46132</v>
      </c>
      <c r="F712" s="18" t="inlineStr">
        <is>
          <t>Iogurte Coco 120g</t>
        </is>
      </c>
      <c r="G712" s="18" t="inlineStr">
        <is>
          <t>IOGURTE</t>
        </is>
      </c>
      <c r="H712" s="21" t="n">
        <v>0.12</v>
      </c>
      <c r="I712" s="36" t="n">
        <v>5000</v>
      </c>
      <c r="J712" s="21">
        <f>I712*H712</f>
        <v/>
      </c>
      <c r="K712" s="21">
        <f>IFERROR(IF(J712/P712&gt;1,P712,J712),0)</f>
        <v/>
      </c>
      <c r="L712" s="36" t="n">
        <v>4543</v>
      </c>
      <c r="M712" s="21">
        <f>L712*H712</f>
        <v/>
      </c>
      <c r="N712" s="21">
        <f>IFERROR(IF(M712/K712&gt;1,K712,M712),0)</f>
        <v/>
      </c>
      <c r="O712" s="36" t="n">
        <v>5000</v>
      </c>
      <c r="P712" s="21">
        <f>O712*H712</f>
        <v/>
      </c>
      <c r="Q712" s="30">
        <f>IF(MONTH(E712+1)=MONTH(E712+6),MONTH(E712+1),IF(MIN(EOMONTH(E712+1,0),E712+6)-(E712+1)+1&gt;=3,MONTH(E712+1),MONTH(E712+6)))</f>
        <v/>
      </c>
      <c r="R712" s="22">
        <f>IFERROR(K712/P712, 0)</f>
        <v/>
      </c>
      <c r="S712" s="38">
        <f>IFERROR(N712/P712,0)</f>
        <v/>
      </c>
      <c r="T712" s="31">
        <f>IFERROR(IF(N712&gt;0,(N712/K712),MIN(1,M712/J712)),0)</f>
        <v/>
      </c>
      <c r="U712" s="33" t="n"/>
    </row>
    <row r="713" hidden="1" s="40">
      <c r="A713" s="23" t="inlineStr">
        <is>
          <t>Semana 4 - abril</t>
        </is>
      </c>
      <c r="B713" s="27">
        <f>YEAR(E713)</f>
        <v/>
      </c>
      <c r="C713" s="18">
        <f>INDEX({"Janeiro";"Fevereiro";"Março";"Abril";"Maio";"Junho";"Julho";"Agosto";"Setembro";"Outubro";"Novembro";"Dezembro"},Q713)</f>
        <v/>
      </c>
      <c r="D713" s="24" t="n">
        <v>4</v>
      </c>
      <c r="E713" s="25" t="n">
        <v>46132</v>
      </c>
      <c r="F713" s="23" t="inlineStr">
        <is>
          <t>Iogurte Coco 185g</t>
        </is>
      </c>
      <c r="G713" s="23" t="inlineStr">
        <is>
          <t>IOGURTE</t>
        </is>
      </c>
      <c r="H713" s="26" t="n">
        <v>0.185</v>
      </c>
      <c r="I713" s="36" t="n">
        <v>520</v>
      </c>
      <c r="J713" s="21">
        <f>I713*H713</f>
        <v/>
      </c>
      <c r="K713" s="21">
        <f>IFERROR(IF(J713/P713&gt;1,P713,J713),0)</f>
        <v/>
      </c>
      <c r="L713" s="36" t="n">
        <v>501</v>
      </c>
      <c r="M713" s="21">
        <f>L713*H713</f>
        <v/>
      </c>
      <c r="N713" s="21">
        <f>IFERROR(IF(M713/K713&gt;1,K713,M713),0)</f>
        <v/>
      </c>
      <c r="O713" s="36" t="n">
        <v>520</v>
      </c>
      <c r="P713" s="21">
        <f>O713*H713</f>
        <v/>
      </c>
      <c r="Q713" s="30">
        <f>IF(MONTH(E713+1)=MONTH(E713+6),MONTH(E713+1),IF(MIN(EOMONTH(E713+1,0),E713+6)-(E713+1)+1&gt;=3,MONTH(E713+1),MONTH(E713+6)))</f>
        <v/>
      </c>
      <c r="R713" s="22">
        <f>IFERROR(K713/P713, 0)</f>
        <v/>
      </c>
      <c r="S713" s="38">
        <f>IFERROR(N713/P713,0)</f>
        <v/>
      </c>
      <c r="T713" s="31">
        <f>IFERROR(IF(N713&gt;0,(N713/K713),MIN(1,M713/J713)),0)</f>
        <v/>
      </c>
      <c r="U713" s="33" t="n"/>
    </row>
    <row r="714" hidden="1" s="40">
      <c r="A714" s="18" t="inlineStr">
        <is>
          <t>Semana 4 - abril</t>
        </is>
      </c>
      <c r="B714" s="27">
        <f>YEAR(E714)</f>
        <v/>
      </c>
      <c r="C714" s="18">
        <f>INDEX({"Janeiro";"Fevereiro";"Março";"Abril";"Maio";"Junho";"Julho";"Agosto";"Setembro";"Outubro";"Novembro";"Dezembro"},Q714)</f>
        <v/>
      </c>
      <c r="D714" s="19" t="n">
        <v>4</v>
      </c>
      <c r="E714" s="20" t="n">
        <v>46132</v>
      </c>
      <c r="F714" s="18" t="inlineStr">
        <is>
          <t>Iogurte Coco 900g</t>
        </is>
      </c>
      <c r="G714" s="18" t="inlineStr">
        <is>
          <t>IOGURTE</t>
        </is>
      </c>
      <c r="H714" s="21" t="n">
        <v>0.9</v>
      </c>
      <c r="I714" s="36" t="n">
        <v>810</v>
      </c>
      <c r="J714" s="21">
        <f>I714*H714</f>
        <v/>
      </c>
      <c r="K714" s="21">
        <f>IFERROR(IF(J714/P714&gt;1,P714,J714),0)</f>
        <v/>
      </c>
      <c r="L714" s="36" t="n">
        <v>809</v>
      </c>
      <c r="M714" s="21">
        <f>L714*H714</f>
        <v/>
      </c>
      <c r="N714" s="21">
        <f>IFERROR(IF(M714/K714&gt;1,K714,M714),0)</f>
        <v/>
      </c>
      <c r="O714" s="36" t="n">
        <v>900</v>
      </c>
      <c r="P714" s="21">
        <f>O714*H714</f>
        <v/>
      </c>
      <c r="Q714" s="30">
        <f>IF(MONTH(E714+1)=MONTH(E714+6),MONTH(E714+1),IF(MIN(EOMONTH(E714+1,0),E714+6)-(E714+1)+1&gt;=3,MONTH(E714+1),MONTH(E714+6)))</f>
        <v/>
      </c>
      <c r="R714" s="22">
        <f>IFERROR(K714/P714, 0)</f>
        <v/>
      </c>
      <c r="S714" s="38">
        <f>IFERROR(N714/P714,0)</f>
        <v/>
      </c>
      <c r="T714" s="31">
        <f>IFERROR(IF(N714&gt;0,(N714/K714),MIN(1,M714/J714)),0)</f>
        <v/>
      </c>
      <c r="U714" s="33" t="n"/>
    </row>
    <row r="715" hidden="1" s="40">
      <c r="A715" s="23" t="inlineStr">
        <is>
          <t>Semana 4 - abril</t>
        </is>
      </c>
      <c r="B715" s="27">
        <f>YEAR(E715)</f>
        <v/>
      </c>
      <c r="C715" s="18">
        <f>INDEX({"Janeiro";"Fevereiro";"Março";"Abril";"Maio";"Junho";"Julho";"Agosto";"Setembro";"Outubro";"Novembro";"Dezembro"},Q715)</f>
        <v/>
      </c>
      <c r="D715" s="24" t="n">
        <v>4</v>
      </c>
      <c r="E715" s="25" t="n">
        <v>46132</v>
      </c>
      <c r="F715" s="23" t="inlineStr">
        <is>
          <t>Iogurte Grego Frutas vermelhas 120g</t>
        </is>
      </c>
      <c r="G715" s="23" t="inlineStr">
        <is>
          <t>IOGURTE</t>
        </is>
      </c>
      <c r="H715" s="26" t="n">
        <v>0.17</v>
      </c>
      <c r="I715" s="36" t="n">
        <v>0</v>
      </c>
      <c r="J715" s="21">
        <f>I715*H715</f>
        <v/>
      </c>
      <c r="K715" s="21">
        <f>IFERROR(IF(J715/P715&gt;1,P715,J715),0)</f>
        <v/>
      </c>
      <c r="L715" s="36" t="n">
        <v>0</v>
      </c>
      <c r="M715" s="21">
        <f>L715*H715</f>
        <v/>
      </c>
      <c r="N715" s="21">
        <f>IFERROR(IF(M715/K715&gt;1,K715,M715),0)</f>
        <v/>
      </c>
      <c r="O715" s="36" t="n">
        <v>0</v>
      </c>
      <c r="P715" s="21">
        <f>O715*H715</f>
        <v/>
      </c>
      <c r="Q715" s="30">
        <f>IF(MONTH(E715+1)=MONTH(E715+6),MONTH(E715+1),IF(MIN(EOMONTH(E715+1,0),E715+6)-(E715+1)+1&gt;=3,MONTH(E715+1),MONTH(E715+6)))</f>
        <v/>
      </c>
      <c r="R715" s="22">
        <f>IFERROR(K715/P715, 0)</f>
        <v/>
      </c>
      <c r="S715" s="38">
        <f>IFERROR(N715/P715,0)</f>
        <v/>
      </c>
      <c r="T715" s="31">
        <f>IFERROR(IF(N715&gt;0,(N715/K715),MIN(1,M715/J715)),0)</f>
        <v/>
      </c>
      <c r="U715" s="33" t="n"/>
    </row>
    <row r="716" hidden="1" s="40">
      <c r="A716" s="23" t="inlineStr">
        <is>
          <t>Semana 4 - abril</t>
        </is>
      </c>
      <c r="B716" s="27">
        <f>YEAR(E716)</f>
        <v/>
      </c>
      <c r="C716" s="18">
        <f>INDEX({"Janeiro";"Fevereiro";"Março";"Abril";"Maio";"Junho";"Julho";"Agosto";"Setembro";"Outubro";"Novembro";"Dezembro"},Q716)</f>
        <v/>
      </c>
      <c r="D716" s="24" t="n">
        <v>4</v>
      </c>
      <c r="E716" s="25" t="n">
        <v>46132</v>
      </c>
      <c r="F716" s="23" t="inlineStr">
        <is>
          <t>Iogurte Morango 120g</t>
        </is>
      </c>
      <c r="G716" s="23" t="inlineStr">
        <is>
          <t>IOGURTE</t>
        </is>
      </c>
      <c r="H716" s="26" t="n">
        <v>0.12</v>
      </c>
      <c r="I716" s="36" t="n">
        <v>25000</v>
      </c>
      <c r="J716" s="21">
        <f>I716*H716</f>
        <v/>
      </c>
      <c r="K716" s="21">
        <f>IFERROR(IF(J716/P716&gt;1,P716,J716),0)</f>
        <v/>
      </c>
      <c r="L716" s="36" t="n">
        <v>39661</v>
      </c>
      <c r="M716" s="21">
        <f>L716*H716</f>
        <v/>
      </c>
      <c r="N716" s="21">
        <f>IFERROR(IF(M716/K716&gt;1,K716,M716),0)</f>
        <v/>
      </c>
      <c r="O716" s="36" t="n">
        <v>38000</v>
      </c>
      <c r="P716" s="21">
        <f>O716*H716</f>
        <v/>
      </c>
      <c r="Q716" s="30">
        <f>IF(MONTH(E716+1)=MONTH(E716+6),MONTH(E716+1),IF(MIN(EOMONTH(E716+1,0),E716+6)-(E716+1)+1&gt;=3,MONTH(E716+1),MONTH(E716+6)))</f>
        <v/>
      </c>
      <c r="R716" s="22">
        <f>IFERROR(K716/P716, 0)</f>
        <v/>
      </c>
      <c r="S716" s="38">
        <f>IFERROR(N716/P716,0)</f>
        <v/>
      </c>
      <c r="T716" s="31">
        <f>IFERROR(IF(N716&gt;0,(N716/K716),MIN(1,M716/J716)),0)</f>
        <v/>
      </c>
      <c r="U716" s="33" t="n"/>
    </row>
    <row r="717" hidden="1" s="40">
      <c r="A717" s="18" t="inlineStr">
        <is>
          <t>Semana 4 - abril</t>
        </is>
      </c>
      <c r="B717" s="27">
        <f>YEAR(E717)</f>
        <v/>
      </c>
      <c r="C717" s="18">
        <f>INDEX({"Janeiro";"Fevereiro";"Março";"Abril";"Maio";"Junho";"Julho";"Agosto";"Setembro";"Outubro";"Novembro";"Dezembro"},Q717)</f>
        <v/>
      </c>
      <c r="D717" s="19" t="n">
        <v>4</v>
      </c>
      <c r="E717" s="20" t="n">
        <v>46132</v>
      </c>
      <c r="F717" s="18" t="inlineStr">
        <is>
          <t>Iogurte Morango 185g</t>
        </is>
      </c>
      <c r="G717" s="18" t="inlineStr">
        <is>
          <t>IOGURTE</t>
        </is>
      </c>
      <c r="H717" s="21" t="n">
        <v>0.185</v>
      </c>
      <c r="I717" s="36" t="n">
        <v>1300</v>
      </c>
      <c r="J717" s="21">
        <f>I717*H717</f>
        <v/>
      </c>
      <c r="K717" s="21">
        <f>IFERROR(IF(J717/P717&gt;1,P717,J717),0)</f>
        <v/>
      </c>
      <c r="L717" s="36" t="n">
        <v>1274</v>
      </c>
      <c r="M717" s="21">
        <f>L717*H717</f>
        <v/>
      </c>
      <c r="N717" s="21">
        <f>IFERROR(IF(M717/K717&gt;1,K717,M717),0)</f>
        <v/>
      </c>
      <c r="O717" s="36" t="n">
        <v>1300</v>
      </c>
      <c r="P717" s="21">
        <f>O717*H717</f>
        <v/>
      </c>
      <c r="Q717" s="30">
        <f>IF(MONTH(E717+1)=MONTH(E717+6),MONTH(E717+1),IF(MIN(EOMONTH(E717+1,0),E717+6)-(E717+1)+1&gt;=3,MONTH(E717+1),MONTH(E717+6)))</f>
        <v/>
      </c>
      <c r="R717" s="22">
        <f>IFERROR(K717/P717, 0)</f>
        <v/>
      </c>
      <c r="S717" s="38">
        <f>IFERROR(N717/P717,0)</f>
        <v/>
      </c>
      <c r="T717" s="31">
        <f>IFERROR(IF(N717&gt;0,(N717/K717),MIN(1,M717/J717)),0)</f>
        <v/>
      </c>
      <c r="U717" s="33" t="n"/>
    </row>
    <row r="718" hidden="1" s="40">
      <c r="A718" s="23" t="inlineStr">
        <is>
          <t>Semana 4 - abril</t>
        </is>
      </c>
      <c r="B718" s="27">
        <f>YEAR(E718)</f>
        <v/>
      </c>
      <c r="C718" s="18">
        <f>INDEX({"Janeiro";"Fevereiro";"Março";"Abril";"Maio";"Junho";"Julho";"Agosto";"Setembro";"Outubro";"Novembro";"Dezembro"},Q718)</f>
        <v/>
      </c>
      <c r="D718" s="24" t="n">
        <v>4</v>
      </c>
      <c r="E718" s="25" t="n">
        <v>46132</v>
      </c>
      <c r="F718" s="23" t="inlineStr">
        <is>
          <t>Iogurte Morango 900G</t>
        </is>
      </c>
      <c r="G718" s="23" t="inlineStr">
        <is>
          <t>IOGURTE</t>
        </is>
      </c>
      <c r="H718" s="26" t="n">
        <v>0.9</v>
      </c>
      <c r="I718" s="36" t="n">
        <v>5130</v>
      </c>
      <c r="J718" s="21">
        <f>I718*H718</f>
        <v/>
      </c>
      <c r="K718" s="21">
        <f>IFERROR(IF(J718/P718&gt;1,P718,J718),0)</f>
        <v/>
      </c>
      <c r="L718" s="36" t="n">
        <v>8433</v>
      </c>
      <c r="M718" s="21">
        <f>L718*H718</f>
        <v/>
      </c>
      <c r="N718" s="21">
        <f>IFERROR(IF(M718/K718&gt;1,K718,M718),0)</f>
        <v/>
      </c>
      <c r="O718" s="36" t="n">
        <v>7800</v>
      </c>
      <c r="P718" s="21">
        <f>O718*H718</f>
        <v/>
      </c>
      <c r="Q718" s="30">
        <f>IF(MONTH(E718+1)=MONTH(E718+6),MONTH(E718+1),IF(MIN(EOMONTH(E718+1,0),E718+6)-(E718+1)+1&gt;=3,MONTH(E718+1),MONTH(E718+6)))</f>
        <v/>
      </c>
      <c r="R718" s="22">
        <f>IFERROR(K718/P718, 0)</f>
        <v/>
      </c>
      <c r="S718" s="38">
        <f>IFERROR(N718/P718,0)</f>
        <v/>
      </c>
      <c r="T718" s="31">
        <f>IFERROR(IF(N718&gt;0,(N718/K718),MIN(1,M718/J718)),0)</f>
        <v/>
      </c>
      <c r="U718" s="33" t="n"/>
    </row>
    <row r="719" hidden="1" s="40">
      <c r="A719" s="18" t="inlineStr">
        <is>
          <t>Semana 4 - abril</t>
        </is>
      </c>
      <c r="B719" s="27">
        <f>YEAR(E719)</f>
        <v/>
      </c>
      <c r="C719" s="18">
        <f>INDEX({"Janeiro";"Fevereiro";"Março";"Abril";"Maio";"Junho";"Julho";"Agosto";"Setembro";"Outubro";"Novembro";"Dezembro"},Q719)</f>
        <v/>
      </c>
      <c r="D719" s="19" t="n">
        <v>4</v>
      </c>
      <c r="E719" s="20" t="n">
        <v>46132</v>
      </c>
      <c r="F719" s="18" t="inlineStr">
        <is>
          <t>Iogurte Natural Integral 170g</t>
        </is>
      </c>
      <c r="G719" s="18" t="inlineStr">
        <is>
          <t>IOGURTE</t>
        </is>
      </c>
      <c r="H719" s="21" t="n">
        <v>0.17</v>
      </c>
      <c r="I719" s="36" t="n">
        <v>3820</v>
      </c>
      <c r="J719" s="21">
        <f>I719*H719</f>
        <v/>
      </c>
      <c r="K719" s="21">
        <f>IFERROR(IF(J719/P719&gt;1,P719,J719),0)</f>
        <v/>
      </c>
      <c r="L719" s="36" t="n">
        <v>3584</v>
      </c>
      <c r="M719" s="21">
        <f>L719*H719</f>
        <v/>
      </c>
      <c r="N719" s="21">
        <f>IFERROR(IF(M719/K719&gt;1,K719,M719),0)</f>
        <v/>
      </c>
      <c r="O719" s="36" t="n">
        <v>3800</v>
      </c>
      <c r="P719" s="21">
        <f>O719*H719</f>
        <v/>
      </c>
      <c r="Q719" s="30">
        <f>IF(MONTH(E719+1)=MONTH(E719+6),MONTH(E719+1),IF(MIN(EOMONTH(E719+1,0),E719+6)-(E719+1)+1&gt;=3,MONTH(E719+1),MONTH(E719+6)))</f>
        <v/>
      </c>
      <c r="R719" s="22">
        <f>IFERROR(K719/P719, 0)</f>
        <v/>
      </c>
      <c r="S719" s="38">
        <f>IFERROR(N719/P719,0)</f>
        <v/>
      </c>
      <c r="T719" s="31">
        <f>IFERROR(IF(N719&gt;0,(N719/K719),MIN(1,M719/J719)),0)</f>
        <v/>
      </c>
      <c r="U719" s="33" t="n"/>
    </row>
    <row r="720" hidden="1" s="40">
      <c r="A720" s="23" t="inlineStr">
        <is>
          <t>Semana 4 - abril</t>
        </is>
      </c>
      <c r="B720" s="27">
        <f>YEAR(E720)</f>
        <v/>
      </c>
      <c r="C720" s="18">
        <f>INDEX({"Janeiro";"Fevereiro";"Março";"Abril";"Maio";"Junho";"Julho";"Agosto";"Setembro";"Outubro";"Novembro";"Dezembro"},Q720)</f>
        <v/>
      </c>
      <c r="D720" s="24" t="n">
        <v>4</v>
      </c>
      <c r="E720" s="25" t="n">
        <v>46132</v>
      </c>
      <c r="F720" s="23" t="inlineStr">
        <is>
          <t>Iogurte Natural Triplo Zero 170g</t>
        </is>
      </c>
      <c r="G720" s="23" t="inlineStr">
        <is>
          <t>IOGURTE</t>
        </is>
      </c>
      <c r="H720" s="26" t="n">
        <v>0.17</v>
      </c>
      <c r="I720" s="36" t="n">
        <v>3820</v>
      </c>
      <c r="J720" s="21">
        <f>I720*H720</f>
        <v/>
      </c>
      <c r="K720" s="21">
        <f>IFERROR(IF(J720/P720&gt;1,P720,J720),0)</f>
        <v/>
      </c>
      <c r="L720" s="36" t="n">
        <v>3500</v>
      </c>
      <c r="M720" s="21">
        <f>L720*H720</f>
        <v/>
      </c>
      <c r="N720" s="21">
        <f>IFERROR(IF(M720/K720&gt;1,K720,M720),0)</f>
        <v/>
      </c>
      <c r="O720" s="36" t="n">
        <v>3800</v>
      </c>
      <c r="P720" s="21">
        <f>O720*H720</f>
        <v/>
      </c>
      <c r="Q720" s="30">
        <f>IF(MONTH(E720+1)=MONTH(E720+6),MONTH(E720+1),IF(MIN(EOMONTH(E720+1,0),E720+6)-(E720+1)+1&gt;=3,MONTH(E720+1),MONTH(E720+6)))</f>
        <v/>
      </c>
      <c r="R720" s="22">
        <f>IFERROR(K720/P720, 0)</f>
        <v/>
      </c>
      <c r="S720" s="38">
        <f>IFERROR(N720/P720,0)</f>
        <v/>
      </c>
      <c r="T720" s="31">
        <f>IFERROR(IF(N720&gt;0,(N720/K720),MIN(1,M720/J720)),0)</f>
        <v/>
      </c>
      <c r="U720" s="33" t="n"/>
    </row>
    <row r="721" hidden="1" s="40">
      <c r="A721" s="23" t="inlineStr">
        <is>
          <t>Semana 4 - abril</t>
        </is>
      </c>
      <c r="B721" s="27">
        <f>YEAR(E721)</f>
        <v/>
      </c>
      <c r="C721" s="18">
        <f>INDEX({"Janeiro";"Fevereiro";"Março";"Abril";"Maio";"Junho";"Julho";"Agosto";"Setembro";"Outubro";"Novembro";"Dezembro"},Q721)</f>
        <v/>
      </c>
      <c r="D721" s="24" t="n">
        <v>4</v>
      </c>
      <c r="E721" s="25" t="n">
        <v>46132</v>
      </c>
      <c r="F721" s="23" t="inlineStr">
        <is>
          <t>Iogurte Salada 120g</t>
        </is>
      </c>
      <c r="G721" s="23" t="inlineStr">
        <is>
          <t>IOGURTE</t>
        </is>
      </c>
      <c r="H721" s="26" t="n">
        <v>0.12</v>
      </c>
      <c r="I721" s="36" t="n">
        <v>3000</v>
      </c>
      <c r="J721" s="21">
        <f>I721*H721</f>
        <v/>
      </c>
      <c r="K721" s="21">
        <f>IFERROR(IF(J721/P721&gt;1,P721,J721),0)</f>
        <v/>
      </c>
      <c r="L721" s="36" t="n">
        <v>3095</v>
      </c>
      <c r="M721" s="21">
        <f>L721*H721</f>
        <v/>
      </c>
      <c r="N721" s="21">
        <f>IFERROR(IF(M721/K721&gt;1,K721,M721),0)</f>
        <v/>
      </c>
      <c r="O721" s="36" t="n">
        <v>2000</v>
      </c>
      <c r="P721" s="21">
        <f>O721*H721</f>
        <v/>
      </c>
      <c r="Q721" s="30">
        <f>IF(MONTH(E721+1)=MONTH(E721+6),MONTH(E721+1),IF(MIN(EOMONTH(E721+1,0),E721+6)-(E721+1)+1&gt;=3,MONTH(E721+1),MONTH(E721+6)))</f>
        <v/>
      </c>
      <c r="R721" s="22">
        <f>IFERROR(K721/P721, 0)</f>
        <v/>
      </c>
      <c r="S721" s="38">
        <f>IFERROR(N721/P721,0)</f>
        <v/>
      </c>
      <c r="T721" s="31">
        <f>IFERROR(IF(N721&gt;0,(N721/K721),MIN(1,M721/J721)),0)</f>
        <v/>
      </c>
      <c r="U721" s="33" t="n"/>
    </row>
    <row r="722" hidden="1" s="40">
      <c r="A722" s="18" t="inlineStr">
        <is>
          <t>Semana 4 - abril</t>
        </is>
      </c>
      <c r="B722" s="27">
        <f>YEAR(E722)</f>
        <v/>
      </c>
      <c r="C722" s="18">
        <f>INDEX({"Janeiro";"Fevereiro";"Março";"Abril";"Maio";"Junho";"Julho";"Agosto";"Setembro";"Outubro";"Novembro";"Dezembro"},Q722)</f>
        <v/>
      </c>
      <c r="D722" s="19" t="n">
        <v>4</v>
      </c>
      <c r="E722" s="20" t="n">
        <v>46132</v>
      </c>
      <c r="F722" s="18" t="inlineStr">
        <is>
          <t>Iogurte Salada 185g</t>
        </is>
      </c>
      <c r="G722" s="18" t="inlineStr">
        <is>
          <t>IOGURTE</t>
        </is>
      </c>
      <c r="H722" s="21" t="n">
        <v>0.185</v>
      </c>
      <c r="I722" s="36" t="n">
        <v>520</v>
      </c>
      <c r="J722" s="21">
        <f>I722*H722</f>
        <v/>
      </c>
      <c r="K722" s="21">
        <f>IFERROR(IF(J722/P722&gt;1,P722,J722),0)</f>
        <v/>
      </c>
      <c r="L722" s="36" t="n">
        <v>0</v>
      </c>
      <c r="M722" s="21">
        <f>L722*H722</f>
        <v/>
      </c>
      <c r="N722" s="21">
        <f>IFERROR(IF(M722/K722&gt;1,K722,M722),0)</f>
        <v/>
      </c>
      <c r="O722" s="36" t="n">
        <v>520</v>
      </c>
      <c r="P722" s="21">
        <f>O722*H722</f>
        <v/>
      </c>
      <c r="Q722" s="30">
        <f>IF(MONTH(E722+1)=MONTH(E722+6),MONTH(E722+1),IF(MIN(EOMONTH(E722+1,0),E722+6)-(E722+1)+1&gt;=3,MONTH(E722+1),MONTH(E722+6)))</f>
        <v/>
      </c>
      <c r="R722" s="22">
        <f>IFERROR(K722/P722, 0)</f>
        <v/>
      </c>
      <c r="S722" s="38">
        <f>IFERROR(N722/P722,0)</f>
        <v/>
      </c>
      <c r="T722" s="31">
        <f>IFERROR(IF(N722&gt;0,(N722/K722),MIN(1,M722/J722)),0)</f>
        <v/>
      </c>
      <c r="U722" s="33" t="n"/>
    </row>
    <row r="723" hidden="1" s="40">
      <c r="A723" s="23" t="inlineStr">
        <is>
          <t>Semana 4 - abril</t>
        </is>
      </c>
      <c r="B723" s="27">
        <f>YEAR(E723)</f>
        <v/>
      </c>
      <c r="C723" s="18">
        <f>INDEX({"Janeiro";"Fevereiro";"Março";"Abril";"Maio";"Junho";"Julho";"Agosto";"Setembro";"Outubro";"Novembro";"Dezembro"},Q723)</f>
        <v/>
      </c>
      <c r="D723" s="24" t="n">
        <v>4</v>
      </c>
      <c r="E723" s="25" t="n">
        <v>46132</v>
      </c>
      <c r="F723" s="23" t="inlineStr">
        <is>
          <t>Iogurte Salada 900g</t>
        </is>
      </c>
      <c r="G723" s="23" t="inlineStr">
        <is>
          <t>IOGURTE</t>
        </is>
      </c>
      <c r="H723" s="26" t="n">
        <v>0.9</v>
      </c>
      <c r="I723" s="36" t="n">
        <v>2250</v>
      </c>
      <c r="J723" s="21">
        <f>I723*H723</f>
        <v/>
      </c>
      <c r="K723" s="21">
        <f>IFERROR(IF(J723/P723&gt;1,P723,J723),0)</f>
        <v/>
      </c>
      <c r="L723" s="36" t="n">
        <v>2217</v>
      </c>
      <c r="M723" s="21">
        <f>L723*H723</f>
        <v/>
      </c>
      <c r="N723" s="21">
        <f>IFERROR(IF(M723/K723&gt;1,K723,M723),0)</f>
        <v/>
      </c>
      <c r="O723" s="36" t="n">
        <v>1250</v>
      </c>
      <c r="P723" s="21">
        <f>O723*H723</f>
        <v/>
      </c>
      <c r="Q723" s="30">
        <f>IF(MONTH(E723+1)=MONTH(E723+6),MONTH(E723+1),IF(MIN(EOMONTH(E723+1,0),E723+6)-(E723+1)+1&gt;=3,MONTH(E723+1),MONTH(E723+6)))</f>
        <v/>
      </c>
      <c r="R723" s="22">
        <f>IFERROR(K723/P723, 0)</f>
        <v/>
      </c>
      <c r="S723" s="38">
        <f>IFERROR(N723/P723,0)</f>
        <v/>
      </c>
      <c r="T723" s="31">
        <f>IFERROR(IF(N723&gt;0,(N723/K723),MIN(1,M723/J723)),0)</f>
        <v/>
      </c>
      <c r="U723" s="33" t="n"/>
    </row>
    <row r="724" hidden="1" s="40">
      <c r="A724" s="18" t="inlineStr">
        <is>
          <t>Semana 4 - abril</t>
        </is>
      </c>
      <c r="B724" s="27">
        <f>YEAR(E724)</f>
        <v/>
      </c>
      <c r="C724" s="18">
        <f>INDEX({"Janeiro";"Fevereiro";"Março";"Abril";"Maio";"Junho";"Julho";"Agosto";"Setembro";"Outubro";"Novembro";"Dezembro"},Q724)</f>
        <v/>
      </c>
      <c r="D724" s="19" t="n">
        <v>4</v>
      </c>
      <c r="E724" s="20" t="n">
        <v>46132</v>
      </c>
      <c r="F724" s="18" t="inlineStr">
        <is>
          <t>Iogurte Vida Leve Ameixa c/ Grãos 180g</t>
        </is>
      </c>
      <c r="G724" s="18" t="inlineStr">
        <is>
          <t>IOGURTE</t>
        </is>
      </c>
      <c r="H724" s="21" t="n">
        <v>0.18</v>
      </c>
      <c r="I724" s="36" t="n">
        <v>1100</v>
      </c>
      <c r="J724" s="21">
        <f>I724*H724</f>
        <v/>
      </c>
      <c r="K724" s="21">
        <f>IFERROR(IF(J724/P724&gt;1,P724,J724),0)</f>
        <v/>
      </c>
      <c r="L724" s="36" t="n">
        <v>0</v>
      </c>
      <c r="M724" s="21">
        <f>L724*H724</f>
        <v/>
      </c>
      <c r="N724" s="21">
        <f>IFERROR(IF(M724/K724&gt;1,K724,M724),0)</f>
        <v/>
      </c>
      <c r="O724" s="36" t="n">
        <v>600</v>
      </c>
      <c r="P724" s="21">
        <f>O724*H724</f>
        <v/>
      </c>
      <c r="Q724" s="30">
        <f>IF(MONTH(E724+1)=MONTH(E724+6),MONTH(E724+1),IF(MIN(EOMONTH(E724+1,0),E724+6)-(E724+1)+1&gt;=3,MONTH(E724+1),MONTH(E724+6)))</f>
        <v/>
      </c>
      <c r="R724" s="22">
        <f>IFERROR(K724/P724, 0)</f>
        <v/>
      </c>
      <c r="S724" s="38">
        <f>IFERROR(N724/P724,0)</f>
        <v/>
      </c>
      <c r="T724" s="31">
        <f>IFERROR(IF(N724&gt;0,(N724/K724),MIN(1,M724/J724)),0)</f>
        <v/>
      </c>
      <c r="U724" s="33" t="n"/>
    </row>
    <row r="725" hidden="1" s="40">
      <c r="A725" s="23" t="inlineStr">
        <is>
          <t>Semana 4 - abril</t>
        </is>
      </c>
      <c r="B725" s="27">
        <f>YEAR(E725)</f>
        <v/>
      </c>
      <c r="C725" s="18">
        <f>INDEX({"Janeiro";"Fevereiro";"Março";"Abril";"Maio";"Junho";"Julho";"Agosto";"Setembro";"Outubro";"Novembro";"Dezembro"},Q725)</f>
        <v/>
      </c>
      <c r="D725" s="24" t="n">
        <v>4</v>
      </c>
      <c r="E725" s="25" t="n">
        <v>46132</v>
      </c>
      <c r="F725" s="23" t="inlineStr">
        <is>
          <t>Iogurte Vida Leve Ameixa c/ Grãos 500g</t>
        </is>
      </c>
      <c r="G725" s="23" t="inlineStr">
        <is>
          <t>IOGURTE</t>
        </is>
      </c>
      <c r="H725" s="26" t="n">
        <v>0.5</v>
      </c>
      <c r="I725" s="36" t="n">
        <v>1300</v>
      </c>
      <c r="J725" s="21">
        <f>I725*H725</f>
        <v/>
      </c>
      <c r="K725" s="21">
        <f>IFERROR(IF(J725/P725&gt;1,P725,J725),0)</f>
        <v/>
      </c>
      <c r="L725" s="36" t="n">
        <v>0</v>
      </c>
      <c r="M725" s="21">
        <f>L725*H725</f>
        <v/>
      </c>
      <c r="N725" s="21">
        <f>IFERROR(IF(M725/K725&gt;1,K725,M725),0)</f>
        <v/>
      </c>
      <c r="O725" s="36" t="n">
        <v>800</v>
      </c>
      <c r="P725" s="21">
        <f>O725*H725</f>
        <v/>
      </c>
      <c r="Q725" s="30">
        <f>IF(MONTH(E725+1)=MONTH(E725+6),MONTH(E725+1),IF(MIN(EOMONTH(E725+1,0),E725+6)-(E725+1)+1&gt;=3,MONTH(E725+1),MONTH(E725+6)))</f>
        <v/>
      </c>
      <c r="R725" s="22">
        <f>IFERROR(K725/P725, 0)</f>
        <v/>
      </c>
      <c r="S725" s="38">
        <f>IFERROR(N725/P725,0)</f>
        <v/>
      </c>
      <c r="T725" s="31">
        <f>IFERROR(IF(N725&gt;0,(N725/K725),MIN(1,M725/J725)),0)</f>
        <v/>
      </c>
      <c r="U725" s="33" t="n"/>
    </row>
    <row r="726" hidden="1" s="40">
      <c r="A726" s="18" t="inlineStr">
        <is>
          <t>Semana 4 - abril</t>
        </is>
      </c>
      <c r="B726" s="27">
        <f>YEAR(E726)</f>
        <v/>
      </c>
      <c r="C726" s="18">
        <f>INDEX({"Janeiro";"Fevereiro";"Março";"Abril";"Maio";"Junho";"Julho";"Agosto";"Setembro";"Outubro";"Novembro";"Dezembro"},Q726)</f>
        <v/>
      </c>
      <c r="D726" s="19" t="n">
        <v>4</v>
      </c>
      <c r="E726" s="20" t="n">
        <v>46132</v>
      </c>
      <c r="F726" s="18" t="inlineStr">
        <is>
          <t>Iogurte Vida Leve Morango 180g</t>
        </is>
      </c>
      <c r="G726" s="18" t="inlineStr">
        <is>
          <t>IOGURTE</t>
        </is>
      </c>
      <c r="H726" s="21" t="n">
        <v>0.185</v>
      </c>
      <c r="I726" s="36" t="n">
        <v>1800</v>
      </c>
      <c r="J726" s="21">
        <f>I726*H726</f>
        <v/>
      </c>
      <c r="K726" s="21">
        <f>IFERROR(IF(J726/P726&gt;1,P726,J726),0)</f>
        <v/>
      </c>
      <c r="L726" s="36" t="n">
        <v>0</v>
      </c>
      <c r="M726" s="21">
        <f>L726*H726</f>
        <v/>
      </c>
      <c r="N726" s="21">
        <f>IFERROR(IF(M726/K726&gt;1,K726,M726),0)</f>
        <v/>
      </c>
      <c r="O726" s="36" t="n">
        <v>1200</v>
      </c>
      <c r="P726" s="21">
        <f>O726*H726</f>
        <v/>
      </c>
      <c r="Q726" s="30">
        <f>IF(MONTH(E726+1)=MONTH(E726+6),MONTH(E726+1),IF(MIN(EOMONTH(E726+1,0),E726+6)-(E726+1)+1&gt;=3,MONTH(E726+1),MONTH(E726+6)))</f>
        <v/>
      </c>
      <c r="R726" s="22">
        <f>IFERROR(K726/P726, 0)</f>
        <v/>
      </c>
      <c r="S726" s="38">
        <f>IFERROR(N726/P726,0)</f>
        <v/>
      </c>
      <c r="T726" s="31">
        <f>IFERROR(IF(N726&gt;0,(N726/K726),MIN(1,M726/J726)),0)</f>
        <v/>
      </c>
      <c r="U726" s="33" t="n"/>
    </row>
    <row r="727" hidden="1" s="40">
      <c r="A727" s="23" t="inlineStr">
        <is>
          <t>Semana 4 - abril</t>
        </is>
      </c>
      <c r="B727" s="27">
        <f>YEAR(E727)</f>
        <v/>
      </c>
      <c r="C727" s="18">
        <f>INDEX({"Janeiro";"Fevereiro";"Março";"Abril";"Maio";"Junho";"Julho";"Agosto";"Setembro";"Outubro";"Novembro";"Dezembro"},Q727)</f>
        <v/>
      </c>
      <c r="D727" s="24" t="n">
        <v>4</v>
      </c>
      <c r="E727" s="25" t="n">
        <v>46132</v>
      </c>
      <c r="F727" s="23" t="inlineStr">
        <is>
          <t>Iogurte Vida Leve Morango 500g</t>
        </is>
      </c>
      <c r="G727" s="23" t="inlineStr">
        <is>
          <t>IOGURTE</t>
        </is>
      </c>
      <c r="H727" s="26" t="n">
        <v>0.5</v>
      </c>
      <c r="I727" s="36" t="n">
        <v>2500</v>
      </c>
      <c r="J727" s="21">
        <f>I727*H727</f>
        <v/>
      </c>
      <c r="K727" s="21">
        <f>IFERROR(IF(J727/P727&gt;1,P727,J727),0)</f>
        <v/>
      </c>
      <c r="L727" s="36" t="n">
        <v>0</v>
      </c>
      <c r="M727" s="21">
        <f>L727*H727</f>
        <v/>
      </c>
      <c r="N727" s="21">
        <f>IFERROR(IF(M727/K727&gt;1,K727,M727),0)</f>
        <v/>
      </c>
      <c r="O727" s="36" t="n">
        <v>2000</v>
      </c>
      <c r="P727" s="21">
        <f>O727*H727</f>
        <v/>
      </c>
      <c r="Q727" s="30">
        <f>IF(MONTH(E727+1)=MONTH(E727+6),MONTH(E727+1),IF(MIN(EOMONTH(E727+1,0),E727+6)-(E727+1)+1&gt;=3,MONTH(E727+1),MONTH(E727+6)))</f>
        <v/>
      </c>
      <c r="R727" s="22">
        <f>IFERROR(K727/P727, 0)</f>
        <v/>
      </c>
      <c r="S727" s="38">
        <f>IFERROR(N727/P727,0)</f>
        <v/>
      </c>
      <c r="T727" s="31">
        <f>IFERROR(IF(N727&gt;0,(N727/K727),MIN(1,M727/J727)),0)</f>
        <v/>
      </c>
      <c r="U727" s="33" t="n"/>
    </row>
    <row r="728" hidden="1" s="40">
      <c r="A728" s="18" t="inlineStr">
        <is>
          <t>Semana 4 - abril</t>
        </is>
      </c>
      <c r="B728" s="27">
        <f>YEAR(E728)</f>
        <v/>
      </c>
      <c r="C728" s="18">
        <f>INDEX({"Janeiro";"Fevereiro";"Março";"Abril";"Maio";"Junho";"Julho";"Agosto";"Setembro";"Outubro";"Novembro";"Dezembro"},Q728)</f>
        <v/>
      </c>
      <c r="D728" s="19" t="n">
        <v>4</v>
      </c>
      <c r="E728" s="20" t="n">
        <v>46132</v>
      </c>
      <c r="F728" s="18" t="inlineStr">
        <is>
          <t>LEITE PASTEURIZADO VIÇOSA DESNATADO</t>
        </is>
      </c>
      <c r="G728" s="18" t="inlineStr">
        <is>
          <t>LEITE PAST.</t>
        </is>
      </c>
      <c r="H728" s="21" t="n">
        <v>1</v>
      </c>
      <c r="I728" s="36" t="n">
        <v>700</v>
      </c>
      <c r="J728" s="21">
        <f>I728*H728</f>
        <v/>
      </c>
      <c r="K728" s="21">
        <f>IFERROR(IF(J728/P728&gt;1,P728,J728),0)</f>
        <v/>
      </c>
      <c r="L728" s="36" t="n">
        <v>730</v>
      </c>
      <c r="M728" s="21">
        <f>L728*H728</f>
        <v/>
      </c>
      <c r="N728" s="21">
        <f>IFERROR(IF(M728/K728&gt;1,K728,M728),0)</f>
        <v/>
      </c>
      <c r="O728" s="36" t="n">
        <v>700</v>
      </c>
      <c r="P728" s="21">
        <f>O728*H728</f>
        <v/>
      </c>
      <c r="Q728" s="30">
        <f>IF(MONTH(E728+1)=MONTH(E728+6),MONTH(E728+1),IF(MIN(EOMONTH(E728+1,0),E728+6)-(E728+1)+1&gt;=3,MONTH(E728+1),MONTH(E728+6)))</f>
        <v/>
      </c>
      <c r="R728" s="22">
        <f>IFERROR(K728/P728, 0)</f>
        <v/>
      </c>
      <c r="S728" s="38">
        <f>IFERROR(N728/P728,0)</f>
        <v/>
      </c>
      <c r="T728" s="31">
        <f>IFERROR(IF(N728&gt;0,(N728/K728),MIN(1,M728/J728)),0)</f>
        <v/>
      </c>
      <c r="U728" s="33" t="n"/>
    </row>
    <row r="729" hidden="1" s="40">
      <c r="A729" s="23" t="inlineStr">
        <is>
          <t>Semana 4 - abril</t>
        </is>
      </c>
      <c r="B729" s="27">
        <f>YEAR(E729)</f>
        <v/>
      </c>
      <c r="C729" s="18">
        <f>INDEX({"Janeiro";"Fevereiro";"Março";"Abril";"Maio";"Junho";"Julho";"Agosto";"Setembro";"Outubro";"Novembro";"Dezembro"},Q729)</f>
        <v/>
      </c>
      <c r="D729" s="24" t="n">
        <v>4</v>
      </c>
      <c r="E729" s="25" t="n">
        <v>46132</v>
      </c>
      <c r="F729" s="23" t="inlineStr">
        <is>
          <t>LEITE PASTEURIZADO VIÇOSA INTEGRAL</t>
        </is>
      </c>
      <c r="G729" s="23" t="inlineStr">
        <is>
          <t>LEITE PAST.</t>
        </is>
      </c>
      <c r="H729" s="26" t="n">
        <v>1</v>
      </c>
      <c r="I729" s="36" t="n">
        <v>17300</v>
      </c>
      <c r="J729" s="21">
        <f>I729*H729</f>
        <v/>
      </c>
      <c r="K729" s="21">
        <f>IFERROR(IF(J729/P729&gt;1,P729,J729),0)</f>
        <v/>
      </c>
      <c r="L729" s="36" t="n">
        <v>17182</v>
      </c>
      <c r="M729" s="21">
        <f>L729*H729</f>
        <v/>
      </c>
      <c r="N729" s="21">
        <f>IFERROR(IF(M729/K729&gt;1,K729,M729),0)</f>
        <v/>
      </c>
      <c r="O729" s="36" t="n">
        <v>17300</v>
      </c>
      <c r="P729" s="21">
        <f>O729*H729</f>
        <v/>
      </c>
      <c r="Q729" s="30">
        <f>IF(MONTH(E729+1)=MONTH(E729+6),MONTH(E729+1),IF(MIN(EOMONTH(E729+1,0),E729+6)-(E729+1)+1&gt;=3,MONTH(E729+1),MONTH(E729+6)))</f>
        <v/>
      </c>
      <c r="R729" s="22">
        <f>IFERROR(K729/P729, 0)</f>
        <v/>
      </c>
      <c r="S729" s="38">
        <f>IFERROR(N729/P729,0)</f>
        <v/>
      </c>
      <c r="T729" s="31">
        <f>IFERROR(IF(N729&gt;0,(N729/K729),MIN(1,M729/J729)),0)</f>
        <v/>
      </c>
      <c r="U729" s="33" t="n"/>
    </row>
    <row r="730" hidden="1" s="40">
      <c r="A730" s="18" t="inlineStr">
        <is>
          <t>Semana 4 - abril</t>
        </is>
      </c>
      <c r="B730" s="27">
        <f>YEAR(E730)</f>
        <v/>
      </c>
      <c r="C730" s="18">
        <f>INDEX({"Janeiro";"Fevereiro";"Março";"Abril";"Maio";"Junho";"Julho";"Agosto";"Setembro";"Outubro";"Novembro";"Dezembro"},Q730)</f>
        <v/>
      </c>
      <c r="D730" s="19" t="n">
        <v>4</v>
      </c>
      <c r="E730" s="20" t="n">
        <v>46132</v>
      </c>
      <c r="F730" s="18" t="inlineStr">
        <is>
          <t>LEITE PASTEURIZADO VIÇOSA ZERO LACTOSE INTEGRAL 1 L</t>
        </is>
      </c>
      <c r="G730" s="18" t="inlineStr">
        <is>
          <t>LEITE PAST.</t>
        </is>
      </c>
      <c r="H730" s="21" t="n">
        <v>1</v>
      </c>
      <c r="I730" s="36" t="n">
        <v>800</v>
      </c>
      <c r="J730" s="21">
        <f>I730*H730</f>
        <v/>
      </c>
      <c r="K730" s="21">
        <f>IFERROR(IF(J730/P730&gt;1,P730,J730),0)</f>
        <v/>
      </c>
      <c r="L730" s="36" t="n">
        <v>823</v>
      </c>
      <c r="M730" s="21">
        <f>L730*H730</f>
        <v/>
      </c>
      <c r="N730" s="21">
        <f>IFERROR(IF(M730/K730&gt;1,K730,M730),0)</f>
        <v/>
      </c>
      <c r="O730" s="36" t="n">
        <v>800</v>
      </c>
      <c r="P730" s="21">
        <f>O730*H730</f>
        <v/>
      </c>
      <c r="Q730" s="30">
        <f>IF(MONTH(E730+1)=MONTH(E730+6),MONTH(E730+1),IF(MIN(EOMONTH(E730+1,0),E730+6)-(E730+1)+1&gt;=3,MONTH(E730+1),MONTH(E730+6)))</f>
        <v/>
      </c>
      <c r="R730" s="22">
        <f>IFERROR(K730/P730, 0)</f>
        <v/>
      </c>
      <c r="S730" s="38">
        <f>IFERROR(N730/P730,0)</f>
        <v/>
      </c>
      <c r="T730" s="31">
        <f>IFERROR(IF(N730&gt;0,(N730/K730),MIN(1,M730/J730)),0)</f>
        <v/>
      </c>
      <c r="U730" s="33" t="n"/>
    </row>
    <row r="731" hidden="1" s="40">
      <c r="A731" s="23" t="inlineStr">
        <is>
          <t>Semana 4 - abril</t>
        </is>
      </c>
      <c r="B731" s="27">
        <f>YEAR(E731)</f>
        <v/>
      </c>
      <c r="C731" s="18">
        <f>INDEX({"Janeiro";"Fevereiro";"Março";"Abril";"Maio";"Junho";"Julho";"Agosto";"Setembro";"Outubro";"Novembro";"Dezembro"},Q731)</f>
        <v/>
      </c>
      <c r="D731" s="24" t="n">
        <v>4</v>
      </c>
      <c r="E731" s="25" t="n">
        <v>46132</v>
      </c>
      <c r="F731" s="23" t="inlineStr">
        <is>
          <t>Manteiga 200g</t>
        </is>
      </c>
      <c r="G731" s="23" t="inlineStr">
        <is>
          <t>MANTEIGA</t>
        </is>
      </c>
      <c r="H731" s="26" t="n">
        <v>0.2</v>
      </c>
      <c r="I731" s="36" t="n">
        <v>2500</v>
      </c>
      <c r="J731" s="21">
        <f>I731*H731</f>
        <v/>
      </c>
      <c r="K731" s="21">
        <f>IFERROR(IF(J731/P731&gt;1,P731,J731),0)</f>
        <v/>
      </c>
      <c r="L731" s="36" t="n">
        <v>2384</v>
      </c>
      <c r="M731" s="21">
        <f>L731*H731</f>
        <v/>
      </c>
      <c r="N731" s="21">
        <f>IFERROR(IF(M731/K731&gt;1,K731,M731),0)</f>
        <v/>
      </c>
      <c r="O731" s="36" t="n">
        <v>2500</v>
      </c>
      <c r="P731" s="21">
        <f>O731*H731</f>
        <v/>
      </c>
      <c r="Q731" s="30">
        <f>IF(MONTH(E731+1)=MONTH(E731+6),MONTH(E731+1),IF(MIN(EOMONTH(E731+1,0),E731+6)-(E731+1)+1&gt;=3,MONTH(E731+1),MONTH(E731+6)))</f>
        <v/>
      </c>
      <c r="R731" s="22">
        <f>IFERROR(K731/P731, 0)</f>
        <v/>
      </c>
      <c r="S731" s="38">
        <f>IFERROR(N731/P731,0)</f>
        <v/>
      </c>
      <c r="T731" s="31">
        <f>IFERROR(IF(N731&gt;0,(N731/K731),MIN(1,M731/J731)),0)</f>
        <v/>
      </c>
      <c r="U731" s="33" t="n"/>
    </row>
    <row r="732" hidden="1" s="40">
      <c r="A732" s="18" t="inlineStr">
        <is>
          <t>Semana 4 - abril</t>
        </is>
      </c>
      <c r="B732" s="27">
        <f>YEAR(E732)</f>
        <v/>
      </c>
      <c r="C732" s="18">
        <f>INDEX({"Janeiro";"Fevereiro";"Março";"Abril";"Maio";"Junho";"Julho";"Agosto";"Setembro";"Outubro";"Novembro";"Dezembro"},Q732)</f>
        <v/>
      </c>
      <c r="D732" s="19" t="n">
        <v>4</v>
      </c>
      <c r="E732" s="20" t="n">
        <v>46132</v>
      </c>
      <c r="F732" s="18" t="inlineStr">
        <is>
          <t>Manteiga 500g</t>
        </is>
      </c>
      <c r="G732" s="18" t="inlineStr">
        <is>
          <t>MANTEIGA</t>
        </is>
      </c>
      <c r="H732" s="21" t="n">
        <v>0.5</v>
      </c>
      <c r="I732" s="36" t="n">
        <v>550</v>
      </c>
      <c r="J732" s="21">
        <f>I732*H732</f>
        <v/>
      </c>
      <c r="K732" s="21">
        <f>IFERROR(IF(J732/P732&gt;1,P732,J732),0)</f>
        <v/>
      </c>
      <c r="L732" s="36" t="n">
        <v>506</v>
      </c>
      <c r="M732" s="21">
        <f>L732*H732</f>
        <v/>
      </c>
      <c r="N732" s="21">
        <f>IFERROR(IF(M732/K732&gt;1,K732,M732),0)</f>
        <v/>
      </c>
      <c r="O732" s="36" t="n">
        <v>550</v>
      </c>
      <c r="P732" s="21">
        <f>O732*H732</f>
        <v/>
      </c>
      <c r="Q732" s="30">
        <f>IF(MONTH(E732+1)=MONTH(E732+6),MONTH(E732+1),IF(MIN(EOMONTH(E732+1,0),E732+6)-(E732+1)+1&gt;=3,MONTH(E732+1),MONTH(E732+6)))</f>
        <v/>
      </c>
      <c r="R732" s="22">
        <f>IFERROR(K732/P732, 0)</f>
        <v/>
      </c>
      <c r="S732" s="38">
        <f>IFERROR(N732/P732,0)</f>
        <v/>
      </c>
      <c r="T732" s="31">
        <f>IFERROR(IF(N732&gt;0,(N732/K732),MIN(1,M732/J732)),0)</f>
        <v/>
      </c>
      <c r="U732" s="33" t="n"/>
    </row>
    <row r="733" hidden="1" s="40">
      <c r="A733" s="23" t="inlineStr">
        <is>
          <t>Semana 4 - abril</t>
        </is>
      </c>
      <c r="B733" s="27">
        <f>YEAR(E733)</f>
        <v/>
      </c>
      <c r="C733" s="18">
        <f>INDEX({"Janeiro";"Fevereiro";"Março";"Abril";"Maio";"Junho";"Julho";"Agosto";"Setembro";"Outubro";"Novembro";"Dezembro"},Q733)</f>
        <v/>
      </c>
      <c r="D733" s="24" t="n">
        <v>4</v>
      </c>
      <c r="E733" s="25" t="n">
        <v>46132</v>
      </c>
      <c r="F733" s="23" t="inlineStr">
        <is>
          <t>QUEIJO MINAS MEIA CURA (FRACIONADO)</t>
        </is>
      </c>
      <c r="G733" s="23" t="inlineStr">
        <is>
          <t>QUEIJO</t>
        </is>
      </c>
      <c r="H733" s="26" t="n">
        <v>1</v>
      </c>
      <c r="I733" s="36" t="n">
        <v>0</v>
      </c>
      <c r="J733" s="21">
        <f>I733*H733</f>
        <v/>
      </c>
      <c r="K733" s="21">
        <f>IFERROR(IF(J733/P733&gt;1,P733,J733),0)</f>
        <v/>
      </c>
      <c r="L733" s="36" t="n">
        <v>0</v>
      </c>
      <c r="M733" s="21">
        <f>L733*H733</f>
        <v/>
      </c>
      <c r="N733" s="21">
        <f>IFERROR(IF(M733/K733&gt;1,K733,M733),0)</f>
        <v/>
      </c>
      <c r="O733" s="36" t="n">
        <v>0</v>
      </c>
      <c r="P733" s="21">
        <f>O733*H733</f>
        <v/>
      </c>
      <c r="Q733" s="30">
        <f>IF(MONTH(E733+1)=MONTH(E733+6),MONTH(E733+1),IF(MIN(EOMONTH(E733+1,0),E733+6)-(E733+1)+1&gt;=3,MONTH(E733+1),MONTH(E733+6)))</f>
        <v/>
      </c>
      <c r="R733" s="22">
        <f>IFERROR(K733/P733, 0)</f>
        <v/>
      </c>
      <c r="S733" s="38">
        <f>IFERROR(N733/P733,0)</f>
        <v/>
      </c>
      <c r="T733" s="31">
        <f>IFERROR(IF(N733&gt;0,(N733/K733),MIN(1,M733/J733)),0)</f>
        <v/>
      </c>
      <c r="U733" s="33" t="n"/>
    </row>
    <row r="734" hidden="1" s="40">
      <c r="A734" s="18" t="inlineStr">
        <is>
          <t>Semana 4 - abril</t>
        </is>
      </c>
      <c r="B734" s="27">
        <f>YEAR(E734)</f>
        <v/>
      </c>
      <c r="C734" s="18">
        <f>INDEX({"Janeiro";"Fevereiro";"Março";"Abril";"Maio";"Junho";"Julho";"Agosto";"Setembro";"Outubro";"Novembro";"Dezembro"},Q734)</f>
        <v/>
      </c>
      <c r="D734" s="19" t="n">
        <v>4</v>
      </c>
      <c r="E734" s="20" t="n">
        <v>46132</v>
      </c>
      <c r="F734" s="18" t="inlineStr">
        <is>
          <t>QUEIJO MINAS MEIA CURA (INTEIRO)</t>
        </is>
      </c>
      <c r="G734" s="18" t="inlineStr">
        <is>
          <t>QUEIJO</t>
        </is>
      </c>
      <c r="H734" s="21" t="n">
        <v>1</v>
      </c>
      <c r="I734" s="36" t="n">
        <v>0</v>
      </c>
      <c r="J734" s="21">
        <f>I734*H734</f>
        <v/>
      </c>
      <c r="K734" s="21">
        <f>IFERROR(IF(J734/P734&gt;1,P734,J734),0)</f>
        <v/>
      </c>
      <c r="L734" s="36" t="n">
        <v>0</v>
      </c>
      <c r="M734" s="21">
        <f>L734*H734</f>
        <v/>
      </c>
      <c r="N734" s="21">
        <f>IFERROR(IF(M734/K734&gt;1,K734,M734),0)</f>
        <v/>
      </c>
      <c r="O734" s="36" t="n">
        <v>0</v>
      </c>
      <c r="P734" s="21">
        <f>O734*H734</f>
        <v/>
      </c>
      <c r="Q734" s="30">
        <f>IF(MONTH(E734+1)=MONTH(E734+6),MONTH(E734+1),IF(MIN(EOMONTH(E734+1,0),E734+6)-(E734+1)+1&gt;=3,MONTH(E734+1),MONTH(E734+6)))</f>
        <v/>
      </c>
      <c r="R734" s="22">
        <f>IFERROR(K734/P734, 0)</f>
        <v/>
      </c>
      <c r="S734" s="38">
        <f>IFERROR(N734/P734,0)</f>
        <v/>
      </c>
      <c r="T734" s="31">
        <f>IFERROR(IF(N734&gt;0,(N734/K734),MIN(1,M734/J734)),0)</f>
        <v/>
      </c>
      <c r="U734" s="33" t="n"/>
    </row>
    <row r="735" hidden="1" s="40">
      <c r="A735" s="23" t="inlineStr">
        <is>
          <t>Semana 4 - abril</t>
        </is>
      </c>
      <c r="B735" s="27">
        <f>YEAR(E735)</f>
        <v/>
      </c>
      <c r="C735" s="18">
        <f>INDEX({"Janeiro";"Fevereiro";"Março";"Abril";"Maio";"Junho";"Julho";"Agosto";"Setembro";"Outubro";"Novembro";"Dezembro"},Q735)</f>
        <v/>
      </c>
      <c r="D735" s="24" t="n">
        <v>4</v>
      </c>
      <c r="E735" s="25" t="n">
        <v>46132</v>
      </c>
      <c r="F735" s="23" t="inlineStr">
        <is>
          <t xml:space="preserve">QUEIJO MINAS PADRÃO VIÇOSA FRACIONADO </t>
        </is>
      </c>
      <c r="G735" s="23" t="inlineStr">
        <is>
          <t>QUEIJO</t>
        </is>
      </c>
      <c r="H735" s="26" t="n">
        <v>1</v>
      </c>
      <c r="I735" s="36" t="n">
        <v>400</v>
      </c>
      <c r="J735" s="21">
        <f>I735*H735</f>
        <v/>
      </c>
      <c r="K735" s="21">
        <f>IFERROR(IF(J735/P735&gt;1,P735,J735),0)</f>
        <v/>
      </c>
      <c r="L735" s="36" t="n">
        <v>400</v>
      </c>
      <c r="M735" s="21">
        <f>L735*H735</f>
        <v/>
      </c>
      <c r="N735" s="21">
        <f>IFERROR(IF(M735/K735&gt;1,K735,M735),0)</f>
        <v/>
      </c>
      <c r="O735" s="36" t="n">
        <v>200</v>
      </c>
      <c r="P735" s="21">
        <f>O735*H735</f>
        <v/>
      </c>
      <c r="Q735" s="30">
        <f>IF(MONTH(E735+1)=MONTH(E735+6),MONTH(E735+1),IF(MIN(EOMONTH(E735+1,0),E735+6)-(E735+1)+1&gt;=3,MONTH(E735+1),MONTH(E735+6)))</f>
        <v/>
      </c>
      <c r="R735" s="22">
        <f>IFERROR(K735/P735, 0)</f>
        <v/>
      </c>
      <c r="S735" s="38">
        <f>IFERROR(N735/P735,0)</f>
        <v/>
      </c>
      <c r="T735" s="31">
        <f>IFERROR(IF(N735&gt;0,(N735/K735),MIN(1,M735/J735)),0)</f>
        <v/>
      </c>
      <c r="U735" s="33" t="n"/>
    </row>
    <row r="736" hidden="1" s="40">
      <c r="A736" s="18" t="inlineStr">
        <is>
          <t>Semana 4 - abril</t>
        </is>
      </c>
      <c r="B736" s="27">
        <f>YEAR(E736)</f>
        <v/>
      </c>
      <c r="C736" s="18">
        <f>INDEX({"Janeiro";"Fevereiro";"Março";"Abril";"Maio";"Junho";"Julho";"Agosto";"Setembro";"Outubro";"Novembro";"Dezembro"},Q736)</f>
        <v/>
      </c>
      <c r="D736" s="19" t="n">
        <v>4</v>
      </c>
      <c r="E736" s="20" t="n">
        <v>46132</v>
      </c>
      <c r="F736" s="18" t="inlineStr">
        <is>
          <t>QUEIJO MUSSARELA 3KG</t>
        </is>
      </c>
      <c r="G736" s="18" t="inlineStr">
        <is>
          <t>QUEIJO</t>
        </is>
      </c>
      <c r="H736" s="21" t="n">
        <v>1</v>
      </c>
      <c r="I736" s="36" t="n">
        <v>800</v>
      </c>
      <c r="J736" s="21">
        <f>I736*H736</f>
        <v/>
      </c>
      <c r="K736" s="21">
        <f>IFERROR(IF(J736/P736&gt;1,P736,J736),0)</f>
        <v/>
      </c>
      <c r="L736" s="36" t="n">
        <v>800</v>
      </c>
      <c r="M736" s="21">
        <f>L736*H736</f>
        <v/>
      </c>
      <c r="N736" s="21">
        <f>IFERROR(IF(M736/K736&gt;1,K736,M736),0)</f>
        <v/>
      </c>
      <c r="O736" s="36" t="n">
        <v>800</v>
      </c>
      <c r="P736" s="21">
        <f>O736*H736</f>
        <v/>
      </c>
      <c r="Q736" s="30">
        <f>IF(MONTH(E736+1)=MONTH(E736+6),MONTH(E736+1),IF(MIN(EOMONTH(E736+1,0),E736+6)-(E736+1)+1&gt;=3,MONTH(E736+1),MONTH(E736+6)))</f>
        <v/>
      </c>
      <c r="R736" s="22">
        <f>IFERROR(K736/P736, 0)</f>
        <v/>
      </c>
      <c r="S736" s="38">
        <f>IFERROR(N736/P736,0)</f>
        <v/>
      </c>
      <c r="T736" s="31">
        <f>IFERROR(IF(N736&gt;0,(N736/K736),MIN(1,M736/J736)),0)</f>
        <v/>
      </c>
      <c r="U736" s="33" t="n"/>
    </row>
    <row r="737" hidden="1" s="40">
      <c r="A737" s="23" t="inlineStr">
        <is>
          <t>Semana 4 - abril</t>
        </is>
      </c>
      <c r="B737" s="27">
        <f>YEAR(E737)</f>
        <v/>
      </c>
      <c r="C737" s="18">
        <f>INDEX({"Janeiro";"Fevereiro";"Março";"Abril";"Maio";"Junho";"Julho";"Agosto";"Setembro";"Outubro";"Novembro";"Dezembro"},Q737)</f>
        <v/>
      </c>
      <c r="D737" s="24" t="n">
        <v>4</v>
      </c>
      <c r="E737" s="25" t="n">
        <v>46132</v>
      </c>
      <c r="F737" s="23" t="inlineStr">
        <is>
          <t>QUEIJO MUSSARELA LANCHE</t>
        </is>
      </c>
      <c r="G737" s="23" t="inlineStr">
        <is>
          <t>QUEIJO</t>
        </is>
      </c>
      <c r="H737" s="26" t="n">
        <v>1</v>
      </c>
      <c r="I737" s="36" t="n">
        <v>200</v>
      </c>
      <c r="J737" s="21">
        <f>I737*H737</f>
        <v/>
      </c>
      <c r="K737" s="21">
        <f>IFERROR(IF(J737/P737&gt;1,P737,J737),0)</f>
        <v/>
      </c>
      <c r="L737" s="36" t="n">
        <v>200</v>
      </c>
      <c r="M737" s="21">
        <f>L737*H737</f>
        <v/>
      </c>
      <c r="N737" s="21">
        <f>IFERROR(IF(M737/K737&gt;1,K737,M737),0)</f>
        <v/>
      </c>
      <c r="O737" s="36" t="n">
        <v>200</v>
      </c>
      <c r="P737" s="21">
        <f>O737*H737</f>
        <v/>
      </c>
      <c r="Q737" s="30">
        <f>IF(MONTH(E737+1)=MONTH(E737+6),MONTH(E737+1),IF(MIN(EOMONTH(E737+1,0),E737+6)-(E737+1)+1&gt;=3,MONTH(E737+1),MONTH(E737+6)))</f>
        <v/>
      </c>
      <c r="R737" s="22">
        <f>IFERROR(K737/P737, 0)</f>
        <v/>
      </c>
      <c r="S737" s="38">
        <f>IFERROR(N737/P737,0)</f>
        <v/>
      </c>
      <c r="T737" s="31">
        <f>IFERROR(IF(N737&gt;0,(N737/K737),MIN(1,M737/J737)),0)</f>
        <v/>
      </c>
      <c r="U737" s="33" t="n"/>
    </row>
    <row r="738" hidden="1" s="40">
      <c r="A738" s="18" t="inlineStr">
        <is>
          <t>Semana 4 - abril</t>
        </is>
      </c>
      <c r="B738" s="27">
        <f>YEAR(E738)</f>
        <v/>
      </c>
      <c r="C738" s="18">
        <f>INDEX({"Janeiro";"Fevereiro";"Março";"Abril";"Maio";"Junho";"Julho";"Agosto";"Setembro";"Outubro";"Novembro";"Dezembro"},Q738)</f>
        <v/>
      </c>
      <c r="D738" s="19" t="n">
        <v>4</v>
      </c>
      <c r="E738" s="20" t="n">
        <v>46132</v>
      </c>
      <c r="F738" s="18" t="inlineStr">
        <is>
          <t>REQUEIJÃO VIÇOSA 200g</t>
        </is>
      </c>
      <c r="G738" s="18" t="inlineStr">
        <is>
          <t>REQUEIJÃO</t>
        </is>
      </c>
      <c r="H738" s="21" t="n">
        <v>0.2</v>
      </c>
      <c r="I738" s="36" t="n">
        <v>3200</v>
      </c>
      <c r="J738" s="21">
        <f>I738*H738</f>
        <v/>
      </c>
      <c r="K738" s="21">
        <f>IFERROR(IF(J738/P738&gt;1,P738,J738),0)</f>
        <v/>
      </c>
      <c r="L738" s="36" t="n">
        <v>1683</v>
      </c>
      <c r="M738" s="21">
        <f>L738*H738</f>
        <v/>
      </c>
      <c r="N738" s="21">
        <f>IFERROR(IF(M738/K738&gt;1,K738,M738),0)</f>
        <v/>
      </c>
      <c r="O738" s="36" t="n">
        <v>3200</v>
      </c>
      <c r="P738" s="21">
        <f>O738*H738</f>
        <v/>
      </c>
      <c r="Q738" s="30">
        <f>IF(MONTH(E738+1)=MONTH(E738+6),MONTH(E738+1),IF(MIN(EOMONTH(E738+1,0),E738+6)-(E738+1)+1&gt;=3,MONTH(E738+1),MONTH(E738+6)))</f>
        <v/>
      </c>
      <c r="R738" s="22">
        <f>IFERROR(K738/P738, 0)</f>
        <v/>
      </c>
      <c r="S738" s="38">
        <f>IFERROR(N738/P738,0)</f>
        <v/>
      </c>
      <c r="T738" s="31">
        <f>IFERROR(IF(N738&gt;0,(N738/K738),MIN(1,M738/J738)),0)</f>
        <v/>
      </c>
      <c r="U738" s="33" t="n"/>
    </row>
    <row r="739" hidden="1" s="40">
      <c r="A739" s="23" t="inlineStr">
        <is>
          <t>Semana 4 - abril</t>
        </is>
      </c>
      <c r="B739" s="27">
        <f>YEAR(E739)</f>
        <v/>
      </c>
      <c r="C739" s="18">
        <f>INDEX({"Janeiro";"Fevereiro";"Março";"Abril";"Maio";"Junho";"Julho";"Agosto";"Setembro";"Outubro";"Novembro";"Dezembro"},Q739)</f>
        <v/>
      </c>
      <c r="D739" s="24" t="n">
        <v>4</v>
      </c>
      <c r="E739" s="25" t="n">
        <v>46132</v>
      </c>
      <c r="F739" s="23" t="inlineStr">
        <is>
          <t>REQUEIJÃO VIÇOSA 400g</t>
        </is>
      </c>
      <c r="G739" s="23" t="inlineStr">
        <is>
          <t>REQUEIJÃO</t>
        </is>
      </c>
      <c r="H739" s="26" t="n">
        <v>0.4</v>
      </c>
      <c r="I739" s="36" t="n">
        <v>3910</v>
      </c>
      <c r="J739" s="21">
        <f>I739*H739</f>
        <v/>
      </c>
      <c r="K739" s="21">
        <f>IFERROR(IF(J739/P739&gt;1,P739,J739),0)</f>
        <v/>
      </c>
      <c r="L739" s="36" t="n">
        <v>4967</v>
      </c>
      <c r="M739" s="21">
        <f>L739*H739</f>
        <v/>
      </c>
      <c r="N739" s="21">
        <f>IFERROR(IF(M739/K739&gt;1,K739,M739),0)</f>
        <v/>
      </c>
      <c r="O739" s="36" t="n">
        <v>1200</v>
      </c>
      <c r="P739" s="21">
        <f>O739*H739</f>
        <v/>
      </c>
      <c r="Q739" s="30">
        <f>IF(MONTH(E739+1)=MONTH(E739+6),MONTH(E739+1),IF(MIN(EOMONTH(E739+1,0),E739+6)-(E739+1)+1&gt;=3,MONTH(E739+1),MONTH(E739+6)))</f>
        <v/>
      </c>
      <c r="R739" s="22">
        <f>IFERROR(K739/P739, 0)</f>
        <v/>
      </c>
      <c r="S739" s="38">
        <f>IFERROR(N739/P739,0)</f>
        <v/>
      </c>
      <c r="T739" s="31">
        <f>IFERROR(IF(N739&gt;0,(N739/K739),MIN(1,M739/J739)),0)</f>
        <v/>
      </c>
      <c r="U739" s="33" t="n"/>
    </row>
    <row r="740" hidden="1" s="40">
      <c r="A740" s="18" t="inlineStr">
        <is>
          <t>Semana 4 - abril</t>
        </is>
      </c>
      <c r="B740" s="27">
        <f>YEAR(E740)</f>
        <v/>
      </c>
      <c r="C740" s="18">
        <f>INDEX({"Janeiro";"Fevereiro";"Março";"Abril";"Maio";"Junho";"Julho";"Agosto";"Setembro";"Outubro";"Novembro";"Dezembro"},Q740)</f>
        <v/>
      </c>
      <c r="D740" s="19" t="n">
        <v>4</v>
      </c>
      <c r="E740" s="20" t="n">
        <v>46132</v>
      </c>
      <c r="F740" s="18" t="inlineStr">
        <is>
          <t>Requeijão Light 200g</t>
        </is>
      </c>
      <c r="G740" s="18" t="inlineStr">
        <is>
          <t>REQUEIJÃO</t>
        </is>
      </c>
      <c r="H740" s="21" t="n">
        <v>0.2</v>
      </c>
      <c r="I740" s="36" t="n">
        <v>1200</v>
      </c>
      <c r="J740" s="21">
        <f>I740*H740</f>
        <v/>
      </c>
      <c r="K740" s="21">
        <f>IFERROR(IF(J740/P740&gt;1,P740,J740),0)</f>
        <v/>
      </c>
      <c r="L740" s="36" t="n">
        <v>3272</v>
      </c>
      <c r="M740" s="21">
        <f>L740*H740</f>
        <v/>
      </c>
      <c r="N740" s="21">
        <f>IFERROR(IF(M740/K740&gt;1,K740,M740),0)</f>
        <v/>
      </c>
      <c r="O740" s="36" t="n">
        <v>600</v>
      </c>
      <c r="P740" s="21">
        <f>O740*H740</f>
        <v/>
      </c>
      <c r="Q740" s="30">
        <f>IF(MONTH(E740+1)=MONTH(E740+6),MONTH(E740+1),IF(MIN(EOMONTH(E740+1,0),E740+6)-(E740+1)+1&gt;=3,MONTH(E740+1),MONTH(E740+6)))</f>
        <v/>
      </c>
      <c r="R740" s="22">
        <f>IFERROR(K740/P740, 0)</f>
        <v/>
      </c>
      <c r="S740" s="38">
        <f>IFERROR(N740/P740,0)</f>
        <v/>
      </c>
      <c r="T740" s="31">
        <f>IFERROR(IF(N740&gt;0,(N740/K740),MIN(1,M740/J740)),0)</f>
        <v/>
      </c>
      <c r="U740" s="33" t="n"/>
    </row>
    <row r="741" hidden="1" s="40">
      <c r="A741" s="23" t="inlineStr">
        <is>
          <t>Semana 4 - abril</t>
        </is>
      </c>
      <c r="B741" s="27">
        <f>YEAR(E741)</f>
        <v/>
      </c>
      <c r="C741" s="18">
        <f>INDEX({"Janeiro";"Fevereiro";"Março";"Abril";"Maio";"Junho";"Julho";"Agosto";"Setembro";"Outubro";"Novembro";"Dezembro"},Q741)</f>
        <v/>
      </c>
      <c r="D741" s="24" t="n">
        <v>4</v>
      </c>
      <c r="E741" s="25" t="n">
        <v>46132</v>
      </c>
      <c r="F741" s="23" t="inlineStr">
        <is>
          <t>Creme de Ricota 200g</t>
        </is>
      </c>
      <c r="G741" s="23" t="inlineStr">
        <is>
          <t>RICOTA</t>
        </is>
      </c>
      <c r="H741" s="26" t="n">
        <v>0.2</v>
      </c>
      <c r="I741" s="36" t="n">
        <v>1000</v>
      </c>
      <c r="J741" s="21">
        <f>I741*H741</f>
        <v/>
      </c>
      <c r="K741" s="21">
        <f>IFERROR(IF(J741/P741&gt;1,P741,J741),0)</f>
        <v/>
      </c>
      <c r="L741" s="36" t="n">
        <v>1216</v>
      </c>
      <c r="M741" s="21">
        <f>L741*H741</f>
        <v/>
      </c>
      <c r="N741" s="21">
        <f>IFERROR(IF(M741/K741&gt;1,K741,M741),0)</f>
        <v/>
      </c>
      <c r="O741" s="36" t="n">
        <v>600</v>
      </c>
      <c r="P741" s="21">
        <f>O741*H741</f>
        <v/>
      </c>
      <c r="Q741" s="30">
        <f>IF(MONTH(E741+1)=MONTH(E741+6),MONTH(E741+1),IF(MIN(EOMONTH(E741+1,0),E741+6)-(E741+1)+1&gt;=3,MONTH(E741+1),MONTH(E741+6)))</f>
        <v/>
      </c>
      <c r="R741" s="22">
        <f>IFERROR(K741/P741, 0)</f>
        <v/>
      </c>
      <c r="S741" s="38">
        <f>IFERROR(N741/P741,0)</f>
        <v/>
      </c>
      <c r="T741" s="31">
        <f>IFERROR(IF(N741&gt;0,(N741/K741),MIN(1,M741/J741)),0)</f>
        <v/>
      </c>
      <c r="U741" s="33" t="n"/>
    </row>
    <row r="742" hidden="1" s="40">
      <c r="A742" s="18" t="inlineStr">
        <is>
          <t>Semana 5 - abril</t>
        </is>
      </c>
      <c r="B742" s="27">
        <f>YEAR(E742)</f>
        <v/>
      </c>
      <c r="C742" s="18">
        <f>INDEX({"Janeiro";"Fevereiro";"Março";"Abril";"Maio";"Junho";"Julho";"Agosto";"Setembro";"Outubro";"Novembro";"Dezembro"},Q742)</f>
        <v/>
      </c>
      <c r="D742" s="19" t="n">
        <v>5</v>
      </c>
      <c r="E742" s="20" t="n">
        <v>46139</v>
      </c>
      <c r="F742" s="18" t="inlineStr">
        <is>
          <t>Doce de Leite 400g</t>
        </is>
      </c>
      <c r="G742" s="18" t="inlineStr">
        <is>
          <t>DOCE</t>
        </is>
      </c>
      <c r="H742" s="21" t="n">
        <v>0.4</v>
      </c>
      <c r="I742" s="36" t="n">
        <v>18000</v>
      </c>
      <c r="J742" s="21">
        <f>I742*H742</f>
        <v/>
      </c>
      <c r="K742" s="21">
        <f>IFERROR(IF(J742/P742&gt;1,P742,J742),0)</f>
        <v/>
      </c>
      <c r="L742" s="36" t="n">
        <v>18567</v>
      </c>
      <c r="M742" s="21">
        <f>L742*H742</f>
        <v/>
      </c>
      <c r="N742" s="21">
        <f>IFERROR(IF(M742/K742&gt;1,K742,M742),0)</f>
        <v/>
      </c>
      <c r="O742" s="36" t="n">
        <v>18000</v>
      </c>
      <c r="P742" s="21">
        <f>O742*H742</f>
        <v/>
      </c>
      <c r="Q742" s="30">
        <f>IF(MONTH(E742+1)=MONTH(E742+6),MONTH(E742+1),IF(MIN(EOMONTH(E742+1,0),E742+6)-(E742+1)+1&gt;=3,MONTH(E742+1),MONTH(E742+6)))</f>
        <v/>
      </c>
      <c r="R742" s="22">
        <f>IFERROR(K742/P742, 0)</f>
        <v/>
      </c>
      <c r="S742" s="38">
        <f>IFERROR(N742/P742,0)</f>
        <v/>
      </c>
      <c r="T742" s="31">
        <f>IFERROR(IF(N742&gt;0,(N742/K742),MIN(1,M742/J742)),0)</f>
        <v/>
      </c>
      <c r="U742" s="33" t="inlineStr">
        <is>
          <t>Produção de iogurte 900g de morango ficou prejudicada pois não se tinha estoque da embalagem por atraso de fornecedor</t>
        </is>
      </c>
    </row>
    <row r="743" hidden="1" s="40">
      <c r="A743" s="23" t="inlineStr">
        <is>
          <t>Semana 5 - abril</t>
        </is>
      </c>
      <c r="B743" s="27">
        <f>YEAR(E743)</f>
        <v/>
      </c>
      <c r="C743" s="18">
        <f>INDEX({"Janeiro";"Fevereiro";"Março";"Abril";"Maio";"Junho";"Julho";"Agosto";"Setembro";"Outubro";"Novembro";"Dezembro"},Q743)</f>
        <v/>
      </c>
      <c r="D743" s="24" t="n">
        <v>5</v>
      </c>
      <c r="E743" s="25" t="n">
        <v>46139</v>
      </c>
      <c r="F743" s="23" t="inlineStr">
        <is>
          <t>Doce de Leite 5kg</t>
        </is>
      </c>
      <c r="G743" s="23" t="inlineStr">
        <is>
          <t>DOCE</t>
        </is>
      </c>
      <c r="H743" s="26" t="n">
        <v>5</v>
      </c>
      <c r="I743" s="36" t="n">
        <v>2790</v>
      </c>
      <c r="J743" s="21">
        <f>I743*H743</f>
        <v/>
      </c>
      <c r="K743" s="21">
        <f>IFERROR(IF(J743/P743&gt;1,P743,J743),0)</f>
        <v/>
      </c>
      <c r="L743" s="36" t="n">
        <v>2707</v>
      </c>
      <c r="M743" s="21">
        <f>L743*H743</f>
        <v/>
      </c>
      <c r="N743" s="21">
        <f>IFERROR(IF(M743/K743&gt;1,K743,M743),0)</f>
        <v/>
      </c>
      <c r="O743" s="36" t="n">
        <v>2325</v>
      </c>
      <c r="P743" s="21">
        <f>O743*H743</f>
        <v/>
      </c>
      <c r="Q743" s="30">
        <f>IF(MONTH(E743+1)=MONTH(E743+6),MONTH(E743+1),IF(MIN(EOMONTH(E743+1,0),E743+6)-(E743+1)+1&gt;=3,MONTH(E743+1),MONTH(E743+6)))</f>
        <v/>
      </c>
      <c r="R743" s="22">
        <f>IFERROR(K743/P743, 0)</f>
        <v/>
      </c>
      <c r="S743" s="38">
        <f>IFERROR(N743/P743,0)</f>
        <v/>
      </c>
      <c r="T743" s="31">
        <f>IFERROR(IF(N743&gt;0,(N743/K743),MIN(1,M743/J743)),0)</f>
        <v/>
      </c>
      <c r="U743" s="33" t="n"/>
    </row>
    <row r="744" hidden="1" s="40">
      <c r="A744" s="18" t="inlineStr">
        <is>
          <t>Semana 5 - abril</t>
        </is>
      </c>
      <c r="B744" s="27">
        <f>YEAR(E744)</f>
        <v/>
      </c>
      <c r="C744" s="18">
        <f>INDEX({"Janeiro";"Fevereiro";"Março";"Abril";"Maio";"Junho";"Julho";"Agosto";"Setembro";"Outubro";"Novembro";"Dezembro"},Q744)</f>
        <v/>
      </c>
      <c r="D744" s="19" t="n">
        <v>5</v>
      </c>
      <c r="E744" s="20" t="n">
        <v>46139</v>
      </c>
      <c r="F744" s="18" t="inlineStr">
        <is>
          <t>Doce de Leite 5kg - Bombeável</t>
        </is>
      </c>
      <c r="G744" s="18" t="inlineStr">
        <is>
          <t>DOCE</t>
        </is>
      </c>
      <c r="H744" s="21" t="n">
        <v>5</v>
      </c>
      <c r="I744" s="36" t="n">
        <v>0</v>
      </c>
      <c r="J744" s="21">
        <f>I744*H744</f>
        <v/>
      </c>
      <c r="K744" s="21">
        <f>IFERROR(IF(J744/P744&gt;1,P744,J744),0)</f>
        <v/>
      </c>
      <c r="L744" s="36" t="n">
        <v>0</v>
      </c>
      <c r="M744" s="21">
        <f>L744*H744</f>
        <v/>
      </c>
      <c r="N744" s="21">
        <f>IFERROR(IF(M744/K744&gt;1,K744,M744),0)</f>
        <v/>
      </c>
      <c r="O744" s="36" t="n">
        <v>0</v>
      </c>
      <c r="P744" s="21">
        <f>O744*H744</f>
        <v/>
      </c>
      <c r="Q744" s="30">
        <f>IF(MONTH(E744+1)=MONTH(E744+6),MONTH(E744+1),IF(MIN(EOMONTH(E744+1,0),E744+6)-(E744+1)+1&gt;=3,MONTH(E744+1),MONTH(E744+6)))</f>
        <v/>
      </c>
      <c r="R744" s="22">
        <f>IFERROR(K744/P744, 0)</f>
        <v/>
      </c>
      <c r="S744" s="38">
        <f>IFERROR(N744/P744,0)</f>
        <v/>
      </c>
      <c r="T744" s="31">
        <f>IFERROR(IF(N744&gt;0,(N744/K744),MIN(1,M744/J744)),0)</f>
        <v/>
      </c>
      <c r="U744" s="33" t="n"/>
    </row>
    <row r="745" hidden="1" s="40">
      <c r="A745" s="23" t="inlineStr">
        <is>
          <t>Semana 5 - abril</t>
        </is>
      </c>
      <c r="B745" s="27">
        <f>YEAR(E745)</f>
        <v/>
      </c>
      <c r="C745" s="18">
        <f>INDEX({"Janeiro";"Fevereiro";"Março";"Abril";"Maio";"Junho";"Julho";"Agosto";"Setembro";"Outubro";"Novembro";"Dezembro"},Q745)</f>
        <v/>
      </c>
      <c r="D745" s="24" t="n">
        <v>5</v>
      </c>
      <c r="E745" s="25" t="n">
        <v>46139</v>
      </c>
      <c r="F745" s="23" t="inlineStr">
        <is>
          <t>Doce de Leite 5kg - Forneável</t>
        </is>
      </c>
      <c r="G745" s="23" t="inlineStr">
        <is>
          <t>DOCE</t>
        </is>
      </c>
      <c r="H745" s="26" t="n">
        <v>5</v>
      </c>
      <c r="I745" s="36" t="n">
        <v>0</v>
      </c>
      <c r="J745" s="21">
        <f>I745*H745</f>
        <v/>
      </c>
      <c r="K745" s="21">
        <f>IFERROR(IF(J745/P745&gt;1,P745,J745),0)</f>
        <v/>
      </c>
      <c r="L745" s="36" t="n">
        <v>0</v>
      </c>
      <c r="M745" s="21">
        <f>L745*H745</f>
        <v/>
      </c>
      <c r="N745" s="21">
        <f>IFERROR(IF(M745/K745&gt;1,K745,M745),0)</f>
        <v/>
      </c>
      <c r="O745" s="36" t="n">
        <v>0</v>
      </c>
      <c r="P745" s="21">
        <f>O745*H745</f>
        <v/>
      </c>
      <c r="Q745" s="30">
        <f>IF(MONTH(E745+1)=MONTH(E745+6),MONTH(E745+1),IF(MIN(EOMONTH(E745+1,0),E745+6)-(E745+1)+1&gt;=3,MONTH(E745+1),MONTH(E745+6)))</f>
        <v/>
      </c>
      <c r="R745" s="22">
        <f>IFERROR(K745/P745, 0)</f>
        <v/>
      </c>
      <c r="S745" s="38">
        <f>IFERROR(N745/P745,0)</f>
        <v/>
      </c>
      <c r="T745" s="31">
        <f>IFERROR(IF(N745&gt;0,(N745/K745),MIN(1,M745/J745)),0)</f>
        <v/>
      </c>
      <c r="U745" s="33" t="n"/>
    </row>
    <row r="746" hidden="1" s="40">
      <c r="A746" s="18" t="inlineStr">
        <is>
          <t>Semana 5 - abril</t>
        </is>
      </c>
      <c r="B746" s="27">
        <f>YEAR(E746)</f>
        <v/>
      </c>
      <c r="C746" s="18">
        <f>INDEX({"Janeiro";"Fevereiro";"Março";"Abril";"Maio";"Junho";"Julho";"Agosto";"Setembro";"Outubro";"Novembro";"Dezembro"},Q746)</f>
        <v/>
      </c>
      <c r="D746" s="19" t="n">
        <v>5</v>
      </c>
      <c r="E746" s="20" t="n">
        <v>46139</v>
      </c>
      <c r="F746" s="18" t="inlineStr">
        <is>
          <t>Doce de Leite 800g</t>
        </is>
      </c>
      <c r="G746" s="18" t="inlineStr">
        <is>
          <t>DOCE</t>
        </is>
      </c>
      <c r="H746" s="21" t="n">
        <v>0.8</v>
      </c>
      <c r="I746" s="36" t="n">
        <v>18000</v>
      </c>
      <c r="J746" s="21">
        <f>I746*H746</f>
        <v/>
      </c>
      <c r="K746" s="21">
        <f>IFERROR(IF(J746/P746&gt;1,P746,J746),0)</f>
        <v/>
      </c>
      <c r="L746" s="36" t="n">
        <v>19934</v>
      </c>
      <c r="M746" s="21">
        <f>L746*H746</f>
        <v/>
      </c>
      <c r="N746" s="21">
        <f>IFERROR(IF(M746/K746&gt;1,K746,M746),0)</f>
        <v/>
      </c>
      <c r="O746" s="36" t="n">
        <v>18000</v>
      </c>
      <c r="P746" s="21">
        <f>O746*H746</f>
        <v/>
      </c>
      <c r="Q746" s="30">
        <f>IF(MONTH(E746+1)=MONTH(E746+6),MONTH(E746+1),IF(MIN(EOMONTH(E746+1,0),E746+6)-(E746+1)+1&gt;=3,MONTH(E746+1),MONTH(E746+6)))</f>
        <v/>
      </c>
      <c r="R746" s="22">
        <f>IFERROR(K746/P746, 0)</f>
        <v/>
      </c>
      <c r="S746" s="38">
        <f>IFERROR(N746/P746,0)</f>
        <v/>
      </c>
      <c r="T746" s="31">
        <f>IFERROR(IF(N746&gt;0,(N746/K746),MIN(1,M746/J746)),0)</f>
        <v/>
      </c>
      <c r="U746" s="33" t="n"/>
    </row>
    <row r="747" hidden="1" s="40">
      <c r="A747" s="23" t="inlineStr">
        <is>
          <t>Semana 5 - abril</t>
        </is>
      </c>
      <c r="B747" s="27">
        <f>YEAR(E747)</f>
        <v/>
      </c>
      <c r="C747" s="18">
        <f>INDEX({"Janeiro";"Fevereiro";"Março";"Abril";"Maio";"Junho";"Julho";"Agosto";"Setembro";"Outubro";"Novembro";"Dezembro"},Q747)</f>
        <v/>
      </c>
      <c r="D747" s="24" t="n">
        <v>5</v>
      </c>
      <c r="E747" s="25" t="n">
        <v>46139</v>
      </c>
      <c r="F747" s="23" t="inlineStr">
        <is>
          <t>Doce de Leite Cacau 400g</t>
        </is>
      </c>
      <c r="G747" s="23" t="inlineStr">
        <is>
          <t>DOCE</t>
        </is>
      </c>
      <c r="H747" s="26" t="n">
        <v>0.4</v>
      </c>
      <c r="I747" s="36" t="n">
        <v>6000</v>
      </c>
      <c r="J747" s="21">
        <f>I747*H747</f>
        <v/>
      </c>
      <c r="K747" s="21">
        <f>IFERROR(IF(J747/P747&gt;1,P747,J747),0)</f>
        <v/>
      </c>
      <c r="L747" s="36" t="n">
        <v>5676</v>
      </c>
      <c r="M747" s="21">
        <f>L747*H747</f>
        <v/>
      </c>
      <c r="N747" s="21">
        <f>IFERROR(IF(M747/K747&gt;1,K747,M747),0)</f>
        <v/>
      </c>
      <c r="O747" s="36" t="n">
        <v>6000</v>
      </c>
      <c r="P747" s="21">
        <f>O747*H747</f>
        <v/>
      </c>
      <c r="Q747" s="30">
        <f>IF(MONTH(E747+1)=MONTH(E747+6),MONTH(E747+1),IF(MIN(EOMONTH(E747+1,0),E747+6)-(E747+1)+1&gt;=3,MONTH(E747+1),MONTH(E747+6)))</f>
        <v/>
      </c>
      <c r="R747" s="22">
        <f>IFERROR(K747/P747, 0)</f>
        <v/>
      </c>
      <c r="S747" s="38">
        <f>IFERROR(N747/P747,0)</f>
        <v/>
      </c>
      <c r="T747" s="31">
        <f>IFERROR(IF(N747&gt;0,(N747/K747),MIN(1,M747/J747)),0)</f>
        <v/>
      </c>
      <c r="U747" s="33" t="n"/>
    </row>
    <row r="748" hidden="1" s="40">
      <c r="A748" s="18" t="inlineStr">
        <is>
          <t>Semana 5 - abril</t>
        </is>
      </c>
      <c r="B748" s="27">
        <f>YEAR(E748)</f>
        <v/>
      </c>
      <c r="C748" s="18">
        <f>INDEX({"Janeiro";"Fevereiro";"Março";"Abril";"Maio";"Junho";"Julho";"Agosto";"Setembro";"Outubro";"Novembro";"Dezembro"},Q748)</f>
        <v/>
      </c>
      <c r="D748" s="19" t="n">
        <v>5</v>
      </c>
      <c r="E748" s="20" t="n">
        <v>46139</v>
      </c>
      <c r="F748" s="18" t="inlineStr">
        <is>
          <t>Doce de Leite Cacau 5kg - Bombeável</t>
        </is>
      </c>
      <c r="G748" s="18" t="inlineStr">
        <is>
          <t>DOCE</t>
        </is>
      </c>
      <c r="H748" s="21" t="n">
        <v>5</v>
      </c>
      <c r="I748" s="36" t="n">
        <v>60</v>
      </c>
      <c r="J748" s="21">
        <f>I748*H748</f>
        <v/>
      </c>
      <c r="K748" s="21">
        <f>IFERROR(IF(J748/P748&gt;1,P748,J748),0)</f>
        <v/>
      </c>
      <c r="L748" s="36" t="n">
        <v>62</v>
      </c>
      <c r="M748" s="21">
        <f>L748*H748</f>
        <v/>
      </c>
      <c r="N748" s="21">
        <f>IFERROR(IF(M748/K748&gt;1,K748,M748),0)</f>
        <v/>
      </c>
      <c r="O748" s="36" t="n">
        <v>60</v>
      </c>
      <c r="P748" s="21">
        <f>O748*H748</f>
        <v/>
      </c>
      <c r="Q748" s="30">
        <f>IF(MONTH(E748+1)=MONTH(E748+6),MONTH(E748+1),IF(MIN(EOMONTH(E748+1,0),E748+6)-(E748+1)+1&gt;=3,MONTH(E748+1),MONTH(E748+6)))</f>
        <v/>
      </c>
      <c r="R748" s="22">
        <f>IFERROR(K748/P748, 0)</f>
        <v/>
      </c>
      <c r="S748" s="38">
        <f>IFERROR(N748/P748,0)</f>
        <v/>
      </c>
      <c r="T748" s="31">
        <f>IFERROR(IF(N748&gt;0,(N748/K748),MIN(1,M748/J748)),0)</f>
        <v/>
      </c>
      <c r="U748" s="33" t="n"/>
    </row>
    <row r="749" hidden="1" s="40">
      <c r="A749" s="23" t="inlineStr">
        <is>
          <t>Semana 5 - abril</t>
        </is>
      </c>
      <c r="B749" s="27">
        <f>YEAR(E749)</f>
        <v/>
      </c>
      <c r="C749" s="18">
        <f>INDEX({"Janeiro";"Fevereiro";"Março";"Abril";"Maio";"Junho";"Julho";"Agosto";"Setembro";"Outubro";"Novembro";"Dezembro"},Q749)</f>
        <v/>
      </c>
      <c r="D749" s="24" t="n">
        <v>5</v>
      </c>
      <c r="E749" s="25" t="n">
        <v>46139</v>
      </c>
      <c r="F749" s="23" t="inlineStr">
        <is>
          <t>Doce de Leite Cacau 5kg - FOOD</t>
        </is>
      </c>
      <c r="G749" s="23" t="inlineStr">
        <is>
          <t>DOCE</t>
        </is>
      </c>
      <c r="H749" s="26" t="n">
        <v>5</v>
      </c>
      <c r="I749" s="36" t="n">
        <v>465</v>
      </c>
      <c r="J749" s="21">
        <f>I749*H749</f>
        <v/>
      </c>
      <c r="K749" s="21">
        <f>IFERROR(IF(J749/P749&gt;1,P749,J749),0)</f>
        <v/>
      </c>
      <c r="L749" s="36" t="n">
        <v>410</v>
      </c>
      <c r="M749" s="21">
        <f>L749*H749</f>
        <v/>
      </c>
      <c r="N749" s="21">
        <f>IFERROR(IF(M749/K749&gt;1,K749,M749),0)</f>
        <v/>
      </c>
      <c r="O749" s="36" t="n">
        <v>465</v>
      </c>
      <c r="P749" s="21">
        <f>O749*H749</f>
        <v/>
      </c>
      <c r="Q749" s="30">
        <f>IF(MONTH(E749+1)=MONTH(E749+6),MONTH(E749+1),IF(MIN(EOMONTH(E749+1,0),E749+6)-(E749+1)+1&gt;=3,MONTH(E749+1),MONTH(E749+6)))</f>
        <v/>
      </c>
      <c r="R749" s="22">
        <f>IFERROR(K749/P749, 0)</f>
        <v/>
      </c>
      <c r="S749" s="38">
        <f>IFERROR(N749/P749,0)</f>
        <v/>
      </c>
      <c r="T749" s="31">
        <f>IFERROR(IF(N749&gt;0,(N749/K749),MIN(1,M749/J749)),0)</f>
        <v/>
      </c>
      <c r="U749" s="33" t="n"/>
    </row>
    <row r="750" hidden="1" s="40">
      <c r="A750" s="18" t="inlineStr">
        <is>
          <t>Semana 5 - abril</t>
        </is>
      </c>
      <c r="B750" s="27">
        <f>YEAR(E750)</f>
        <v/>
      </c>
      <c r="C750" s="18">
        <f>INDEX({"Janeiro";"Fevereiro";"Março";"Abril";"Maio";"Junho";"Julho";"Agosto";"Setembro";"Outubro";"Novembro";"Dezembro"},Q750)</f>
        <v/>
      </c>
      <c r="D750" s="19" t="n">
        <v>5</v>
      </c>
      <c r="E750" s="20" t="n">
        <v>46139</v>
      </c>
      <c r="F750" s="18" t="inlineStr">
        <is>
          <t>Doce de Leite Zero Açúcar e Lactose 400g</t>
        </is>
      </c>
      <c r="G750" s="18" t="inlineStr">
        <is>
          <t>DOCE</t>
        </is>
      </c>
      <c r="H750" s="21" t="n">
        <v>0.4</v>
      </c>
      <c r="I750" s="36" t="n">
        <v>0</v>
      </c>
      <c r="J750" s="21">
        <f>I750*H750</f>
        <v/>
      </c>
      <c r="K750" s="21">
        <f>IFERROR(IF(J750/P750&gt;1,P750,J750),0)</f>
        <v/>
      </c>
      <c r="L750" s="36" t="n">
        <v>0</v>
      </c>
      <c r="M750" s="21">
        <f>L750*H750</f>
        <v/>
      </c>
      <c r="N750" s="21">
        <f>IFERROR(IF(M750/K750&gt;1,K750,M750),0)</f>
        <v/>
      </c>
      <c r="O750" s="36" t="n">
        <v>24000</v>
      </c>
      <c r="P750" s="21">
        <f>O750*H750</f>
        <v/>
      </c>
      <c r="Q750" s="30">
        <f>IF(MONTH(E750+1)=MONTH(E750+6),MONTH(E750+1),IF(MIN(EOMONTH(E750+1,0),E750+6)-(E750+1)+1&gt;=3,MONTH(E750+1),MONTH(E750+6)))</f>
        <v/>
      </c>
      <c r="R750" s="22">
        <f>IFERROR(K750/P750, 0)</f>
        <v/>
      </c>
      <c r="S750" s="38">
        <f>IFERROR(N750/P750,0)</f>
        <v/>
      </c>
      <c r="T750" s="31">
        <f>IFERROR(IF(N750&gt;0,(N750/K750),MIN(1,M750/J750)),0)</f>
        <v/>
      </c>
      <c r="U750" s="33" t="n"/>
    </row>
    <row r="751" hidden="1" s="40">
      <c r="A751" s="23" t="inlineStr">
        <is>
          <t>Semana 5 - abril</t>
        </is>
      </c>
      <c r="B751" s="27">
        <f>YEAR(E751)</f>
        <v/>
      </c>
      <c r="C751" s="18">
        <f>INDEX({"Janeiro";"Fevereiro";"Março";"Abril";"Maio";"Junho";"Julho";"Agosto";"Setembro";"Outubro";"Novembro";"Dezembro"},Q751)</f>
        <v/>
      </c>
      <c r="D751" s="24" t="n">
        <v>5</v>
      </c>
      <c r="E751" s="25" t="n">
        <v>46139</v>
      </c>
      <c r="F751" s="23" t="inlineStr">
        <is>
          <t>Doce de Leite c/ Café 400</t>
        </is>
      </c>
      <c r="G751" s="23" t="inlineStr">
        <is>
          <t>DOCE</t>
        </is>
      </c>
      <c r="H751" s="26" t="n">
        <v>0.4</v>
      </c>
      <c r="I751" s="36" t="n">
        <v>0</v>
      </c>
      <c r="J751" s="21">
        <f>I751*H751</f>
        <v/>
      </c>
      <c r="K751" s="21">
        <f>IFERROR(IF(J751/P751&gt;1,P751,J751),0)</f>
        <v/>
      </c>
      <c r="L751" s="36" t="n">
        <v>0</v>
      </c>
      <c r="M751" s="21">
        <f>L751*H751</f>
        <v/>
      </c>
      <c r="N751" s="21">
        <f>IFERROR(IF(M751/K751&gt;1,K751,M751),0)</f>
        <v/>
      </c>
      <c r="O751" s="36" t="n">
        <v>0</v>
      </c>
      <c r="P751" s="21">
        <f>O751*H751</f>
        <v/>
      </c>
      <c r="Q751" s="30">
        <f>IF(MONTH(E751+1)=MONTH(E751+6),MONTH(E751+1),IF(MIN(EOMONTH(E751+1,0),E751+6)-(E751+1)+1&gt;=3,MONTH(E751+1),MONTH(E751+6)))</f>
        <v/>
      </c>
      <c r="R751" s="22">
        <f>IFERROR(K751/P751, 0)</f>
        <v/>
      </c>
      <c r="S751" s="38">
        <f>IFERROR(N751/P751,0)</f>
        <v/>
      </c>
      <c r="T751" s="31">
        <f>IFERROR(IF(N751&gt;0,(N751/K751),MIN(1,M751/J751)),0)</f>
        <v/>
      </c>
      <c r="U751" s="33" t="n"/>
    </row>
    <row r="752" hidden="1" s="40">
      <c r="A752" s="18" t="inlineStr">
        <is>
          <t>Semana 5 - abril</t>
        </is>
      </c>
      <c r="B752" s="27">
        <f>YEAR(E752)</f>
        <v/>
      </c>
      <c r="C752" s="18">
        <f>INDEX({"Janeiro";"Fevereiro";"Março";"Abril";"Maio";"Junho";"Julho";"Agosto";"Setembro";"Outubro";"Novembro";"Dezembro"},Q752)</f>
        <v/>
      </c>
      <c r="D752" s="19" t="n">
        <v>5</v>
      </c>
      <c r="E752" s="20" t="n">
        <v>46139</v>
      </c>
      <c r="F752" s="18" t="inlineStr">
        <is>
          <t>Doce de Leite c/ Café 5kg</t>
        </is>
      </c>
      <c r="G752" s="18" t="inlineStr">
        <is>
          <t>DOCE</t>
        </is>
      </c>
      <c r="H752" s="21" t="n">
        <v>5</v>
      </c>
      <c r="I752" s="36" t="n">
        <v>0</v>
      </c>
      <c r="J752" s="21">
        <f>I752*H752</f>
        <v/>
      </c>
      <c r="K752" s="21">
        <f>IFERROR(IF(J752/P752&gt;1,P752,J752),0)</f>
        <v/>
      </c>
      <c r="L752" s="36" t="n">
        <v>0</v>
      </c>
      <c r="M752" s="21">
        <f>L752*H752</f>
        <v/>
      </c>
      <c r="N752" s="21">
        <f>IFERROR(IF(M752/K752&gt;1,K752,M752),0)</f>
        <v/>
      </c>
      <c r="O752" s="36" t="n">
        <v>0</v>
      </c>
      <c r="P752" s="21">
        <f>O752*H752</f>
        <v/>
      </c>
      <c r="Q752" s="30">
        <f>IF(MONTH(E752+1)=MONTH(E752+6),MONTH(E752+1),IF(MIN(EOMONTH(E752+1,0),E752+6)-(E752+1)+1&gt;=3,MONTH(E752+1),MONTH(E752+6)))</f>
        <v/>
      </c>
      <c r="R752" s="22">
        <f>IFERROR(K752/P752, 0)</f>
        <v/>
      </c>
      <c r="S752" s="38">
        <f>IFERROR(N752/P752,0)</f>
        <v/>
      </c>
      <c r="T752" s="31">
        <f>IFERROR(IF(N752&gt;0,(N752/K752),MIN(1,M752/J752)),0)</f>
        <v/>
      </c>
      <c r="U752" s="33" t="n"/>
    </row>
    <row r="753" hidden="1" s="40">
      <c r="A753" s="23" t="inlineStr">
        <is>
          <t>Semana 5 - abril</t>
        </is>
      </c>
      <c r="B753" s="27">
        <f>YEAR(E753)</f>
        <v/>
      </c>
      <c r="C753" s="18">
        <f>INDEX({"Janeiro";"Fevereiro";"Março";"Abril";"Maio";"Junho";"Julho";"Agosto";"Setembro";"Outubro";"Novembro";"Dezembro"},Q753)</f>
        <v/>
      </c>
      <c r="D753" s="24" t="n">
        <v>5</v>
      </c>
      <c r="E753" s="25" t="n">
        <v>46139</v>
      </c>
      <c r="F753" s="23" t="inlineStr">
        <is>
          <t>Doce de Leite c/ coco 400</t>
        </is>
      </c>
      <c r="G753" s="23" t="inlineStr">
        <is>
          <t>DOCE</t>
        </is>
      </c>
      <c r="H753" s="26" t="n">
        <v>0.4</v>
      </c>
      <c r="I753" s="36" t="n">
        <v>0</v>
      </c>
      <c r="J753" s="21">
        <f>I753*H753</f>
        <v/>
      </c>
      <c r="K753" s="21">
        <f>IFERROR(IF(J753/P753&gt;1,P753,J753),0)</f>
        <v/>
      </c>
      <c r="L753" s="36" t="n">
        <v>0</v>
      </c>
      <c r="M753" s="21">
        <f>L753*H753</f>
        <v/>
      </c>
      <c r="N753" s="21">
        <f>IFERROR(IF(M753/K753&gt;1,K753,M753),0)</f>
        <v/>
      </c>
      <c r="O753" s="36" t="n">
        <v>0</v>
      </c>
      <c r="P753" s="21">
        <f>O753*H753</f>
        <v/>
      </c>
      <c r="Q753" s="30">
        <f>IF(MONTH(E753+1)=MONTH(E753+6),MONTH(E753+1),IF(MIN(EOMONTH(E753+1,0),E753+6)-(E753+1)+1&gt;=3,MONTH(E753+1),MONTH(E753+6)))</f>
        <v/>
      </c>
      <c r="R753" s="22">
        <f>IFERROR(K753/P753, 0)</f>
        <v/>
      </c>
      <c r="S753" s="38">
        <f>IFERROR(N753/P753,0)</f>
        <v/>
      </c>
      <c r="T753" s="31">
        <f>IFERROR(IF(N753&gt;0,(N753/K753),MIN(1,M753/J753)),0)</f>
        <v/>
      </c>
      <c r="U753" s="33" t="n"/>
    </row>
    <row r="754" hidden="1" s="40">
      <c r="A754" s="18" t="inlineStr">
        <is>
          <t>Semana 5 - abril</t>
        </is>
      </c>
      <c r="B754" s="27">
        <f>YEAR(E754)</f>
        <v/>
      </c>
      <c r="C754" s="18">
        <f>INDEX({"Janeiro";"Fevereiro";"Março";"Abril";"Maio";"Junho";"Julho";"Agosto";"Setembro";"Outubro";"Novembro";"Dezembro"},Q754)</f>
        <v/>
      </c>
      <c r="D754" s="19" t="n">
        <v>5</v>
      </c>
      <c r="E754" s="20" t="n">
        <v>46139</v>
      </c>
      <c r="F754" s="18" t="inlineStr">
        <is>
          <t>IOGURTE VIÇOSA MORANGO LIGHT 180g</t>
        </is>
      </c>
      <c r="G754" s="18" t="inlineStr">
        <is>
          <t>IOGURTE</t>
        </is>
      </c>
      <c r="H754" s="21" t="n">
        <v>0.18</v>
      </c>
      <c r="I754" s="36" t="n">
        <v>0</v>
      </c>
      <c r="J754" s="21">
        <f>I754*H754</f>
        <v/>
      </c>
      <c r="K754" s="21">
        <f>IFERROR(IF(J754/P754&gt;1,P754,J754),0)</f>
        <v/>
      </c>
      <c r="L754" s="36" t="n">
        <v>0</v>
      </c>
      <c r="M754" s="21">
        <f>L754*H754</f>
        <v/>
      </c>
      <c r="N754" s="21">
        <f>IFERROR(IF(M754/K754&gt;1,K754,M754),0)</f>
        <v/>
      </c>
      <c r="O754" s="36" t="n">
        <v>0</v>
      </c>
      <c r="P754" s="21">
        <f>O754*H754</f>
        <v/>
      </c>
      <c r="Q754" s="30">
        <f>IF(MONTH(E754+1)=MONTH(E754+6),MONTH(E754+1),IF(MIN(EOMONTH(E754+1,0),E754+6)-(E754+1)+1&gt;=3,MONTH(E754+1),MONTH(E754+6)))</f>
        <v/>
      </c>
      <c r="R754" s="22">
        <f>IFERROR(K754/P754, 0)</f>
        <v/>
      </c>
      <c r="S754" s="38">
        <f>IFERROR(N754/P754,0)</f>
        <v/>
      </c>
      <c r="T754" s="31">
        <f>IFERROR(IF(N754&gt;0,(N754/K754),MIN(1,M754/J754)),0)</f>
        <v/>
      </c>
      <c r="U754" s="33" t="n"/>
    </row>
    <row r="755" hidden="1" s="40">
      <c r="A755" s="23" t="inlineStr">
        <is>
          <t>Semana 5 - abril</t>
        </is>
      </c>
      <c r="B755" s="27">
        <f>YEAR(E755)</f>
        <v/>
      </c>
      <c r="C755" s="18">
        <f>INDEX({"Janeiro";"Fevereiro";"Março";"Abril";"Maio";"Junho";"Julho";"Agosto";"Setembro";"Outubro";"Novembro";"Dezembro"},Q755)</f>
        <v/>
      </c>
      <c r="D755" s="24" t="n">
        <v>5</v>
      </c>
      <c r="E755" s="25" t="n">
        <v>46139</v>
      </c>
      <c r="F755" s="23" t="inlineStr">
        <is>
          <t>IOGURTE VIÇOSA MORANGO LIGHT 800g</t>
        </is>
      </c>
      <c r="G755" s="23" t="inlineStr">
        <is>
          <t>IOGURTE</t>
        </is>
      </c>
      <c r="H755" s="26" t="n">
        <v>0.8</v>
      </c>
      <c r="I755" s="36" t="n">
        <v>0</v>
      </c>
      <c r="J755" s="21">
        <f>I755*H755</f>
        <v/>
      </c>
      <c r="K755" s="21">
        <f>IFERROR(IF(J755/P755&gt;1,P755,J755),0)</f>
        <v/>
      </c>
      <c r="L755" s="36" t="n">
        <v>0</v>
      </c>
      <c r="M755" s="21">
        <f>L755*H755</f>
        <v/>
      </c>
      <c r="N755" s="21">
        <f>IFERROR(IF(M755/K755&gt;1,K755,M755),0)</f>
        <v/>
      </c>
      <c r="O755" s="36" t="n">
        <v>0</v>
      </c>
      <c r="P755" s="21">
        <f>O755*H755</f>
        <v/>
      </c>
      <c r="Q755" s="30">
        <f>IF(MONTH(E755+1)=MONTH(E755+6),MONTH(E755+1),IF(MIN(EOMONTH(E755+1,0),E755+6)-(E755+1)+1&gt;=3,MONTH(E755+1),MONTH(E755+6)))</f>
        <v/>
      </c>
      <c r="R755" s="22">
        <f>IFERROR(K755/P755, 0)</f>
        <v/>
      </c>
      <c r="S755" s="38">
        <f>IFERROR(N755/P755,0)</f>
        <v/>
      </c>
      <c r="T755" s="31">
        <f>IFERROR(IF(N755&gt;0,(N755/K755),MIN(1,M755/J755)),0)</f>
        <v/>
      </c>
      <c r="U755" s="33" t="n"/>
    </row>
    <row r="756" hidden="1" s="40">
      <c r="A756" s="23" t="inlineStr">
        <is>
          <t>Semana 5 - abril</t>
        </is>
      </c>
      <c r="B756" s="27">
        <f>YEAR(E756)</f>
        <v/>
      </c>
      <c r="C756" s="18">
        <f>INDEX({"Janeiro";"Fevereiro";"Março";"Abril";"Maio";"Junho";"Julho";"Agosto";"Setembro";"Outubro";"Novembro";"Dezembro"},Q756)</f>
        <v/>
      </c>
      <c r="D756" s="24" t="n">
        <v>5</v>
      </c>
      <c r="E756" s="25" t="n">
        <v>46139</v>
      </c>
      <c r="F756" s="23" t="inlineStr">
        <is>
          <t>Iogurte Abacaxi c/ Coco 120g</t>
        </is>
      </c>
      <c r="G756" s="23" t="inlineStr">
        <is>
          <t>IOGURTE</t>
        </is>
      </c>
      <c r="H756" s="26" t="n">
        <v>0.12</v>
      </c>
      <c r="I756" s="36" t="n">
        <v>1500</v>
      </c>
      <c r="J756" s="21">
        <f>I756*H756</f>
        <v/>
      </c>
      <c r="K756" s="21">
        <f>IFERROR(IF(J756/P756&gt;1,P756,J756),0)</f>
        <v/>
      </c>
      <c r="L756" s="36" t="n">
        <v>1572</v>
      </c>
      <c r="M756" s="21">
        <f>L756*H756</f>
        <v/>
      </c>
      <c r="N756" s="21">
        <f>IFERROR(IF(M756/K756&gt;1,K756,M756),0)</f>
        <v/>
      </c>
      <c r="O756" s="36" t="n">
        <v>1500</v>
      </c>
      <c r="P756" s="21">
        <f>O756*H756</f>
        <v/>
      </c>
      <c r="Q756" s="30">
        <f>IF(MONTH(E756+1)=MONTH(E756+6),MONTH(E756+1),IF(MIN(EOMONTH(E756+1,0),E756+6)-(E756+1)+1&gt;=3,MONTH(E756+1),MONTH(E756+6)))</f>
        <v/>
      </c>
      <c r="R756" s="22">
        <f>IFERROR(K756/P756, 0)</f>
        <v/>
      </c>
      <c r="S756" s="38">
        <f>IFERROR(N756/P756,0)</f>
        <v/>
      </c>
      <c r="T756" s="31">
        <f>IFERROR(IF(N756&gt;0,(N756/K756),MIN(1,M756/J756)),0)</f>
        <v/>
      </c>
      <c r="U756" s="33" t="n"/>
    </row>
    <row r="757" hidden="1" s="40">
      <c r="A757" s="18" t="inlineStr">
        <is>
          <t>Semana 5 - abril</t>
        </is>
      </c>
      <c r="B757" s="27">
        <f>YEAR(E757)</f>
        <v/>
      </c>
      <c r="C757" s="18">
        <f>INDEX({"Janeiro";"Fevereiro";"Março";"Abril";"Maio";"Junho";"Julho";"Agosto";"Setembro";"Outubro";"Novembro";"Dezembro"},Q757)</f>
        <v/>
      </c>
      <c r="D757" s="19" t="n">
        <v>5</v>
      </c>
      <c r="E757" s="20" t="n">
        <v>46139</v>
      </c>
      <c r="F757" s="18" t="inlineStr">
        <is>
          <t>Iogurte Abacaxi c/ Coco 185g</t>
        </is>
      </c>
      <c r="G757" s="18" t="inlineStr">
        <is>
          <t>IOGURTE</t>
        </is>
      </c>
      <c r="H757" s="21" t="n">
        <v>0.185</v>
      </c>
      <c r="I757" s="36" t="n">
        <v>520</v>
      </c>
      <c r="J757" s="21">
        <f>I757*H757</f>
        <v/>
      </c>
      <c r="K757" s="21">
        <f>IFERROR(IF(J757/P757&gt;1,P757,J757),0)</f>
        <v/>
      </c>
      <c r="L757" s="36" t="n">
        <v>493</v>
      </c>
      <c r="M757" s="21">
        <f>L757*H757</f>
        <v/>
      </c>
      <c r="N757" s="21">
        <f>IFERROR(IF(M757/K757&gt;1,K757,M757),0)</f>
        <v/>
      </c>
      <c r="O757" s="36" t="n">
        <v>520</v>
      </c>
      <c r="P757" s="21">
        <f>O757*H757</f>
        <v/>
      </c>
      <c r="Q757" s="30">
        <f>IF(MONTH(E757+1)=MONTH(E757+6),MONTH(E757+1),IF(MIN(EOMONTH(E757+1,0),E757+6)-(E757+1)+1&gt;=3,MONTH(E757+1),MONTH(E757+6)))</f>
        <v/>
      </c>
      <c r="R757" s="22">
        <f>IFERROR(K757/P757, 0)</f>
        <v/>
      </c>
      <c r="S757" s="38">
        <f>IFERROR(N757/P757,0)</f>
        <v/>
      </c>
      <c r="T757" s="31">
        <f>IFERROR(IF(N757&gt;0,(N757/K757),MIN(1,M757/J757)),0)</f>
        <v/>
      </c>
      <c r="U757" s="33" t="n"/>
    </row>
    <row r="758" hidden="1" s="40">
      <c r="A758" s="23" t="inlineStr">
        <is>
          <t>Semana 5 - abril</t>
        </is>
      </c>
      <c r="B758" s="27">
        <f>YEAR(E758)</f>
        <v/>
      </c>
      <c r="C758" s="18">
        <f>INDEX({"Janeiro";"Fevereiro";"Março";"Abril";"Maio";"Junho";"Julho";"Agosto";"Setembro";"Outubro";"Novembro";"Dezembro"},Q758)</f>
        <v/>
      </c>
      <c r="D758" s="24" t="n">
        <v>5</v>
      </c>
      <c r="E758" s="25" t="n">
        <v>46139</v>
      </c>
      <c r="F758" s="23" t="inlineStr">
        <is>
          <t>Iogurte Abacaxi c/ Coco 900g</t>
        </is>
      </c>
      <c r="G758" s="23" t="inlineStr">
        <is>
          <t>IOGURTE</t>
        </is>
      </c>
      <c r="H758" s="26" t="n">
        <v>0.9</v>
      </c>
      <c r="I758" s="36" t="n">
        <v>1260</v>
      </c>
      <c r="J758" s="21">
        <f>I758*H758</f>
        <v/>
      </c>
      <c r="K758" s="21">
        <f>IFERROR(IF(J758/P758&gt;1,P758,J758),0)</f>
        <v/>
      </c>
      <c r="L758" s="36" t="n">
        <v>1252</v>
      </c>
      <c r="M758" s="21">
        <f>L758*H758</f>
        <v/>
      </c>
      <c r="N758" s="21">
        <f>IFERROR(IF(M758/K758&gt;1,K758,M758),0)</f>
        <v/>
      </c>
      <c r="O758" s="36" t="n">
        <v>1300</v>
      </c>
      <c r="P758" s="21">
        <f>O758*H758</f>
        <v/>
      </c>
      <c r="Q758" s="30">
        <f>IF(MONTH(E758+1)=MONTH(E758+6),MONTH(E758+1),IF(MIN(EOMONTH(E758+1,0),E758+6)-(E758+1)+1&gt;=3,MONTH(E758+1),MONTH(E758+6)))</f>
        <v/>
      </c>
      <c r="R758" s="22">
        <f>IFERROR(K758/P758, 0)</f>
        <v/>
      </c>
      <c r="S758" s="38">
        <f>IFERROR(N758/P758,0)</f>
        <v/>
      </c>
      <c r="T758" s="31">
        <f>IFERROR(IF(N758&gt;0,(N758/K758),MIN(1,M758/J758)),0)</f>
        <v/>
      </c>
      <c r="U758" s="33" t="n"/>
    </row>
    <row r="759" hidden="1" s="40">
      <c r="A759" s="23" t="inlineStr">
        <is>
          <t>Semana 5 - abril</t>
        </is>
      </c>
      <c r="B759" s="27">
        <f>YEAR(E759)</f>
        <v/>
      </c>
      <c r="C759" s="18">
        <f>INDEX({"Janeiro";"Fevereiro";"Março";"Abril";"Maio";"Junho";"Julho";"Agosto";"Setembro";"Outubro";"Novembro";"Dezembro"},Q759)</f>
        <v/>
      </c>
      <c r="D759" s="24" t="n">
        <v>5</v>
      </c>
      <c r="E759" s="25" t="n">
        <v>46139</v>
      </c>
      <c r="F759" s="23" t="inlineStr">
        <is>
          <t>Iogurte Coco 120g</t>
        </is>
      </c>
      <c r="G759" s="23" t="inlineStr">
        <is>
          <t>IOGURTE</t>
        </is>
      </c>
      <c r="H759" s="26" t="n">
        <v>0.12</v>
      </c>
      <c r="I759" s="36" t="n">
        <v>5000</v>
      </c>
      <c r="J759" s="21">
        <f>I759*H759</f>
        <v/>
      </c>
      <c r="K759" s="21">
        <f>IFERROR(IF(J759/P759&gt;1,P759,J759),0)</f>
        <v/>
      </c>
      <c r="L759" s="36" t="n">
        <v>5038</v>
      </c>
      <c r="M759" s="21">
        <f>L759*H759</f>
        <v/>
      </c>
      <c r="N759" s="21">
        <f>IFERROR(IF(M759/K759&gt;1,K759,M759),0)</f>
        <v/>
      </c>
      <c r="O759" s="36" t="n">
        <v>5000</v>
      </c>
      <c r="P759" s="21">
        <f>O759*H759</f>
        <v/>
      </c>
      <c r="Q759" s="30">
        <f>IF(MONTH(E759+1)=MONTH(E759+6),MONTH(E759+1),IF(MIN(EOMONTH(E759+1,0),E759+6)-(E759+1)+1&gt;=3,MONTH(E759+1),MONTH(E759+6)))</f>
        <v/>
      </c>
      <c r="R759" s="22">
        <f>IFERROR(K759/P759, 0)</f>
        <v/>
      </c>
      <c r="S759" s="38">
        <f>IFERROR(N759/P759,0)</f>
        <v/>
      </c>
      <c r="T759" s="31">
        <f>IFERROR(IF(N759&gt;0,(N759/K759),MIN(1,M759/J759)),0)</f>
        <v/>
      </c>
      <c r="U759" s="33" t="n"/>
    </row>
    <row r="760" hidden="1" s="40">
      <c r="A760" s="18" t="inlineStr">
        <is>
          <t>Semana 5 - abril</t>
        </is>
      </c>
      <c r="B760" s="27">
        <f>YEAR(E760)</f>
        <v/>
      </c>
      <c r="C760" s="18">
        <f>INDEX({"Janeiro";"Fevereiro";"Março";"Abril";"Maio";"Junho";"Julho";"Agosto";"Setembro";"Outubro";"Novembro";"Dezembro"},Q760)</f>
        <v/>
      </c>
      <c r="D760" s="19" t="n">
        <v>5</v>
      </c>
      <c r="E760" s="20" t="n">
        <v>46139</v>
      </c>
      <c r="F760" s="18" t="inlineStr">
        <is>
          <t>Iogurte Coco 185g</t>
        </is>
      </c>
      <c r="G760" s="18" t="inlineStr">
        <is>
          <t>IOGURTE</t>
        </is>
      </c>
      <c r="H760" s="21" t="n">
        <v>0.185</v>
      </c>
      <c r="I760" s="36" t="n">
        <v>780</v>
      </c>
      <c r="J760" s="21">
        <f>I760*H760</f>
        <v/>
      </c>
      <c r="K760" s="21">
        <f>IFERROR(IF(J760/P760&gt;1,P760,J760),0)</f>
        <v/>
      </c>
      <c r="L760" s="36" t="n">
        <v>711</v>
      </c>
      <c r="M760" s="21">
        <f>L760*H760</f>
        <v/>
      </c>
      <c r="N760" s="21">
        <f>IFERROR(IF(M760/K760&gt;1,K760,M760),0)</f>
        <v/>
      </c>
      <c r="O760" s="36" t="n">
        <v>780</v>
      </c>
      <c r="P760" s="21">
        <f>O760*H760</f>
        <v/>
      </c>
      <c r="Q760" s="30">
        <f>IF(MONTH(E760+1)=MONTH(E760+6),MONTH(E760+1),IF(MIN(EOMONTH(E760+1,0),E760+6)-(E760+1)+1&gt;=3,MONTH(E760+1),MONTH(E760+6)))</f>
        <v/>
      </c>
      <c r="R760" s="22">
        <f>IFERROR(K760/P760, 0)</f>
        <v/>
      </c>
      <c r="S760" s="38">
        <f>IFERROR(N760/P760,0)</f>
        <v/>
      </c>
      <c r="T760" s="31">
        <f>IFERROR(IF(N760&gt;0,(N760/K760),MIN(1,M760/J760)),0)</f>
        <v/>
      </c>
      <c r="U760" s="33" t="n"/>
    </row>
    <row r="761" hidden="1" s="40">
      <c r="A761" s="23" t="inlineStr">
        <is>
          <t>Semana 5 - abril</t>
        </is>
      </c>
      <c r="B761" s="27">
        <f>YEAR(E761)</f>
        <v/>
      </c>
      <c r="C761" s="18">
        <f>INDEX({"Janeiro";"Fevereiro";"Março";"Abril";"Maio";"Junho";"Julho";"Agosto";"Setembro";"Outubro";"Novembro";"Dezembro"},Q761)</f>
        <v/>
      </c>
      <c r="D761" s="24" t="n">
        <v>5</v>
      </c>
      <c r="E761" s="25" t="n">
        <v>46139</v>
      </c>
      <c r="F761" s="23" t="inlineStr">
        <is>
          <t>Iogurte Coco 900g</t>
        </is>
      </c>
      <c r="G761" s="23" t="inlineStr">
        <is>
          <t>IOGURTE</t>
        </is>
      </c>
      <c r="H761" s="26" t="n">
        <v>0.9</v>
      </c>
      <c r="I761" s="36" t="n">
        <v>1260</v>
      </c>
      <c r="J761" s="21">
        <f>I761*H761</f>
        <v/>
      </c>
      <c r="K761" s="21">
        <f>IFERROR(IF(J761/P761&gt;1,P761,J761),0)</f>
        <v/>
      </c>
      <c r="L761" s="36" t="n">
        <v>1794</v>
      </c>
      <c r="M761" s="21">
        <f>L761*H761</f>
        <v/>
      </c>
      <c r="N761" s="21">
        <f>IFERROR(IF(M761/K761&gt;1,K761,M761),0)</f>
        <v/>
      </c>
      <c r="O761" s="36" t="n">
        <v>1600</v>
      </c>
      <c r="P761" s="21">
        <f>O761*H761</f>
        <v/>
      </c>
      <c r="Q761" s="30">
        <f>IF(MONTH(E761+1)=MONTH(E761+6),MONTH(E761+1),IF(MIN(EOMONTH(E761+1,0),E761+6)-(E761+1)+1&gt;=3,MONTH(E761+1),MONTH(E761+6)))</f>
        <v/>
      </c>
      <c r="R761" s="22">
        <f>IFERROR(K761/P761, 0)</f>
        <v/>
      </c>
      <c r="S761" s="38">
        <f>IFERROR(N761/P761,0)</f>
        <v/>
      </c>
      <c r="T761" s="31">
        <f>IFERROR(IF(N761&gt;0,(N761/K761),MIN(1,M761/J761)),0)</f>
        <v/>
      </c>
      <c r="U761" s="33" t="n"/>
    </row>
    <row r="762" hidden="1" s="40">
      <c r="A762" s="18" t="inlineStr">
        <is>
          <t>Semana 5 - abril</t>
        </is>
      </c>
      <c r="B762" s="27">
        <f>YEAR(E762)</f>
        <v/>
      </c>
      <c r="C762" s="18">
        <f>INDEX({"Janeiro";"Fevereiro";"Março";"Abril";"Maio";"Junho";"Julho";"Agosto";"Setembro";"Outubro";"Novembro";"Dezembro"},Q762)</f>
        <v/>
      </c>
      <c r="D762" s="19" t="n">
        <v>5</v>
      </c>
      <c r="E762" s="20" t="n">
        <v>46139</v>
      </c>
      <c r="F762" s="18" t="inlineStr">
        <is>
          <t>Iogurte Grego Frutas vermelhas 120g</t>
        </is>
      </c>
      <c r="G762" s="18" t="inlineStr">
        <is>
          <t>IOGURTE</t>
        </is>
      </c>
      <c r="H762" s="21" t="n">
        <v>0.17</v>
      </c>
      <c r="I762" s="36" t="n">
        <v>0</v>
      </c>
      <c r="J762" s="21">
        <f>I762*H762</f>
        <v/>
      </c>
      <c r="K762" s="21">
        <f>IFERROR(IF(J762/P762&gt;1,P762,J762),0)</f>
        <v/>
      </c>
      <c r="L762" s="36" t="n">
        <v>0</v>
      </c>
      <c r="M762" s="21">
        <f>L762*H762</f>
        <v/>
      </c>
      <c r="N762" s="21">
        <f>IFERROR(IF(M762/K762&gt;1,K762,M762),0)</f>
        <v/>
      </c>
      <c r="O762" s="36" t="n">
        <v>1400</v>
      </c>
      <c r="P762" s="21">
        <f>O762*H762</f>
        <v/>
      </c>
      <c r="Q762" s="30">
        <f>IF(MONTH(E762+1)=MONTH(E762+6),MONTH(E762+1),IF(MIN(EOMONTH(E762+1,0),E762+6)-(E762+1)+1&gt;=3,MONTH(E762+1),MONTH(E762+6)))</f>
        <v/>
      </c>
      <c r="R762" s="22">
        <f>IFERROR(K762/P762, 0)</f>
        <v/>
      </c>
      <c r="S762" s="38">
        <f>IFERROR(N762/P762,0)</f>
        <v/>
      </c>
      <c r="T762" s="31">
        <f>IFERROR(IF(N762&gt;0,(N762/K762),MIN(1,M762/J762)),0)</f>
        <v/>
      </c>
      <c r="U762" s="33" t="n"/>
    </row>
    <row r="763" hidden="1" s="40">
      <c r="A763" s="18" t="inlineStr">
        <is>
          <t>Semana 5 - abril</t>
        </is>
      </c>
      <c r="B763" s="27">
        <f>YEAR(E763)</f>
        <v/>
      </c>
      <c r="C763" s="18">
        <f>INDEX({"Janeiro";"Fevereiro";"Março";"Abril";"Maio";"Junho";"Julho";"Agosto";"Setembro";"Outubro";"Novembro";"Dezembro"},Q763)</f>
        <v/>
      </c>
      <c r="D763" s="19" t="n">
        <v>5</v>
      </c>
      <c r="E763" s="20" t="n">
        <v>46139</v>
      </c>
      <c r="F763" s="18" t="inlineStr">
        <is>
          <t>Iogurte Morango 120g</t>
        </is>
      </c>
      <c r="G763" s="18" t="inlineStr">
        <is>
          <t>IOGURTE</t>
        </is>
      </c>
      <c r="H763" s="21" t="n">
        <v>0.12</v>
      </c>
      <c r="I763" s="36" t="n">
        <v>25000</v>
      </c>
      <c r="J763" s="21">
        <f>I763*H763</f>
        <v/>
      </c>
      <c r="K763" s="21">
        <f>IFERROR(IF(J763/P763&gt;1,P763,J763),0)</f>
        <v/>
      </c>
      <c r="L763" s="36" t="n">
        <v>26632</v>
      </c>
      <c r="M763" s="21">
        <f>L763*H763</f>
        <v/>
      </c>
      <c r="N763" s="21">
        <f>IFERROR(IF(M763/K763&gt;1,K763,M763),0)</f>
        <v/>
      </c>
      <c r="O763" s="36" t="n">
        <v>32000</v>
      </c>
      <c r="P763" s="21">
        <f>O763*H763</f>
        <v/>
      </c>
      <c r="Q763" s="30">
        <f>IF(MONTH(E763+1)=MONTH(E763+6),MONTH(E763+1),IF(MIN(EOMONTH(E763+1,0),E763+6)-(E763+1)+1&gt;=3,MONTH(E763+1),MONTH(E763+6)))</f>
        <v/>
      </c>
      <c r="R763" s="22">
        <f>IFERROR(K763/P763, 0)</f>
        <v/>
      </c>
      <c r="S763" s="38">
        <f>IFERROR(N763/P763,0)</f>
        <v/>
      </c>
      <c r="T763" s="31">
        <f>IFERROR(IF(N763&gt;0,(N763/K763),MIN(1,M763/J763)),0)</f>
        <v/>
      </c>
      <c r="U763" s="33" t="n"/>
    </row>
    <row r="764" hidden="1" s="40">
      <c r="A764" s="23" t="inlineStr">
        <is>
          <t>Semana 5 - abril</t>
        </is>
      </c>
      <c r="B764" s="27">
        <f>YEAR(E764)</f>
        <v/>
      </c>
      <c r="C764" s="18">
        <f>INDEX({"Janeiro";"Fevereiro";"Março";"Abril";"Maio";"Junho";"Julho";"Agosto";"Setembro";"Outubro";"Novembro";"Dezembro"},Q764)</f>
        <v/>
      </c>
      <c r="D764" s="24" t="n">
        <v>5</v>
      </c>
      <c r="E764" s="25" t="n">
        <v>46139</v>
      </c>
      <c r="F764" s="23" t="inlineStr">
        <is>
          <t>Iogurte Morango 185g</t>
        </is>
      </c>
      <c r="G764" s="23" t="inlineStr">
        <is>
          <t>IOGURTE</t>
        </is>
      </c>
      <c r="H764" s="26" t="n">
        <v>0.185</v>
      </c>
      <c r="I764" s="36" t="n">
        <v>1560</v>
      </c>
      <c r="J764" s="21">
        <f>I764*H764</f>
        <v/>
      </c>
      <c r="K764" s="21">
        <f>IFERROR(IF(J764/P764&gt;1,P764,J764),0)</f>
        <v/>
      </c>
      <c r="L764" s="36" t="n">
        <v>1517</v>
      </c>
      <c r="M764" s="21">
        <f>L764*H764</f>
        <v/>
      </c>
      <c r="N764" s="21">
        <f>IFERROR(IF(M764/K764&gt;1,K764,M764),0)</f>
        <v/>
      </c>
      <c r="O764" s="36" t="n">
        <v>1560</v>
      </c>
      <c r="P764" s="21">
        <f>O764*H764</f>
        <v/>
      </c>
      <c r="Q764" s="30">
        <f>IF(MONTH(E764+1)=MONTH(E764+6),MONTH(E764+1),IF(MIN(EOMONTH(E764+1,0),E764+6)-(E764+1)+1&gt;=3,MONTH(E764+1),MONTH(E764+6)))</f>
        <v/>
      </c>
      <c r="R764" s="22">
        <f>IFERROR(K764/P764, 0)</f>
        <v/>
      </c>
      <c r="S764" s="38">
        <f>IFERROR(N764/P764,0)</f>
        <v/>
      </c>
      <c r="T764" s="31">
        <f>IFERROR(IF(N764&gt;0,(N764/K764),MIN(1,M764/J764)),0)</f>
        <v/>
      </c>
      <c r="U764" s="33" t="n"/>
    </row>
    <row r="765" hidden="1" s="40">
      <c r="A765" s="18" t="inlineStr">
        <is>
          <t>Semana 5 - abril</t>
        </is>
      </c>
      <c r="B765" s="27">
        <f>YEAR(E765)</f>
        <v/>
      </c>
      <c r="C765" s="18">
        <f>INDEX({"Janeiro";"Fevereiro";"Março";"Abril";"Maio";"Junho";"Julho";"Agosto";"Setembro";"Outubro";"Novembro";"Dezembro"},Q765)</f>
        <v/>
      </c>
      <c r="D765" s="19" t="n">
        <v>5</v>
      </c>
      <c r="E765" s="20" t="n">
        <v>46139</v>
      </c>
      <c r="F765" s="18" t="inlineStr">
        <is>
          <t>Iogurte Morango 900G</t>
        </is>
      </c>
      <c r="G765" s="18" t="inlineStr">
        <is>
          <t>IOGURTE</t>
        </is>
      </c>
      <c r="H765" s="21" t="n">
        <v>0.9</v>
      </c>
      <c r="I765" s="36" t="n">
        <v>3330</v>
      </c>
      <c r="J765" s="21">
        <f>I765*H765</f>
        <v/>
      </c>
      <c r="K765" s="21">
        <f>IFERROR(IF(J765/P765&gt;1,P765,J765),0)</f>
        <v/>
      </c>
      <c r="L765" s="36" t="n">
        <v>1940</v>
      </c>
      <c r="M765" s="21">
        <f>L765*H765</f>
        <v/>
      </c>
      <c r="N765" s="21">
        <f>IFERROR(IF(M765/K765&gt;1,K765,M765),0)</f>
        <v/>
      </c>
      <c r="O765" s="36" t="n">
        <v>6200</v>
      </c>
      <c r="P765" s="21">
        <f>O765*H765</f>
        <v/>
      </c>
      <c r="Q765" s="30">
        <f>IF(MONTH(E765+1)=MONTH(E765+6),MONTH(E765+1),IF(MIN(EOMONTH(E765+1,0),E765+6)-(E765+1)+1&gt;=3,MONTH(E765+1),MONTH(E765+6)))</f>
        <v/>
      </c>
      <c r="R765" s="22">
        <f>IFERROR(K765/P765, 0)</f>
        <v/>
      </c>
      <c r="S765" s="38">
        <f>IFERROR(N765/P765,0)</f>
        <v/>
      </c>
      <c r="T765" s="31">
        <f>IFERROR(IF(N765&gt;0,(N765/K765),MIN(1,M765/J765)),0)</f>
        <v/>
      </c>
      <c r="U765" s="33" t="n"/>
    </row>
    <row r="766" hidden="1" s="40">
      <c r="A766" s="23" t="inlineStr">
        <is>
          <t>Semana 5 - abril</t>
        </is>
      </c>
      <c r="B766" s="27">
        <f>YEAR(E766)</f>
        <v/>
      </c>
      <c r="C766" s="18">
        <f>INDEX({"Janeiro";"Fevereiro";"Março";"Abril";"Maio";"Junho";"Julho";"Agosto";"Setembro";"Outubro";"Novembro";"Dezembro"},Q766)</f>
        <v/>
      </c>
      <c r="D766" s="24" t="n">
        <v>5</v>
      </c>
      <c r="E766" s="25" t="n">
        <v>46139</v>
      </c>
      <c r="F766" s="23" t="inlineStr">
        <is>
          <t>Iogurte Natural Integral 170g</t>
        </is>
      </c>
      <c r="G766" s="23" t="inlineStr">
        <is>
          <t>IOGURTE</t>
        </is>
      </c>
      <c r="H766" s="26" t="n">
        <v>0.17</v>
      </c>
      <c r="I766" s="36" t="n">
        <v>3820</v>
      </c>
      <c r="J766" s="21">
        <f>I766*H766</f>
        <v/>
      </c>
      <c r="K766" s="21">
        <f>IFERROR(IF(J766/P766&gt;1,P766,J766),0)</f>
        <v/>
      </c>
      <c r="L766" s="36" t="n">
        <v>3564</v>
      </c>
      <c r="M766" s="21">
        <f>L766*H766</f>
        <v/>
      </c>
      <c r="N766" s="21">
        <f>IFERROR(IF(M766/K766&gt;1,K766,M766),0)</f>
        <v/>
      </c>
      <c r="O766" s="36" t="n">
        <v>3800</v>
      </c>
      <c r="P766" s="21">
        <f>O766*H766</f>
        <v/>
      </c>
      <c r="Q766" s="30">
        <f>IF(MONTH(E766+1)=MONTH(E766+6),MONTH(E766+1),IF(MIN(EOMONTH(E766+1,0),E766+6)-(E766+1)+1&gt;=3,MONTH(E766+1),MONTH(E766+6)))</f>
        <v/>
      </c>
      <c r="R766" s="22">
        <f>IFERROR(K766/P766, 0)</f>
        <v/>
      </c>
      <c r="S766" s="38">
        <f>IFERROR(N766/P766,0)</f>
        <v/>
      </c>
      <c r="T766" s="31">
        <f>IFERROR(IF(N766&gt;0,(N766/K766),MIN(1,M766/J766)),0)</f>
        <v/>
      </c>
      <c r="U766" s="33" t="n"/>
    </row>
    <row r="767" hidden="1" s="40">
      <c r="A767" s="18" t="inlineStr">
        <is>
          <t>Semana 5 - abril</t>
        </is>
      </c>
      <c r="B767" s="27">
        <f>YEAR(E767)</f>
        <v/>
      </c>
      <c r="C767" s="18">
        <f>INDEX({"Janeiro";"Fevereiro";"Março";"Abril";"Maio";"Junho";"Julho";"Agosto";"Setembro";"Outubro";"Novembro";"Dezembro"},Q767)</f>
        <v/>
      </c>
      <c r="D767" s="19" t="n">
        <v>5</v>
      </c>
      <c r="E767" s="20" t="n">
        <v>46139</v>
      </c>
      <c r="F767" s="18" t="inlineStr">
        <is>
          <t>Iogurte Natural Triplo Zero 170g</t>
        </is>
      </c>
      <c r="G767" s="18" t="inlineStr">
        <is>
          <t>IOGURTE</t>
        </is>
      </c>
      <c r="H767" s="21" t="n">
        <v>0.17</v>
      </c>
      <c r="I767" s="36" t="n">
        <v>3820</v>
      </c>
      <c r="J767" s="21">
        <f>I767*H767</f>
        <v/>
      </c>
      <c r="K767" s="21">
        <f>IFERROR(IF(J767/P767&gt;1,P767,J767),0)</f>
        <v/>
      </c>
      <c r="L767" s="36" t="n">
        <v>3301</v>
      </c>
      <c r="M767" s="21">
        <f>L767*H767</f>
        <v/>
      </c>
      <c r="N767" s="21">
        <f>IFERROR(IF(M767/K767&gt;1,K767,M767),0)</f>
        <v/>
      </c>
      <c r="O767" s="36" t="n">
        <v>3800</v>
      </c>
      <c r="P767" s="21">
        <f>O767*H767</f>
        <v/>
      </c>
      <c r="Q767" s="30">
        <f>IF(MONTH(E767+1)=MONTH(E767+6),MONTH(E767+1),IF(MIN(EOMONTH(E767+1,0),E767+6)-(E767+1)+1&gt;=3,MONTH(E767+1),MONTH(E767+6)))</f>
        <v/>
      </c>
      <c r="R767" s="22">
        <f>IFERROR(K767/P767, 0)</f>
        <v/>
      </c>
      <c r="S767" s="38">
        <f>IFERROR(N767/P767,0)</f>
        <v/>
      </c>
      <c r="T767" s="31">
        <f>IFERROR(IF(N767&gt;0,(N767/K767),MIN(1,M767/J767)),0)</f>
        <v/>
      </c>
      <c r="U767" s="33" t="n"/>
    </row>
    <row r="768" hidden="1" s="40">
      <c r="A768" s="18" t="inlineStr">
        <is>
          <t>Semana 5 - abril</t>
        </is>
      </c>
      <c r="B768" s="27">
        <f>YEAR(E768)</f>
        <v/>
      </c>
      <c r="C768" s="18">
        <f>INDEX({"Janeiro";"Fevereiro";"Março";"Abril";"Maio";"Junho";"Julho";"Agosto";"Setembro";"Outubro";"Novembro";"Dezembro"},Q768)</f>
        <v/>
      </c>
      <c r="D768" s="19" t="n">
        <v>5</v>
      </c>
      <c r="E768" s="20" t="n">
        <v>46139</v>
      </c>
      <c r="F768" s="18" t="inlineStr">
        <is>
          <t>Iogurte Salada 120g</t>
        </is>
      </c>
      <c r="G768" s="18" t="inlineStr">
        <is>
          <t>IOGURTE</t>
        </is>
      </c>
      <c r="H768" s="21" t="n">
        <v>0.12</v>
      </c>
      <c r="I768" s="36" t="n">
        <v>2000</v>
      </c>
      <c r="J768" s="21">
        <f>I768*H768</f>
        <v/>
      </c>
      <c r="K768" s="21">
        <f>IFERROR(IF(J768/P768&gt;1,P768,J768),0)</f>
        <v/>
      </c>
      <c r="L768" s="36" t="n">
        <v>1399</v>
      </c>
      <c r="M768" s="21">
        <f>L768*H768</f>
        <v/>
      </c>
      <c r="N768" s="21">
        <f>IFERROR(IF(M768/K768&gt;1,K768,M768),0)</f>
        <v/>
      </c>
      <c r="O768" s="36" t="n">
        <v>2000</v>
      </c>
      <c r="P768" s="21">
        <f>O768*H768</f>
        <v/>
      </c>
      <c r="Q768" s="30">
        <f>IF(MONTH(E768+1)=MONTH(E768+6),MONTH(E768+1),IF(MIN(EOMONTH(E768+1,0),E768+6)-(E768+1)+1&gt;=3,MONTH(E768+1),MONTH(E768+6)))</f>
        <v/>
      </c>
      <c r="R768" s="22">
        <f>IFERROR(K768/P768, 0)</f>
        <v/>
      </c>
      <c r="S768" s="38">
        <f>IFERROR(N768/P768,0)</f>
        <v/>
      </c>
      <c r="T768" s="31">
        <f>IFERROR(IF(N768&gt;0,(N768/K768),MIN(1,M768/J768)),0)</f>
        <v/>
      </c>
      <c r="U768" s="33" t="n"/>
    </row>
    <row r="769" hidden="1" s="40">
      <c r="A769" s="23" t="inlineStr">
        <is>
          <t>Semana 5 - abril</t>
        </is>
      </c>
      <c r="B769" s="27">
        <f>YEAR(E769)</f>
        <v/>
      </c>
      <c r="C769" s="18">
        <f>INDEX({"Janeiro";"Fevereiro";"Março";"Abril";"Maio";"Junho";"Julho";"Agosto";"Setembro";"Outubro";"Novembro";"Dezembro"},Q769)</f>
        <v/>
      </c>
      <c r="D769" s="24" t="n">
        <v>5</v>
      </c>
      <c r="E769" s="25" t="n">
        <v>46139</v>
      </c>
      <c r="F769" s="23" t="inlineStr">
        <is>
          <t>Iogurte Salada 185g</t>
        </is>
      </c>
      <c r="G769" s="23" t="inlineStr">
        <is>
          <t>IOGURTE</t>
        </is>
      </c>
      <c r="H769" s="26" t="n">
        <v>0.185</v>
      </c>
      <c r="I769" s="36" t="n">
        <v>780</v>
      </c>
      <c r="J769" s="21">
        <f>I769*H769</f>
        <v/>
      </c>
      <c r="K769" s="21">
        <f>IFERROR(IF(J769/P769&gt;1,P769,J769),0)</f>
        <v/>
      </c>
      <c r="L769" s="36" t="n">
        <v>765</v>
      </c>
      <c r="M769" s="21">
        <f>L769*H769</f>
        <v/>
      </c>
      <c r="N769" s="21">
        <f>IFERROR(IF(M769/K769&gt;1,K769,M769),0)</f>
        <v/>
      </c>
      <c r="O769" s="36" t="n">
        <v>780</v>
      </c>
      <c r="P769" s="21">
        <f>O769*H769</f>
        <v/>
      </c>
      <c r="Q769" s="30">
        <f>IF(MONTH(E769+1)=MONTH(E769+6),MONTH(E769+1),IF(MIN(EOMONTH(E769+1,0),E769+6)-(E769+1)+1&gt;=3,MONTH(E769+1),MONTH(E769+6)))</f>
        <v/>
      </c>
      <c r="R769" s="22">
        <f>IFERROR(K769/P769, 0)</f>
        <v/>
      </c>
      <c r="S769" s="38">
        <f>IFERROR(N769/P769,0)</f>
        <v/>
      </c>
      <c r="T769" s="31">
        <f>IFERROR(IF(N769&gt;0,(N769/K769),MIN(1,M769/J769)),0)</f>
        <v/>
      </c>
      <c r="U769" s="33" t="n"/>
    </row>
    <row r="770" hidden="1" s="40">
      <c r="A770" s="18" t="inlineStr">
        <is>
          <t>Semana 5 - abril</t>
        </is>
      </c>
      <c r="B770" s="27">
        <f>YEAR(E770)</f>
        <v/>
      </c>
      <c r="C770" s="18">
        <f>INDEX({"Janeiro";"Fevereiro";"Março";"Abril";"Maio";"Junho";"Julho";"Agosto";"Setembro";"Outubro";"Novembro";"Dezembro"},Q770)</f>
        <v/>
      </c>
      <c r="D770" s="19" t="n">
        <v>5</v>
      </c>
      <c r="E770" s="20" t="n">
        <v>46139</v>
      </c>
      <c r="F770" s="18" t="inlineStr">
        <is>
          <t>Iogurte Salada 900g</t>
        </is>
      </c>
      <c r="G770" s="18" t="inlineStr">
        <is>
          <t>IOGURTE</t>
        </is>
      </c>
      <c r="H770" s="21" t="n">
        <v>0.9</v>
      </c>
      <c r="I770" s="36" t="n">
        <v>1170</v>
      </c>
      <c r="J770" s="21">
        <f>I770*H770</f>
        <v/>
      </c>
      <c r="K770" s="21">
        <f>IFERROR(IF(J770/P770&gt;1,P770,J770),0)</f>
        <v/>
      </c>
      <c r="L770" s="36" t="n">
        <v>2346</v>
      </c>
      <c r="M770" s="21">
        <f>L770*H770</f>
        <v/>
      </c>
      <c r="N770" s="21">
        <f>IFERROR(IF(M770/K770&gt;1,K770,M770),0)</f>
        <v/>
      </c>
      <c r="O770" s="36" t="n">
        <v>1200</v>
      </c>
      <c r="P770" s="21">
        <f>O770*H770</f>
        <v/>
      </c>
      <c r="Q770" s="30">
        <f>IF(MONTH(E770+1)=MONTH(E770+6),MONTH(E770+1),IF(MIN(EOMONTH(E770+1,0),E770+6)-(E770+1)+1&gt;=3,MONTH(E770+1),MONTH(E770+6)))</f>
        <v/>
      </c>
      <c r="R770" s="22">
        <f>IFERROR(K770/P770, 0)</f>
        <v/>
      </c>
      <c r="S770" s="38">
        <f>IFERROR(N770/P770,0)</f>
        <v/>
      </c>
      <c r="T770" s="31">
        <f>IFERROR(IF(N770&gt;0,(N770/K770),MIN(1,M770/J770)),0)</f>
        <v/>
      </c>
      <c r="U770" s="33" t="n"/>
    </row>
    <row r="771" hidden="1" s="40">
      <c r="A771" s="23" t="inlineStr">
        <is>
          <t>Semana 5 - abril</t>
        </is>
      </c>
      <c r="B771" s="27">
        <f>YEAR(E771)</f>
        <v/>
      </c>
      <c r="C771" s="18">
        <f>INDEX({"Janeiro";"Fevereiro";"Março";"Abril";"Maio";"Junho";"Julho";"Agosto";"Setembro";"Outubro";"Novembro";"Dezembro"},Q771)</f>
        <v/>
      </c>
      <c r="D771" s="24" t="n">
        <v>5</v>
      </c>
      <c r="E771" s="25" t="n">
        <v>46139</v>
      </c>
      <c r="F771" s="23" t="inlineStr">
        <is>
          <t>Iogurte Vida Leve Ameixa c/ Grãos 180g</t>
        </is>
      </c>
      <c r="G771" s="23" t="inlineStr">
        <is>
          <t>IOGURTE</t>
        </is>
      </c>
      <c r="H771" s="26" t="n">
        <v>0.18</v>
      </c>
      <c r="I771" s="36" t="n">
        <v>0</v>
      </c>
      <c r="J771" s="21">
        <f>I771*H771</f>
        <v/>
      </c>
      <c r="K771" s="21">
        <f>IFERROR(IF(J771/P771&gt;1,P771,J771),0)</f>
        <v/>
      </c>
      <c r="L771" s="36" t="n">
        <v>0</v>
      </c>
      <c r="M771" s="21">
        <f>L771*H771</f>
        <v/>
      </c>
      <c r="N771" s="21">
        <f>IFERROR(IF(M771/K771&gt;1,K771,M771),0)</f>
        <v/>
      </c>
      <c r="O771" s="36" t="n">
        <v>800</v>
      </c>
      <c r="P771" s="21">
        <f>O771*H771</f>
        <v/>
      </c>
      <c r="Q771" s="30">
        <f>IF(MONTH(E771+1)=MONTH(E771+6),MONTH(E771+1),IF(MIN(EOMONTH(E771+1,0),E771+6)-(E771+1)+1&gt;=3,MONTH(E771+1),MONTH(E771+6)))</f>
        <v/>
      </c>
      <c r="R771" s="22">
        <f>IFERROR(K771/P771, 0)</f>
        <v/>
      </c>
      <c r="S771" s="38">
        <f>IFERROR(N771/P771,0)</f>
        <v/>
      </c>
      <c r="T771" s="31">
        <f>IFERROR(IF(N771&gt;0,(N771/K771),MIN(1,M771/J771)),0)</f>
        <v/>
      </c>
      <c r="U771" s="33" t="n"/>
    </row>
    <row r="772" hidden="1" s="40">
      <c r="A772" s="18" t="inlineStr">
        <is>
          <t>Semana 5 - abril</t>
        </is>
      </c>
      <c r="B772" s="27">
        <f>YEAR(E772)</f>
        <v/>
      </c>
      <c r="C772" s="18">
        <f>INDEX({"Janeiro";"Fevereiro";"Março";"Abril";"Maio";"Junho";"Julho";"Agosto";"Setembro";"Outubro";"Novembro";"Dezembro"},Q772)</f>
        <v/>
      </c>
      <c r="D772" s="19" t="n">
        <v>5</v>
      </c>
      <c r="E772" s="20" t="n">
        <v>46139</v>
      </c>
      <c r="F772" s="18" t="inlineStr">
        <is>
          <t>Iogurte Vida Leve Ameixa c/ Grãos 500g</t>
        </is>
      </c>
      <c r="G772" s="18" t="inlineStr">
        <is>
          <t>IOGURTE</t>
        </is>
      </c>
      <c r="H772" s="21" t="n">
        <v>0.5</v>
      </c>
      <c r="I772" s="36" t="n">
        <v>0</v>
      </c>
      <c r="J772" s="21">
        <f>I772*H772</f>
        <v/>
      </c>
      <c r="K772" s="21">
        <f>IFERROR(IF(J772/P772&gt;1,P772,J772),0)</f>
        <v/>
      </c>
      <c r="L772" s="36" t="n">
        <v>0</v>
      </c>
      <c r="M772" s="21">
        <f>L772*H772</f>
        <v/>
      </c>
      <c r="N772" s="21">
        <f>IFERROR(IF(M772/K772&gt;1,K772,M772),0)</f>
        <v/>
      </c>
      <c r="O772" s="36" t="n">
        <v>900</v>
      </c>
      <c r="P772" s="21">
        <f>O772*H772</f>
        <v/>
      </c>
      <c r="Q772" s="30">
        <f>IF(MONTH(E772+1)=MONTH(E772+6),MONTH(E772+1),IF(MIN(EOMONTH(E772+1,0),E772+6)-(E772+1)+1&gt;=3,MONTH(E772+1),MONTH(E772+6)))</f>
        <v/>
      </c>
      <c r="R772" s="22">
        <f>IFERROR(K772/P772, 0)</f>
        <v/>
      </c>
      <c r="S772" s="38">
        <f>IFERROR(N772/P772,0)</f>
        <v/>
      </c>
      <c r="T772" s="31">
        <f>IFERROR(IF(N772&gt;0,(N772/K772),MIN(1,M772/J772)),0)</f>
        <v/>
      </c>
      <c r="U772" s="33" t="n"/>
    </row>
    <row r="773" hidden="1" s="40">
      <c r="A773" s="23" t="inlineStr">
        <is>
          <t>Semana 5 - abril</t>
        </is>
      </c>
      <c r="B773" s="27">
        <f>YEAR(E773)</f>
        <v/>
      </c>
      <c r="C773" s="18">
        <f>INDEX({"Janeiro";"Fevereiro";"Março";"Abril";"Maio";"Junho";"Julho";"Agosto";"Setembro";"Outubro";"Novembro";"Dezembro"},Q773)</f>
        <v/>
      </c>
      <c r="D773" s="24" t="n">
        <v>5</v>
      </c>
      <c r="E773" s="25" t="n">
        <v>46139</v>
      </c>
      <c r="F773" s="23" t="inlineStr">
        <is>
          <t>Iogurte Vida Leve Morango 180g</t>
        </is>
      </c>
      <c r="G773" s="23" t="inlineStr">
        <is>
          <t>IOGURTE</t>
        </is>
      </c>
      <c r="H773" s="26" t="n">
        <v>0.185</v>
      </c>
      <c r="I773" s="36" t="n">
        <v>1800</v>
      </c>
      <c r="J773" s="21">
        <f>I773*H773</f>
        <v/>
      </c>
      <c r="K773" s="21">
        <f>IFERROR(IF(J773/P773&gt;1,P773,J773),0)</f>
        <v/>
      </c>
      <c r="L773" s="36" t="n">
        <v>1232</v>
      </c>
      <c r="M773" s="21">
        <f>L773*H773</f>
        <v/>
      </c>
      <c r="N773" s="21">
        <f>IFERROR(IF(M773/K773&gt;1,K773,M773),0)</f>
        <v/>
      </c>
      <c r="O773" s="36" t="n">
        <v>1300</v>
      </c>
      <c r="P773" s="21">
        <f>O773*H773</f>
        <v/>
      </c>
      <c r="Q773" s="30">
        <f>IF(MONTH(E773+1)=MONTH(E773+6),MONTH(E773+1),IF(MIN(EOMONTH(E773+1,0),E773+6)-(E773+1)+1&gt;=3,MONTH(E773+1),MONTH(E773+6)))</f>
        <v/>
      </c>
      <c r="R773" s="22">
        <f>IFERROR(K773/P773, 0)</f>
        <v/>
      </c>
      <c r="S773" s="38">
        <f>IFERROR(N773/P773,0)</f>
        <v/>
      </c>
      <c r="T773" s="31">
        <f>IFERROR(IF(N773&gt;0,(N773/K773),MIN(1,M773/J773)),0)</f>
        <v/>
      </c>
      <c r="U773" s="33" t="n"/>
    </row>
    <row r="774" hidden="1" s="40">
      <c r="A774" s="18" t="inlineStr">
        <is>
          <t>Semana 5 - abril</t>
        </is>
      </c>
      <c r="B774" s="27">
        <f>YEAR(E774)</f>
        <v/>
      </c>
      <c r="C774" s="18">
        <f>INDEX({"Janeiro";"Fevereiro";"Março";"Abril";"Maio";"Junho";"Julho";"Agosto";"Setembro";"Outubro";"Novembro";"Dezembro"},Q774)</f>
        <v/>
      </c>
      <c r="D774" s="19" t="n">
        <v>5</v>
      </c>
      <c r="E774" s="20" t="n">
        <v>46139</v>
      </c>
      <c r="F774" s="18" t="inlineStr">
        <is>
          <t>Iogurte Vida Leve Morango 500g</t>
        </is>
      </c>
      <c r="G774" s="18" t="inlineStr">
        <is>
          <t>IOGURTE</t>
        </is>
      </c>
      <c r="H774" s="21" t="n">
        <v>0.5</v>
      </c>
      <c r="I774" s="36" t="n">
        <v>2500</v>
      </c>
      <c r="J774" s="21">
        <f>I774*H774</f>
        <v/>
      </c>
      <c r="K774" s="21">
        <f>IFERROR(IF(J774/P774&gt;1,P774,J774),0)</f>
        <v/>
      </c>
      <c r="L774" s="36" t="n">
        <v>2237</v>
      </c>
      <c r="M774" s="21">
        <f>L774*H774</f>
        <v/>
      </c>
      <c r="N774" s="21">
        <f>IFERROR(IF(M774/K774&gt;1,K774,M774),0)</f>
        <v/>
      </c>
      <c r="O774" s="36" t="n">
        <v>1800</v>
      </c>
      <c r="P774" s="21">
        <f>O774*H774</f>
        <v/>
      </c>
      <c r="Q774" s="30">
        <f>IF(MONTH(E774+1)=MONTH(E774+6),MONTH(E774+1),IF(MIN(EOMONTH(E774+1,0),E774+6)-(E774+1)+1&gt;=3,MONTH(E774+1),MONTH(E774+6)))</f>
        <v/>
      </c>
      <c r="R774" s="22">
        <f>IFERROR(K774/P774, 0)</f>
        <v/>
      </c>
      <c r="S774" s="38">
        <f>IFERROR(N774/P774,0)</f>
        <v/>
      </c>
      <c r="T774" s="31">
        <f>IFERROR(IF(N774&gt;0,(N774/K774),MIN(1,M774/J774)),0)</f>
        <v/>
      </c>
      <c r="U774" s="33" t="n"/>
    </row>
    <row r="775" hidden="1" s="40">
      <c r="A775" s="23" t="inlineStr">
        <is>
          <t>Semana 5 - abril</t>
        </is>
      </c>
      <c r="B775" s="27">
        <f>YEAR(E775)</f>
        <v/>
      </c>
      <c r="C775" s="18">
        <f>INDEX({"Janeiro";"Fevereiro";"Março";"Abril";"Maio";"Junho";"Julho";"Agosto";"Setembro";"Outubro";"Novembro";"Dezembro"},Q775)</f>
        <v/>
      </c>
      <c r="D775" s="24" t="n">
        <v>5</v>
      </c>
      <c r="E775" s="25" t="n">
        <v>46139</v>
      </c>
      <c r="F775" s="23" t="inlineStr">
        <is>
          <t>LEITE PASTEURIZADO VIÇOSA DESNATADO</t>
        </is>
      </c>
      <c r="G775" s="23" t="inlineStr">
        <is>
          <t>LEITE PAST.</t>
        </is>
      </c>
      <c r="H775" s="26" t="n">
        <v>1</v>
      </c>
      <c r="I775" s="36" t="n">
        <v>713</v>
      </c>
      <c r="J775" s="21">
        <f>I775*H775</f>
        <v/>
      </c>
      <c r="K775" s="21">
        <f>IFERROR(IF(J775/P775&gt;1,P775,J775),0)</f>
        <v/>
      </c>
      <c r="L775" s="36" t="n">
        <v>713</v>
      </c>
      <c r="M775" s="21">
        <f>L775*H775</f>
        <v/>
      </c>
      <c r="N775" s="21">
        <f>IFERROR(IF(M775/K775&gt;1,K775,M775),0)</f>
        <v/>
      </c>
      <c r="O775" s="36" t="n">
        <v>713</v>
      </c>
      <c r="P775" s="21">
        <f>O775*H775</f>
        <v/>
      </c>
      <c r="Q775" s="30">
        <f>IF(MONTH(E775+1)=MONTH(E775+6),MONTH(E775+1),IF(MIN(EOMONTH(E775+1,0),E775+6)-(E775+1)+1&gt;=3,MONTH(E775+1),MONTH(E775+6)))</f>
        <v/>
      </c>
      <c r="R775" s="22">
        <f>IFERROR(K775/P775, 0)</f>
        <v/>
      </c>
      <c r="S775" s="38">
        <f>IFERROR(N775/P775,0)</f>
        <v/>
      </c>
      <c r="T775" s="31">
        <f>IFERROR(IF(N775&gt;0,(N775/K775),MIN(1,M775/J775)),0)</f>
        <v/>
      </c>
      <c r="U775" s="33" t="n"/>
    </row>
    <row r="776" hidden="1" s="40">
      <c r="A776" s="18" t="inlineStr">
        <is>
          <t>Semana 5 - abril</t>
        </is>
      </c>
      <c r="B776" s="27">
        <f>YEAR(E776)</f>
        <v/>
      </c>
      <c r="C776" s="18">
        <f>INDEX({"Janeiro";"Fevereiro";"Março";"Abril";"Maio";"Junho";"Julho";"Agosto";"Setembro";"Outubro";"Novembro";"Dezembro"},Q776)</f>
        <v/>
      </c>
      <c r="D776" s="19" t="n">
        <v>5</v>
      </c>
      <c r="E776" s="20" t="n">
        <v>46139</v>
      </c>
      <c r="F776" s="18" t="inlineStr">
        <is>
          <t>LEITE PASTEURIZADO VIÇOSA INTEGRAL</t>
        </is>
      </c>
      <c r="G776" s="18" t="inlineStr">
        <is>
          <t>LEITE PAST.</t>
        </is>
      </c>
      <c r="H776" s="21" t="n">
        <v>1</v>
      </c>
      <c r="I776" s="36" t="n">
        <v>20137</v>
      </c>
      <c r="J776" s="21">
        <f>I776*H776</f>
        <v/>
      </c>
      <c r="K776" s="21">
        <f>IFERROR(IF(J776/P776&gt;1,P776,J776),0)</f>
        <v/>
      </c>
      <c r="L776" s="36" t="n">
        <v>20137</v>
      </c>
      <c r="M776" s="21">
        <f>L776*H776</f>
        <v/>
      </c>
      <c r="N776" s="21">
        <f>IFERROR(IF(M776/K776&gt;1,K776,M776),0)</f>
        <v/>
      </c>
      <c r="O776" s="36" t="n">
        <v>20137</v>
      </c>
      <c r="P776" s="21">
        <f>O776*H776</f>
        <v/>
      </c>
      <c r="Q776" s="30">
        <f>IF(MONTH(E776+1)=MONTH(E776+6),MONTH(E776+1),IF(MIN(EOMONTH(E776+1,0),E776+6)-(E776+1)+1&gt;=3,MONTH(E776+1),MONTH(E776+6)))</f>
        <v/>
      </c>
      <c r="R776" s="22">
        <f>IFERROR(K776/P776, 0)</f>
        <v/>
      </c>
      <c r="S776" s="38">
        <f>IFERROR(N776/P776,0)</f>
        <v/>
      </c>
      <c r="T776" s="31">
        <f>IFERROR(IF(N776&gt;0,(N776/K776),MIN(1,M776/J776)),0)</f>
        <v/>
      </c>
      <c r="U776" s="33" t="n"/>
    </row>
    <row r="777" hidden="1" s="40">
      <c r="A777" s="23" t="inlineStr">
        <is>
          <t>Semana 5 - abril</t>
        </is>
      </c>
      <c r="B777" s="27">
        <f>YEAR(E777)</f>
        <v/>
      </c>
      <c r="C777" s="18">
        <f>INDEX({"Janeiro";"Fevereiro";"Março";"Abril";"Maio";"Junho";"Julho";"Agosto";"Setembro";"Outubro";"Novembro";"Dezembro"},Q777)</f>
        <v/>
      </c>
      <c r="D777" s="24" t="n">
        <v>5</v>
      </c>
      <c r="E777" s="25" t="n">
        <v>46139</v>
      </c>
      <c r="F777" s="23" t="inlineStr">
        <is>
          <t>LEITE PASTEURIZADO VIÇOSA ZERO LACTOSE INTEGRAL 1 L</t>
        </is>
      </c>
      <c r="G777" s="23" t="inlineStr">
        <is>
          <t>LEITE PAST.</t>
        </is>
      </c>
      <c r="H777" s="26" t="n">
        <v>1</v>
      </c>
      <c r="I777" s="36" t="n">
        <v>956</v>
      </c>
      <c r="J777" s="21">
        <f>I777*H777</f>
        <v/>
      </c>
      <c r="K777" s="21">
        <f>IFERROR(IF(J777/P777&gt;1,P777,J777),0)</f>
        <v/>
      </c>
      <c r="L777" s="36" t="n">
        <v>956</v>
      </c>
      <c r="M777" s="21">
        <f>L777*H777</f>
        <v/>
      </c>
      <c r="N777" s="21">
        <f>IFERROR(IF(M777/K777&gt;1,K777,M777),0)</f>
        <v/>
      </c>
      <c r="O777" s="36" t="n">
        <v>956</v>
      </c>
      <c r="P777" s="21">
        <f>O777*H777</f>
        <v/>
      </c>
      <c r="Q777" s="30">
        <f>IF(MONTH(E777+1)=MONTH(E777+6),MONTH(E777+1),IF(MIN(EOMONTH(E777+1,0),E777+6)-(E777+1)+1&gt;=3,MONTH(E777+1),MONTH(E777+6)))</f>
        <v/>
      </c>
      <c r="R777" s="22">
        <f>IFERROR(K777/P777, 0)</f>
        <v/>
      </c>
      <c r="S777" s="38">
        <f>IFERROR(N777/P777,0)</f>
        <v/>
      </c>
      <c r="T777" s="31">
        <f>IFERROR(IF(N777&gt;0,(N777/K777),MIN(1,M777/J777)),0)</f>
        <v/>
      </c>
      <c r="U777" s="33" t="n"/>
    </row>
    <row r="778" hidden="1" s="40">
      <c r="A778" s="18" t="inlineStr">
        <is>
          <t>Semana 5 - abril</t>
        </is>
      </c>
      <c r="B778" s="27">
        <f>YEAR(E778)</f>
        <v/>
      </c>
      <c r="C778" s="18">
        <f>INDEX({"Janeiro";"Fevereiro";"Março";"Abril";"Maio";"Junho";"Julho";"Agosto";"Setembro";"Outubro";"Novembro";"Dezembro"},Q778)</f>
        <v/>
      </c>
      <c r="D778" s="19" t="n">
        <v>5</v>
      </c>
      <c r="E778" s="20" t="n">
        <v>46139</v>
      </c>
      <c r="F778" s="18" t="inlineStr">
        <is>
          <t>Manteiga 200g</t>
        </is>
      </c>
      <c r="G778" s="18" t="inlineStr">
        <is>
          <t>MANTEIGA</t>
        </is>
      </c>
      <c r="H778" s="21" t="n">
        <v>0.2</v>
      </c>
      <c r="I778" s="36" t="n">
        <v>2500</v>
      </c>
      <c r="J778" s="21">
        <f>I778*H778</f>
        <v/>
      </c>
      <c r="K778" s="21">
        <f>IFERROR(IF(J778/P778&gt;1,P778,J778),0)</f>
        <v/>
      </c>
      <c r="L778" s="36" t="n">
        <v>2531</v>
      </c>
      <c r="M778" s="21">
        <f>L778*H778</f>
        <v/>
      </c>
      <c r="N778" s="21">
        <f>IFERROR(IF(M778/K778&gt;1,K778,M778),0)</f>
        <v/>
      </c>
      <c r="O778" s="36" t="n">
        <v>1250</v>
      </c>
      <c r="P778" s="21">
        <f>O778*H778</f>
        <v/>
      </c>
      <c r="Q778" s="30">
        <f>IF(MONTH(E778+1)=MONTH(E778+6),MONTH(E778+1),IF(MIN(EOMONTH(E778+1,0),E778+6)-(E778+1)+1&gt;=3,MONTH(E778+1),MONTH(E778+6)))</f>
        <v/>
      </c>
      <c r="R778" s="22">
        <f>IFERROR(K778/P778, 0)</f>
        <v/>
      </c>
      <c r="S778" s="38">
        <f>IFERROR(N778/P778,0)</f>
        <v/>
      </c>
      <c r="T778" s="31">
        <f>IFERROR(IF(N778&gt;0,(N778/K778),MIN(1,M778/J778)),0)</f>
        <v/>
      </c>
      <c r="U778" s="33" t="n"/>
    </row>
    <row r="779" hidden="1" s="40">
      <c r="A779" s="23" t="inlineStr">
        <is>
          <t>Semana 5 - abril</t>
        </is>
      </c>
      <c r="B779" s="27">
        <f>YEAR(E779)</f>
        <v/>
      </c>
      <c r="C779" s="18">
        <f>INDEX({"Janeiro";"Fevereiro";"Março";"Abril";"Maio";"Junho";"Julho";"Agosto";"Setembro";"Outubro";"Novembro";"Dezembro"},Q779)</f>
        <v/>
      </c>
      <c r="D779" s="24" t="n">
        <v>5</v>
      </c>
      <c r="E779" s="25" t="n">
        <v>46139</v>
      </c>
      <c r="F779" s="23" t="inlineStr">
        <is>
          <t>Manteiga 500g</t>
        </is>
      </c>
      <c r="G779" s="23" t="inlineStr">
        <is>
          <t>MANTEIGA</t>
        </is>
      </c>
      <c r="H779" s="26" t="n">
        <v>0.5</v>
      </c>
      <c r="I779" s="36" t="n">
        <v>550</v>
      </c>
      <c r="J779" s="21">
        <f>I779*H779</f>
        <v/>
      </c>
      <c r="K779" s="21">
        <f>IFERROR(IF(J779/P779&gt;1,P779,J779),0)</f>
        <v/>
      </c>
      <c r="L779" s="36" t="n">
        <v>570</v>
      </c>
      <c r="M779" s="21">
        <f>L779*H779</f>
        <v/>
      </c>
      <c r="N779" s="21">
        <f>IFERROR(IF(M779/K779&gt;1,K779,M779),0)</f>
        <v/>
      </c>
      <c r="O779" s="36" t="n">
        <v>0</v>
      </c>
      <c r="P779" s="21">
        <f>O779*H779</f>
        <v/>
      </c>
      <c r="Q779" s="30">
        <f>IF(MONTH(E779+1)=MONTH(E779+6),MONTH(E779+1),IF(MIN(EOMONTH(E779+1,0),E779+6)-(E779+1)+1&gt;=3,MONTH(E779+1),MONTH(E779+6)))</f>
        <v/>
      </c>
      <c r="R779" s="22">
        <f>IFERROR(K779/P779, 0)</f>
        <v/>
      </c>
      <c r="S779" s="38">
        <f>IFERROR(N779/P779,0)</f>
        <v/>
      </c>
      <c r="T779" s="31">
        <f>IFERROR(IF(N779&gt;0,(N779/K779),MIN(1,M779/J779)),0)</f>
        <v/>
      </c>
      <c r="U779" s="33" t="n"/>
    </row>
    <row r="780" hidden="1" s="40">
      <c r="A780" s="18" t="inlineStr">
        <is>
          <t>Semana 5 - abril</t>
        </is>
      </c>
      <c r="B780" s="27">
        <f>YEAR(E780)</f>
        <v/>
      </c>
      <c r="C780" s="18">
        <f>INDEX({"Janeiro";"Fevereiro";"Março";"Abril";"Maio";"Junho";"Julho";"Agosto";"Setembro";"Outubro";"Novembro";"Dezembro"},Q780)</f>
        <v/>
      </c>
      <c r="D780" s="19" t="n">
        <v>5</v>
      </c>
      <c r="E780" s="20" t="n">
        <v>46139</v>
      </c>
      <c r="F780" s="18" t="inlineStr">
        <is>
          <t>QUEIJO MINAS MEIA CURA (FRACIONADO)</t>
        </is>
      </c>
      <c r="G780" s="18" t="inlineStr">
        <is>
          <t>QUEIJO</t>
        </is>
      </c>
      <c r="H780" s="21" t="n">
        <v>1</v>
      </c>
      <c r="I780" s="36" t="n">
        <v>0</v>
      </c>
      <c r="J780" s="21">
        <f>I780*H780</f>
        <v/>
      </c>
      <c r="K780" s="21">
        <f>IFERROR(IF(J780/P780&gt;1,P780,J780),0)</f>
        <v/>
      </c>
      <c r="L780" s="36" t="n">
        <v>0</v>
      </c>
      <c r="M780" s="21">
        <f>L780*H780</f>
        <v/>
      </c>
      <c r="N780" s="21">
        <f>IFERROR(IF(M780/K780&gt;1,K780,M780),0)</f>
        <v/>
      </c>
      <c r="O780" s="36" t="n">
        <v>0</v>
      </c>
      <c r="P780" s="21">
        <f>O780*H780</f>
        <v/>
      </c>
      <c r="Q780" s="30">
        <f>IF(MONTH(E780+1)=MONTH(E780+6),MONTH(E780+1),IF(MIN(EOMONTH(E780+1,0),E780+6)-(E780+1)+1&gt;=3,MONTH(E780+1),MONTH(E780+6)))</f>
        <v/>
      </c>
      <c r="R780" s="22">
        <f>IFERROR(K780/P780, 0)</f>
        <v/>
      </c>
      <c r="S780" s="38">
        <f>IFERROR(N780/P780,0)</f>
        <v/>
      </c>
      <c r="T780" s="31">
        <f>IFERROR(IF(N780&gt;0,(N780/K780),MIN(1,M780/J780)),0)</f>
        <v/>
      </c>
      <c r="U780" s="33" t="n"/>
    </row>
    <row r="781" hidden="1" s="40">
      <c r="A781" s="23" t="inlineStr">
        <is>
          <t>Semana 5 - abril</t>
        </is>
      </c>
      <c r="B781" s="27">
        <f>YEAR(E781)</f>
        <v/>
      </c>
      <c r="C781" s="18">
        <f>INDEX({"Janeiro";"Fevereiro";"Março";"Abril";"Maio";"Junho";"Julho";"Agosto";"Setembro";"Outubro";"Novembro";"Dezembro"},Q781)</f>
        <v/>
      </c>
      <c r="D781" s="24" t="n">
        <v>5</v>
      </c>
      <c r="E781" s="25" t="n">
        <v>46139</v>
      </c>
      <c r="F781" s="23" t="inlineStr">
        <is>
          <t>QUEIJO MINAS MEIA CURA (INTEIRO)</t>
        </is>
      </c>
      <c r="G781" s="23" t="inlineStr">
        <is>
          <t>QUEIJO</t>
        </is>
      </c>
      <c r="H781" s="26" t="n">
        <v>1</v>
      </c>
      <c r="I781" s="36" t="n">
        <v>200</v>
      </c>
      <c r="J781" s="21">
        <f>I781*H781</f>
        <v/>
      </c>
      <c r="K781" s="21">
        <f>IFERROR(IF(J781/P781&gt;1,P781,J781),0)</f>
        <v/>
      </c>
      <c r="L781" s="36" t="n">
        <v>200</v>
      </c>
      <c r="M781" s="21">
        <f>L781*H781</f>
        <v/>
      </c>
      <c r="N781" s="21">
        <f>IFERROR(IF(M781/K781&gt;1,K781,M781),0)</f>
        <v/>
      </c>
      <c r="O781" s="36" t="n">
        <v>200</v>
      </c>
      <c r="P781" s="21">
        <f>O781*H781</f>
        <v/>
      </c>
      <c r="Q781" s="30">
        <f>IF(MONTH(E781+1)=MONTH(E781+6),MONTH(E781+1),IF(MIN(EOMONTH(E781+1,0),E781+6)-(E781+1)+1&gt;=3,MONTH(E781+1),MONTH(E781+6)))</f>
        <v/>
      </c>
      <c r="R781" s="22">
        <f>IFERROR(K781/P781, 0)</f>
        <v/>
      </c>
      <c r="S781" s="38">
        <f>IFERROR(N781/P781,0)</f>
        <v/>
      </c>
      <c r="T781" s="31">
        <f>IFERROR(IF(N781&gt;0,(N781/K781),MIN(1,M781/J781)),0)</f>
        <v/>
      </c>
      <c r="U781" s="33" t="n"/>
    </row>
    <row r="782" hidden="1" s="40">
      <c r="A782" s="18" t="inlineStr">
        <is>
          <t>Semana 5 - abril</t>
        </is>
      </c>
      <c r="B782" s="27">
        <f>YEAR(E782)</f>
        <v/>
      </c>
      <c r="C782" s="18">
        <f>INDEX({"Janeiro";"Fevereiro";"Março";"Abril";"Maio";"Junho";"Julho";"Agosto";"Setembro";"Outubro";"Novembro";"Dezembro"},Q782)</f>
        <v/>
      </c>
      <c r="D782" s="19" t="n">
        <v>5</v>
      </c>
      <c r="E782" s="20" t="n">
        <v>46139</v>
      </c>
      <c r="F782" s="18" t="inlineStr">
        <is>
          <t xml:space="preserve">QUEIJO MINAS PADRÃO VIÇOSA FRACIONADO </t>
        </is>
      </c>
      <c r="G782" s="18" t="inlineStr">
        <is>
          <t>QUEIJO</t>
        </is>
      </c>
      <c r="H782" s="21" t="n">
        <v>1</v>
      </c>
      <c r="I782" s="36" t="n">
        <v>300</v>
      </c>
      <c r="J782" s="21">
        <f>I782*H782</f>
        <v/>
      </c>
      <c r="K782" s="21">
        <f>IFERROR(IF(J782/P782&gt;1,P782,J782),0)</f>
        <v/>
      </c>
      <c r="L782" s="36" t="n">
        <v>300</v>
      </c>
      <c r="M782" s="21">
        <f>L782*H782</f>
        <v/>
      </c>
      <c r="N782" s="21">
        <f>IFERROR(IF(M782/K782&gt;1,K782,M782),0)</f>
        <v/>
      </c>
      <c r="O782" s="36" t="n">
        <v>200</v>
      </c>
      <c r="P782" s="21">
        <f>O782*H782</f>
        <v/>
      </c>
      <c r="Q782" s="30">
        <f>IF(MONTH(E782+1)=MONTH(E782+6),MONTH(E782+1),IF(MIN(EOMONTH(E782+1,0),E782+6)-(E782+1)+1&gt;=3,MONTH(E782+1),MONTH(E782+6)))</f>
        <v/>
      </c>
      <c r="R782" s="22">
        <f>IFERROR(K782/P782, 0)</f>
        <v/>
      </c>
      <c r="S782" s="38">
        <f>IFERROR(N782/P782,0)</f>
        <v/>
      </c>
      <c r="T782" s="31">
        <f>IFERROR(IF(N782&gt;0,(N782/K782),MIN(1,M782/J782)),0)</f>
        <v/>
      </c>
      <c r="U782" s="33" t="n"/>
    </row>
    <row r="783" hidden="1" s="40">
      <c r="A783" s="23" t="inlineStr">
        <is>
          <t>Semana 5 - abril</t>
        </is>
      </c>
      <c r="B783" s="27">
        <f>YEAR(E783)</f>
        <v/>
      </c>
      <c r="C783" s="18">
        <f>INDEX({"Janeiro";"Fevereiro";"Março";"Abril";"Maio";"Junho";"Julho";"Agosto";"Setembro";"Outubro";"Novembro";"Dezembro"},Q783)</f>
        <v/>
      </c>
      <c r="D783" s="24" t="n">
        <v>5</v>
      </c>
      <c r="E783" s="25" t="n">
        <v>46139</v>
      </c>
      <c r="F783" s="23" t="inlineStr">
        <is>
          <t>QUEIJO MUSSARELA 3KG</t>
        </is>
      </c>
      <c r="G783" s="23" t="inlineStr">
        <is>
          <t>QUEIJO</t>
        </is>
      </c>
      <c r="H783" s="26" t="n">
        <v>1</v>
      </c>
      <c r="I783" s="36" t="n">
        <v>800</v>
      </c>
      <c r="J783" s="21">
        <f>I783*H783</f>
        <v/>
      </c>
      <c r="K783" s="21">
        <f>IFERROR(IF(J783/P783&gt;1,P783,J783),0)</f>
        <v/>
      </c>
      <c r="L783" s="36" t="n">
        <v>800</v>
      </c>
      <c r="M783" s="21">
        <f>L783*H783</f>
        <v/>
      </c>
      <c r="N783" s="21">
        <f>IFERROR(IF(M783/K783&gt;1,K783,M783),0)</f>
        <v/>
      </c>
      <c r="O783" s="36" t="n">
        <v>800</v>
      </c>
      <c r="P783" s="21">
        <f>O783*H783</f>
        <v/>
      </c>
      <c r="Q783" s="30">
        <f>IF(MONTH(E783+1)=MONTH(E783+6),MONTH(E783+1),IF(MIN(EOMONTH(E783+1,0),E783+6)-(E783+1)+1&gt;=3,MONTH(E783+1),MONTH(E783+6)))</f>
        <v/>
      </c>
      <c r="R783" s="22">
        <f>IFERROR(K783/P783, 0)</f>
        <v/>
      </c>
      <c r="S783" s="38">
        <f>IFERROR(N783/P783,0)</f>
        <v/>
      </c>
      <c r="T783" s="31">
        <f>IFERROR(IF(N783&gt;0,(N783/K783),MIN(1,M783/J783)),0)</f>
        <v/>
      </c>
      <c r="U783" s="33" t="n"/>
    </row>
    <row r="784" hidden="1" s="40">
      <c r="A784" s="18" t="inlineStr">
        <is>
          <t>Semana 5 - abril</t>
        </is>
      </c>
      <c r="B784" s="27">
        <f>YEAR(E784)</f>
        <v/>
      </c>
      <c r="C784" s="18">
        <f>INDEX({"Janeiro";"Fevereiro";"Março";"Abril";"Maio";"Junho";"Julho";"Agosto";"Setembro";"Outubro";"Novembro";"Dezembro"},Q784)</f>
        <v/>
      </c>
      <c r="D784" s="19" t="n">
        <v>5</v>
      </c>
      <c r="E784" s="20" t="n">
        <v>46139</v>
      </c>
      <c r="F784" s="18" t="inlineStr">
        <is>
          <t>QUEIJO MUSSARELA LANCHE</t>
        </is>
      </c>
      <c r="G784" s="18" t="inlineStr">
        <is>
          <t>QUEIJO</t>
        </is>
      </c>
      <c r="H784" s="21" t="n">
        <v>1</v>
      </c>
      <c r="I784" s="36" t="n">
        <v>200</v>
      </c>
      <c r="J784" s="21">
        <f>I784*H784</f>
        <v/>
      </c>
      <c r="K784" s="21">
        <f>IFERROR(IF(J784/P784&gt;1,P784,J784),0)</f>
        <v/>
      </c>
      <c r="L784" s="36" t="n">
        <v>200</v>
      </c>
      <c r="M784" s="21">
        <f>L784*H784</f>
        <v/>
      </c>
      <c r="N784" s="21">
        <f>IFERROR(IF(M784/K784&gt;1,K784,M784),0)</f>
        <v/>
      </c>
      <c r="O784" s="36" t="n">
        <v>200</v>
      </c>
      <c r="P784" s="21">
        <f>O784*H784</f>
        <v/>
      </c>
      <c r="Q784" s="30">
        <f>IF(MONTH(E784+1)=MONTH(E784+6),MONTH(E784+1),IF(MIN(EOMONTH(E784+1,0),E784+6)-(E784+1)+1&gt;=3,MONTH(E784+1),MONTH(E784+6)))</f>
        <v/>
      </c>
      <c r="R784" s="22">
        <f>IFERROR(K784/P784, 0)</f>
        <v/>
      </c>
      <c r="S784" s="38">
        <f>IFERROR(N784/P784,0)</f>
        <v/>
      </c>
      <c r="T784" s="31">
        <f>IFERROR(IF(N784&gt;0,(N784/K784),MIN(1,M784/J784)),0)</f>
        <v/>
      </c>
      <c r="U784" s="33" t="n"/>
    </row>
    <row r="785" hidden="1" s="40">
      <c r="A785" s="23" t="inlineStr">
        <is>
          <t>Semana 5 - abril</t>
        </is>
      </c>
      <c r="B785" s="27">
        <f>YEAR(E785)</f>
        <v/>
      </c>
      <c r="C785" s="18">
        <f>INDEX({"Janeiro";"Fevereiro";"Março";"Abril";"Maio";"Junho";"Julho";"Agosto";"Setembro";"Outubro";"Novembro";"Dezembro"},Q785)</f>
        <v/>
      </c>
      <c r="D785" s="24" t="n">
        <v>5</v>
      </c>
      <c r="E785" s="25" t="n">
        <v>46139</v>
      </c>
      <c r="F785" s="23" t="inlineStr">
        <is>
          <t>REQUEIJÃO VIÇOSA 200g</t>
        </is>
      </c>
      <c r="G785" s="23" t="inlineStr">
        <is>
          <t>REQUEIJÃO</t>
        </is>
      </c>
      <c r="H785" s="26" t="n">
        <v>0.2</v>
      </c>
      <c r="I785" s="36" t="n">
        <v>3200</v>
      </c>
      <c r="J785" s="21">
        <f>I785*H785</f>
        <v/>
      </c>
      <c r="K785" s="21">
        <f>IFERROR(IF(J785/P785&gt;1,P785,J785),0)</f>
        <v/>
      </c>
      <c r="L785" s="36" t="n">
        <v>3420</v>
      </c>
      <c r="M785" s="21">
        <f>L785*H785</f>
        <v/>
      </c>
      <c r="N785" s="21">
        <f>IFERROR(IF(M785/K785&gt;1,K785,M785),0)</f>
        <v/>
      </c>
      <c r="O785" s="36" t="n">
        <v>3200</v>
      </c>
      <c r="P785" s="21">
        <f>O785*H785</f>
        <v/>
      </c>
      <c r="Q785" s="30">
        <f>IF(MONTH(E785+1)=MONTH(E785+6),MONTH(E785+1),IF(MIN(EOMONTH(E785+1,0),E785+6)-(E785+1)+1&gt;=3,MONTH(E785+1),MONTH(E785+6)))</f>
        <v/>
      </c>
      <c r="R785" s="22">
        <f>IFERROR(K785/P785, 0)</f>
        <v/>
      </c>
      <c r="S785" s="38">
        <f>IFERROR(N785/P785,0)</f>
        <v/>
      </c>
      <c r="T785" s="31">
        <f>IFERROR(IF(N785&gt;0,(N785/K785),MIN(1,M785/J785)),0)</f>
        <v/>
      </c>
      <c r="U785" s="33" t="n"/>
    </row>
    <row r="786" hidden="1" s="40">
      <c r="A786" s="18" t="inlineStr">
        <is>
          <t>Semana 5 - abril</t>
        </is>
      </c>
      <c r="B786" s="27">
        <f>YEAR(E786)</f>
        <v/>
      </c>
      <c r="C786" s="18">
        <f>INDEX({"Janeiro";"Fevereiro";"Março";"Abril";"Maio";"Junho";"Julho";"Agosto";"Setembro";"Outubro";"Novembro";"Dezembro"},Q786)</f>
        <v/>
      </c>
      <c r="D786" s="19" t="n">
        <v>5</v>
      </c>
      <c r="E786" s="20" t="n">
        <v>46139</v>
      </c>
      <c r="F786" s="18" t="inlineStr">
        <is>
          <t>REQUEIJÃO VIÇOSA 400g</t>
        </is>
      </c>
      <c r="G786" s="18" t="inlineStr">
        <is>
          <t>REQUEIJÃO</t>
        </is>
      </c>
      <c r="H786" s="21" t="n">
        <v>0.4</v>
      </c>
      <c r="I786" s="36" t="n">
        <v>1200</v>
      </c>
      <c r="J786" s="21">
        <f>I786*H786</f>
        <v/>
      </c>
      <c r="K786" s="21">
        <f>IFERROR(IF(J786/P786&gt;1,P786,J786),0)</f>
        <v/>
      </c>
      <c r="L786" s="36" t="n">
        <v>1584</v>
      </c>
      <c r="M786" s="21">
        <f>L786*H786</f>
        <v/>
      </c>
      <c r="N786" s="21">
        <f>IFERROR(IF(M786/K786&gt;1,K786,M786),0)</f>
        <v/>
      </c>
      <c r="O786" s="36" t="n">
        <v>1200</v>
      </c>
      <c r="P786" s="21">
        <f>O786*H786</f>
        <v/>
      </c>
      <c r="Q786" s="30">
        <f>IF(MONTH(E786+1)=MONTH(E786+6),MONTH(E786+1),IF(MIN(EOMONTH(E786+1,0),E786+6)-(E786+1)+1&gt;=3,MONTH(E786+1),MONTH(E786+6)))</f>
        <v/>
      </c>
      <c r="R786" s="22">
        <f>IFERROR(K786/P786, 0)</f>
        <v/>
      </c>
      <c r="S786" s="38">
        <f>IFERROR(N786/P786,0)</f>
        <v/>
      </c>
      <c r="T786" s="31">
        <f>IFERROR(IF(N786&gt;0,(N786/K786),MIN(1,M786/J786)),0)</f>
        <v/>
      </c>
      <c r="U786" s="33" t="n"/>
    </row>
    <row r="787" hidden="1" s="40">
      <c r="A787" s="23" t="inlineStr">
        <is>
          <t>Semana 5 - abril</t>
        </is>
      </c>
      <c r="B787" s="27">
        <f>YEAR(E787)</f>
        <v/>
      </c>
      <c r="C787" s="18">
        <f>INDEX({"Janeiro";"Fevereiro";"Março";"Abril";"Maio";"Junho";"Julho";"Agosto";"Setembro";"Outubro";"Novembro";"Dezembro"},Q787)</f>
        <v/>
      </c>
      <c r="D787" s="24" t="n">
        <v>5</v>
      </c>
      <c r="E787" s="25" t="n">
        <v>46139</v>
      </c>
      <c r="F787" s="23" t="inlineStr">
        <is>
          <t>Requeijão Light 200g</t>
        </is>
      </c>
      <c r="G787" s="23" t="inlineStr">
        <is>
          <t>REQUEIJÃO</t>
        </is>
      </c>
      <c r="H787" s="26" t="n">
        <v>0.2</v>
      </c>
      <c r="I787" s="36" t="n">
        <v>600</v>
      </c>
      <c r="J787" s="21">
        <f>I787*H787</f>
        <v/>
      </c>
      <c r="K787" s="21">
        <f>IFERROR(IF(J787/P787&gt;1,P787,J787),0)</f>
        <v/>
      </c>
      <c r="L787" s="36" t="n">
        <v>617</v>
      </c>
      <c r="M787" s="21">
        <f>L787*H787</f>
        <v/>
      </c>
      <c r="N787" s="21">
        <f>IFERROR(IF(M787/K787&gt;1,K787,M787),0)</f>
        <v/>
      </c>
      <c r="O787" s="36" t="n">
        <v>600</v>
      </c>
      <c r="P787" s="21">
        <f>O787*H787</f>
        <v/>
      </c>
      <c r="Q787" s="30">
        <f>IF(MONTH(E787+1)=MONTH(E787+6),MONTH(E787+1),IF(MIN(EOMONTH(E787+1,0),E787+6)-(E787+1)+1&gt;=3,MONTH(E787+1),MONTH(E787+6)))</f>
        <v/>
      </c>
      <c r="R787" s="22">
        <f>IFERROR(K787/P787, 0)</f>
        <v/>
      </c>
      <c r="S787" s="38">
        <f>IFERROR(N787/P787,0)</f>
        <v/>
      </c>
      <c r="T787" s="31">
        <f>IFERROR(IF(N787&gt;0,(N787/K787),MIN(1,M787/J787)),0)</f>
        <v/>
      </c>
      <c r="U787" s="33" t="n"/>
    </row>
    <row r="788" hidden="1" s="40">
      <c r="A788" s="18" t="inlineStr">
        <is>
          <t>Semana 5 - abril</t>
        </is>
      </c>
      <c r="B788" s="27">
        <f>YEAR(E788)</f>
        <v/>
      </c>
      <c r="C788" s="18">
        <f>INDEX({"Janeiro";"Fevereiro";"Março";"Abril";"Maio";"Junho";"Julho";"Agosto";"Setembro";"Outubro";"Novembro";"Dezembro"},Q788)</f>
        <v/>
      </c>
      <c r="D788" s="19" t="n">
        <v>5</v>
      </c>
      <c r="E788" s="20" t="n">
        <v>46139</v>
      </c>
      <c r="F788" s="18" t="inlineStr">
        <is>
          <t>Creme de Ricota 200g</t>
        </is>
      </c>
      <c r="G788" s="18" t="inlineStr">
        <is>
          <t>RICOTA</t>
        </is>
      </c>
      <c r="H788" s="21" t="n">
        <v>0.2</v>
      </c>
      <c r="I788" s="36" t="n">
        <v>1000</v>
      </c>
      <c r="J788" s="21">
        <f>I788*H788</f>
        <v/>
      </c>
      <c r="K788" s="21">
        <f>IFERROR(IF(J788/P788&gt;1,P788,J788),0)</f>
        <v/>
      </c>
      <c r="L788" s="36" t="n">
        <v>1217</v>
      </c>
      <c r="M788" s="21">
        <f>L788*H788</f>
        <v/>
      </c>
      <c r="N788" s="21">
        <f>IFERROR(IF(M788/K788&gt;1,K788,M788),0)</f>
        <v/>
      </c>
      <c r="O788" s="36" t="n">
        <v>600</v>
      </c>
      <c r="P788" s="21">
        <f>O788*H788</f>
        <v/>
      </c>
      <c r="Q788" s="30">
        <f>IF(MONTH(E788+1)=MONTH(E788+6),MONTH(E788+1),IF(MIN(EOMONTH(E788+1,0),E788+6)-(E788+1)+1&gt;=3,MONTH(E788+1),MONTH(E788+6)))</f>
        <v/>
      </c>
      <c r="R788" s="22">
        <f>IFERROR(K788/P788, 0)</f>
        <v/>
      </c>
      <c r="S788" s="38">
        <f>IFERROR(N788/P788,0)</f>
        <v/>
      </c>
      <c r="T788" s="31">
        <f>IFERROR(IF(N788&gt;0,(N788/K788),MIN(1,M788/J788)),0)</f>
        <v/>
      </c>
      <c r="U788" s="33" t="n"/>
    </row>
    <row r="789" hidden="1" s="40">
      <c r="A789" s="23" t="inlineStr">
        <is>
          <t>Semana 1 - Maio</t>
        </is>
      </c>
      <c r="B789" s="27">
        <f>YEAR(E789)</f>
        <v/>
      </c>
      <c r="C789" s="18">
        <f>INDEX({"Janeiro";"Fevereiro";"Março";"Abril";"Maio";"Junho";"Julho";"Agosto";"Setembro";"Outubro";"Novembro";"Dezembro"},Q789)</f>
        <v/>
      </c>
      <c r="D789" s="24" t="n">
        <v>1</v>
      </c>
      <c r="E789" s="25" t="n">
        <v>46146</v>
      </c>
      <c r="F789" s="23" t="inlineStr">
        <is>
          <t>Doce de Leite 400g</t>
        </is>
      </c>
      <c r="G789" s="23" t="inlineStr">
        <is>
          <t>DOCE</t>
        </is>
      </c>
      <c r="H789" s="26" t="n">
        <v>0.4</v>
      </c>
      <c r="I789" s="36" t="n">
        <v>36000</v>
      </c>
      <c r="J789" s="21">
        <f>I789*H789</f>
        <v/>
      </c>
      <c r="K789" s="21">
        <f>IFERROR(IF(J789/P789&gt;1,P789,J789),0)</f>
        <v/>
      </c>
      <c r="L789" s="36" t="n">
        <v>38928</v>
      </c>
      <c r="M789" s="21">
        <f>L789*H789</f>
        <v/>
      </c>
      <c r="N789" s="21">
        <f>IFERROR(IF(M789/K789&gt;1,K789,M789),0)</f>
        <v/>
      </c>
      <c r="O789" s="36" t="n">
        <v>24000</v>
      </c>
      <c r="P789" s="21">
        <f>O789*H789</f>
        <v/>
      </c>
      <c r="Q789" s="30">
        <f>IF(MONTH(E789+1)=MONTH(E789+6),MONTH(E789+1),IF(MIN(EOMONTH(E789+1,0),E789+6)-(E789+1)+1&gt;=3,MONTH(E789+1),MONTH(E789+6)))</f>
        <v/>
      </c>
      <c r="R789" s="22">
        <f>IFERROR(K789/P789, 0)</f>
        <v/>
      </c>
      <c r="S789" s="38">
        <f>IFERROR(N789/P789,0)</f>
        <v/>
      </c>
      <c r="T789" s="31">
        <f>IFERROR(IF(N789&gt;0,(N789/K789),MIN(1,M789/J789)),0)</f>
        <v/>
      </c>
      <c r="U789" s="33" t="inlineStr">
        <is>
          <t>Foi demandado doce zero por parte do comercial, porém não havia chegado os insumos para produção. Comercial já estava ciente. No lugar, foi produzido outros doces para aumentar estoque, a exemplo o tradicional 400g,800g e 5kg.</t>
        </is>
      </c>
    </row>
    <row r="790" hidden="1" s="40">
      <c r="A790" s="18" t="inlineStr">
        <is>
          <t>Semana 1 - Maio</t>
        </is>
      </c>
      <c r="B790" s="27">
        <f>YEAR(E790)</f>
        <v/>
      </c>
      <c r="C790" s="18">
        <f>INDEX({"Janeiro";"Fevereiro";"Março";"Abril";"Maio";"Junho";"Julho";"Agosto";"Setembro";"Outubro";"Novembro";"Dezembro"},Q790)</f>
        <v/>
      </c>
      <c r="D790" s="19" t="n">
        <v>1</v>
      </c>
      <c r="E790" s="20" t="n">
        <v>46146</v>
      </c>
      <c r="F790" s="18" t="inlineStr">
        <is>
          <t>Doce de Leite 5kg</t>
        </is>
      </c>
      <c r="G790" s="18" t="inlineStr">
        <is>
          <t>DOCE</t>
        </is>
      </c>
      <c r="H790" s="21" t="n">
        <v>5</v>
      </c>
      <c r="I790" s="36" t="n">
        <v>3255</v>
      </c>
      <c r="J790" s="21">
        <f>I790*H790</f>
        <v/>
      </c>
      <c r="K790" s="21">
        <f>IFERROR(IF(J790/P790&gt;1,P790,J790),0)</f>
        <v/>
      </c>
      <c r="L790" s="36" t="n">
        <v>3671</v>
      </c>
      <c r="M790" s="21">
        <f>L790*H790</f>
        <v/>
      </c>
      <c r="N790" s="21">
        <f>IFERROR(IF(M790/K790&gt;1,K790,M790),0)</f>
        <v/>
      </c>
      <c r="O790" s="36" t="n">
        <v>2790</v>
      </c>
      <c r="P790" s="21">
        <f>O790*H790</f>
        <v/>
      </c>
      <c r="Q790" s="30">
        <f>IF(MONTH(E790+1)=MONTH(E790+6),MONTH(E790+1),IF(MIN(EOMONTH(E790+1,0),E790+6)-(E790+1)+1&gt;=3,MONTH(E790+1),MONTH(E790+6)))</f>
        <v/>
      </c>
      <c r="R790" s="22">
        <f>IFERROR(K790/P790, 0)</f>
        <v/>
      </c>
      <c r="S790" s="38">
        <f>IFERROR(N790/P790,0)</f>
        <v/>
      </c>
      <c r="T790" s="31">
        <f>IFERROR(IF(N790&gt;0,(N790/K790),MIN(1,M790/J790)),0)</f>
        <v/>
      </c>
      <c r="U790" s="33" t="inlineStr">
        <is>
          <t>Metade da massa de ricota azedou, gerando uma menor produção. No dia em questão precisou ser adiado o envase por manutenção no setor</t>
        </is>
      </c>
    </row>
    <row r="791" hidden="1" s="40">
      <c r="A791" s="23" t="inlineStr">
        <is>
          <t>Semana 1 - Maio</t>
        </is>
      </c>
      <c r="B791" s="27">
        <f>YEAR(E791)</f>
        <v/>
      </c>
      <c r="C791" s="18">
        <f>INDEX({"Janeiro";"Fevereiro";"Março";"Abril";"Maio";"Junho";"Julho";"Agosto";"Setembro";"Outubro";"Novembro";"Dezembro"},Q791)</f>
        <v/>
      </c>
      <c r="D791" s="24" t="n">
        <v>1</v>
      </c>
      <c r="E791" s="25" t="n">
        <v>46146</v>
      </c>
      <c r="F791" s="23" t="inlineStr">
        <is>
          <t>Doce de Leite 5kg - Bombeável</t>
        </is>
      </c>
      <c r="G791" s="23" t="inlineStr">
        <is>
          <t>DOCE</t>
        </is>
      </c>
      <c r="H791" s="26" t="n">
        <v>5</v>
      </c>
      <c r="I791" s="36" t="n">
        <v>0</v>
      </c>
      <c r="J791" s="21">
        <f>I791*H791</f>
        <v/>
      </c>
      <c r="K791" s="21">
        <f>IFERROR(IF(J791/P791&gt;1,P791,J791),0)</f>
        <v/>
      </c>
      <c r="L791" s="36" t="n">
        <v>0</v>
      </c>
      <c r="M791" s="21">
        <f>L791*H791</f>
        <v/>
      </c>
      <c r="N791" s="21">
        <f>IFERROR(IF(M791/K791&gt;1,K791,M791),0)</f>
        <v/>
      </c>
      <c r="O791" s="36" t="n">
        <v>0</v>
      </c>
      <c r="P791" s="21">
        <f>O791*H791</f>
        <v/>
      </c>
      <c r="Q791" s="30">
        <f>IF(MONTH(E791+1)=MONTH(E791+6),MONTH(E791+1),IF(MIN(EOMONTH(E791+1,0),E791+6)-(E791+1)+1&gt;=3,MONTH(E791+1),MONTH(E791+6)))</f>
        <v/>
      </c>
      <c r="R791" s="22">
        <f>IFERROR(K791/P791, 0)</f>
        <v/>
      </c>
      <c r="S791" s="38">
        <f>IFERROR(N791/P791,0)</f>
        <v/>
      </c>
      <c r="T791" s="31">
        <f>IFERROR(IF(N791&gt;0,(N791/K791),MIN(1,M791/J791)),0)</f>
        <v/>
      </c>
      <c r="U791" s="33" t="n"/>
    </row>
    <row r="792" hidden="1" s="40">
      <c r="A792" s="18" t="inlineStr">
        <is>
          <t>Semana 1 - Maio</t>
        </is>
      </c>
      <c r="B792" s="27">
        <f>YEAR(E792)</f>
        <v/>
      </c>
      <c r="C792" s="18">
        <f>INDEX({"Janeiro";"Fevereiro";"Março";"Abril";"Maio";"Junho";"Julho";"Agosto";"Setembro";"Outubro";"Novembro";"Dezembro"},Q792)</f>
        <v/>
      </c>
      <c r="D792" s="19" t="n">
        <v>1</v>
      </c>
      <c r="E792" s="20" t="n">
        <v>46146</v>
      </c>
      <c r="F792" s="18" t="inlineStr">
        <is>
          <t>Doce de Leite 5kg - Forneável</t>
        </is>
      </c>
      <c r="G792" s="18" t="inlineStr">
        <is>
          <t>DOCE</t>
        </is>
      </c>
      <c r="H792" s="21" t="n">
        <v>5</v>
      </c>
      <c r="I792" s="36" t="n">
        <v>0</v>
      </c>
      <c r="J792" s="21">
        <f>I792*H792</f>
        <v/>
      </c>
      <c r="K792" s="21">
        <f>IFERROR(IF(J792/P792&gt;1,P792,J792),0)</f>
        <v/>
      </c>
      <c r="L792" s="36" t="n">
        <v>0</v>
      </c>
      <c r="M792" s="21">
        <f>L792*H792</f>
        <v/>
      </c>
      <c r="N792" s="21">
        <f>IFERROR(IF(M792/K792&gt;1,K792,M792),0)</f>
        <v/>
      </c>
      <c r="O792" s="36" t="n">
        <v>0</v>
      </c>
      <c r="P792" s="21">
        <f>O792*H792</f>
        <v/>
      </c>
      <c r="Q792" s="30">
        <f>IF(MONTH(E792+1)=MONTH(E792+6),MONTH(E792+1),IF(MIN(EOMONTH(E792+1,0),E792+6)-(E792+1)+1&gt;=3,MONTH(E792+1),MONTH(E792+6)))</f>
        <v/>
      </c>
      <c r="R792" s="22">
        <f>IFERROR(K792/P792, 0)</f>
        <v/>
      </c>
      <c r="S792" s="38">
        <f>IFERROR(N792/P792,0)</f>
        <v/>
      </c>
      <c r="T792" s="31">
        <f>IFERROR(IF(N792&gt;0,(N792/K792),MIN(1,M792/J792)),0)</f>
        <v/>
      </c>
      <c r="U792" s="33" t="n"/>
    </row>
    <row r="793" hidden="1" s="40">
      <c r="A793" s="23" t="inlineStr">
        <is>
          <t>Semana 1 - Maio</t>
        </is>
      </c>
      <c r="B793" s="27">
        <f>YEAR(E793)</f>
        <v/>
      </c>
      <c r="C793" s="18">
        <f>INDEX({"Janeiro";"Fevereiro";"Março";"Abril";"Maio";"Junho";"Julho";"Agosto";"Setembro";"Outubro";"Novembro";"Dezembro"},Q793)</f>
        <v/>
      </c>
      <c r="D793" s="24" t="n">
        <v>1</v>
      </c>
      <c r="E793" s="25" t="n">
        <v>46146</v>
      </c>
      <c r="F793" s="23" t="inlineStr">
        <is>
          <t>Doce de Leite 800g</t>
        </is>
      </c>
      <c r="G793" s="23" t="inlineStr">
        <is>
          <t>DOCE</t>
        </is>
      </c>
      <c r="H793" s="26" t="n">
        <v>0.8</v>
      </c>
      <c r="I793" s="36" t="n">
        <v>18000</v>
      </c>
      <c r="J793" s="21">
        <f>I793*H793</f>
        <v/>
      </c>
      <c r="K793" s="21">
        <f>IFERROR(IF(J793/P793&gt;1,P793,J793),0)</f>
        <v/>
      </c>
      <c r="L793" s="36" t="n">
        <v>19954</v>
      </c>
      <c r="M793" s="21">
        <f>L793*H793</f>
        <v/>
      </c>
      <c r="N793" s="21">
        <f>IFERROR(IF(M793/K793&gt;1,K793,M793),0)</f>
        <v/>
      </c>
      <c r="O793" s="36" t="n">
        <v>15000</v>
      </c>
      <c r="P793" s="21">
        <f>O793*H793</f>
        <v/>
      </c>
      <c r="Q793" s="30">
        <f>IF(MONTH(E793+1)=MONTH(E793+6),MONTH(E793+1),IF(MIN(EOMONTH(E793+1,0),E793+6)-(E793+1)+1&gt;=3,MONTH(E793+1),MONTH(E793+6)))</f>
        <v/>
      </c>
      <c r="R793" s="22">
        <f>IFERROR(K793/P793, 0)</f>
        <v/>
      </c>
      <c r="S793" s="38">
        <f>IFERROR(N793/P793,0)</f>
        <v/>
      </c>
      <c r="T793" s="31">
        <f>IFERROR(IF(N793&gt;0,(N793/K793),MIN(1,M793/J793)),0)</f>
        <v/>
      </c>
      <c r="U793" s="33" t="n"/>
    </row>
    <row r="794" hidden="1" s="40">
      <c r="A794" s="18" t="inlineStr">
        <is>
          <t>Semana 1 - Maio</t>
        </is>
      </c>
      <c r="B794" s="27">
        <f>YEAR(E794)</f>
        <v/>
      </c>
      <c r="C794" s="18">
        <f>INDEX({"Janeiro";"Fevereiro";"Março";"Abril";"Maio";"Junho";"Julho";"Agosto";"Setembro";"Outubro";"Novembro";"Dezembro"},Q794)</f>
        <v/>
      </c>
      <c r="D794" s="19" t="n">
        <v>1</v>
      </c>
      <c r="E794" s="20" t="n">
        <v>46146</v>
      </c>
      <c r="F794" s="18" t="inlineStr">
        <is>
          <t>Doce de Leite Cacau 400g</t>
        </is>
      </c>
      <c r="G794" s="18" t="inlineStr">
        <is>
          <t>DOCE</t>
        </is>
      </c>
      <c r="H794" s="21" t="n">
        <v>0.4</v>
      </c>
      <c r="I794" s="36" t="n">
        <v>0</v>
      </c>
      <c r="J794" s="21">
        <f>I794*H794</f>
        <v/>
      </c>
      <c r="K794" s="21">
        <f>IFERROR(IF(J794/P794&gt;1,P794,J794),0)</f>
        <v/>
      </c>
      <c r="L794" s="36" t="n">
        <v>0</v>
      </c>
      <c r="M794" s="21">
        <f>L794*H794</f>
        <v/>
      </c>
      <c r="N794" s="21">
        <f>IFERROR(IF(M794/K794&gt;1,K794,M794),0)</f>
        <v/>
      </c>
      <c r="O794" s="36" t="n">
        <v>0</v>
      </c>
      <c r="P794" s="21">
        <f>O794*H794</f>
        <v/>
      </c>
      <c r="Q794" s="30">
        <f>IF(MONTH(E794+1)=MONTH(E794+6),MONTH(E794+1),IF(MIN(EOMONTH(E794+1,0),E794+6)-(E794+1)+1&gt;=3,MONTH(E794+1),MONTH(E794+6)))</f>
        <v/>
      </c>
      <c r="R794" s="22">
        <f>IFERROR(K794/P794, 0)</f>
        <v/>
      </c>
      <c r="S794" s="38">
        <f>IFERROR(N794/P794,0)</f>
        <v/>
      </c>
      <c r="T794" s="31">
        <f>IFERROR(IF(N794&gt;0,(N794/K794),MIN(1,M794/J794)),0)</f>
        <v/>
      </c>
      <c r="U794" s="33" t="n"/>
    </row>
    <row r="795" hidden="1" s="40">
      <c r="A795" s="23" t="inlineStr">
        <is>
          <t>Semana 1 - Maio</t>
        </is>
      </c>
      <c r="B795" s="27">
        <f>YEAR(E795)</f>
        <v/>
      </c>
      <c r="C795" s="18">
        <f>INDEX({"Janeiro";"Fevereiro";"Março";"Abril";"Maio";"Junho";"Julho";"Agosto";"Setembro";"Outubro";"Novembro";"Dezembro"},Q795)</f>
        <v/>
      </c>
      <c r="D795" s="24" t="n">
        <v>1</v>
      </c>
      <c r="E795" s="25" t="n">
        <v>46146</v>
      </c>
      <c r="F795" s="23" t="inlineStr">
        <is>
          <t>Doce de Leite Cacau 5kg - Bombeável</t>
        </is>
      </c>
      <c r="G795" s="23" t="inlineStr">
        <is>
          <t>DOCE</t>
        </is>
      </c>
      <c r="H795" s="26" t="n">
        <v>5</v>
      </c>
      <c r="I795" s="36" t="n">
        <v>0</v>
      </c>
      <c r="J795" s="21">
        <f>I795*H795</f>
        <v/>
      </c>
      <c r="K795" s="21">
        <f>IFERROR(IF(J795/P795&gt;1,P795,J795),0)</f>
        <v/>
      </c>
      <c r="L795" s="36" t="n">
        <v>0</v>
      </c>
      <c r="M795" s="21">
        <f>L795*H795</f>
        <v/>
      </c>
      <c r="N795" s="21">
        <f>IFERROR(IF(M795/K795&gt;1,K795,M795),0)</f>
        <v/>
      </c>
      <c r="O795" s="36" t="n">
        <v>0</v>
      </c>
      <c r="P795" s="21">
        <f>O795*H795</f>
        <v/>
      </c>
      <c r="Q795" s="30">
        <f>IF(MONTH(E795+1)=MONTH(E795+6),MONTH(E795+1),IF(MIN(EOMONTH(E795+1,0),E795+6)-(E795+1)+1&gt;=3,MONTH(E795+1),MONTH(E795+6)))</f>
        <v/>
      </c>
      <c r="R795" s="22">
        <f>IFERROR(K795/P795, 0)</f>
        <v/>
      </c>
      <c r="S795" s="38">
        <f>IFERROR(N795/P795,0)</f>
        <v/>
      </c>
      <c r="T795" s="31">
        <f>IFERROR(IF(N795&gt;0,(N795/K795),MIN(1,M795/J795)),0)</f>
        <v/>
      </c>
      <c r="U795" s="33" t="n"/>
    </row>
    <row r="796" hidden="1" s="40">
      <c r="A796" s="18" t="inlineStr">
        <is>
          <t>Semana 1 - Maio</t>
        </is>
      </c>
      <c r="B796" s="27">
        <f>YEAR(E796)</f>
        <v/>
      </c>
      <c r="C796" s="18">
        <f>INDEX({"Janeiro";"Fevereiro";"Março";"Abril";"Maio";"Junho";"Julho";"Agosto";"Setembro";"Outubro";"Novembro";"Dezembro"},Q796)</f>
        <v/>
      </c>
      <c r="D796" s="19" t="n">
        <v>1</v>
      </c>
      <c r="E796" s="20" t="n">
        <v>46146</v>
      </c>
      <c r="F796" s="18" t="inlineStr">
        <is>
          <t>Doce de Leite Cacau 5kg - FOOD</t>
        </is>
      </c>
      <c r="G796" s="18" t="inlineStr">
        <is>
          <t>DOCE</t>
        </is>
      </c>
      <c r="H796" s="21" t="n">
        <v>5</v>
      </c>
      <c r="I796" s="36" t="n">
        <v>465</v>
      </c>
      <c r="J796" s="21">
        <f>I796*H796</f>
        <v/>
      </c>
      <c r="K796" s="21">
        <f>IFERROR(IF(J796/P796&gt;1,P796,J796),0)</f>
        <v/>
      </c>
      <c r="L796" s="36" t="n">
        <v>489</v>
      </c>
      <c r="M796" s="21">
        <f>L796*H796</f>
        <v/>
      </c>
      <c r="N796" s="21">
        <f>IFERROR(IF(M796/K796&gt;1,K796,M796),0)</f>
        <v/>
      </c>
      <c r="O796" s="36" t="n">
        <v>465</v>
      </c>
      <c r="P796" s="21">
        <f>O796*H796</f>
        <v/>
      </c>
      <c r="Q796" s="30">
        <f>IF(MONTH(E796+1)=MONTH(E796+6),MONTH(E796+1),IF(MIN(EOMONTH(E796+1,0),E796+6)-(E796+1)+1&gt;=3,MONTH(E796+1),MONTH(E796+6)))</f>
        <v/>
      </c>
      <c r="R796" s="22">
        <f>IFERROR(K796/P796, 0)</f>
        <v/>
      </c>
      <c r="S796" s="38">
        <f>IFERROR(N796/P796,0)</f>
        <v/>
      </c>
      <c r="T796" s="31">
        <f>IFERROR(IF(N796&gt;0,(N796/K796),MIN(1,M796/J796)),0)</f>
        <v/>
      </c>
      <c r="U796" s="33" t="n"/>
    </row>
    <row r="797" hidden="1" s="40">
      <c r="A797" s="23" t="inlineStr">
        <is>
          <t>Semana 1 - Maio</t>
        </is>
      </c>
      <c r="B797" s="27">
        <f>YEAR(E797)</f>
        <v/>
      </c>
      <c r="C797" s="18">
        <f>INDEX({"Janeiro";"Fevereiro";"Março";"Abril";"Maio";"Junho";"Julho";"Agosto";"Setembro";"Outubro";"Novembro";"Dezembro"},Q797)</f>
        <v/>
      </c>
      <c r="D797" s="24" t="n">
        <v>1</v>
      </c>
      <c r="E797" s="25" t="n">
        <v>46146</v>
      </c>
      <c r="F797" s="23" t="inlineStr">
        <is>
          <t>Doce de Leite Zero Açúcar e Lactose 400g</t>
        </is>
      </c>
      <c r="G797" s="23" t="inlineStr">
        <is>
          <t>DOCE</t>
        </is>
      </c>
      <c r="H797" s="26" t="n">
        <v>0.4</v>
      </c>
      <c r="I797" s="36" t="n">
        <v>0</v>
      </c>
      <c r="J797" s="21">
        <f>I797*H797</f>
        <v/>
      </c>
      <c r="K797" s="21">
        <f>IFERROR(IF(J797/P797&gt;1,P797,J797),0)</f>
        <v/>
      </c>
      <c r="L797" s="36" t="n"/>
      <c r="M797" s="21">
        <f>L797*H797</f>
        <v/>
      </c>
      <c r="N797" s="21">
        <f>IFERROR(IF(M797/K797&gt;1,K797,M797),0)</f>
        <v/>
      </c>
      <c r="O797" s="36" t="n">
        <v>24000</v>
      </c>
      <c r="P797" s="21">
        <f>O797*H797</f>
        <v/>
      </c>
      <c r="Q797" s="30">
        <f>IF(MONTH(E797+1)=MONTH(E797+6),MONTH(E797+1),IF(MIN(EOMONTH(E797+1,0),E797+6)-(E797+1)+1&gt;=3,MONTH(E797+1),MONTH(E797+6)))</f>
        <v/>
      </c>
      <c r="R797" s="22">
        <f>IFERROR(K797/P797, 0)</f>
        <v/>
      </c>
      <c r="S797" s="38">
        <f>IFERROR(N797/P797,0)</f>
        <v/>
      </c>
      <c r="T797" s="31">
        <f>IFERROR(IF(N797&gt;0,(N797/K797),MIN(1,M797/J797)),0)</f>
        <v/>
      </c>
      <c r="U797" s="33" t="n"/>
    </row>
    <row r="798" hidden="1" s="40">
      <c r="A798" s="18" t="inlineStr">
        <is>
          <t>Semana 1 - Maio</t>
        </is>
      </c>
      <c r="B798" s="27">
        <f>YEAR(E798)</f>
        <v/>
      </c>
      <c r="C798" s="18">
        <f>INDEX({"Janeiro";"Fevereiro";"Março";"Abril";"Maio";"Junho";"Julho";"Agosto";"Setembro";"Outubro";"Novembro";"Dezembro"},Q798)</f>
        <v/>
      </c>
      <c r="D798" s="19" t="n">
        <v>1</v>
      </c>
      <c r="E798" s="20" t="n">
        <v>46146</v>
      </c>
      <c r="F798" s="18" t="inlineStr">
        <is>
          <t>Doce de Leite c/ Café 400</t>
        </is>
      </c>
      <c r="G798" s="18" t="inlineStr">
        <is>
          <t>DOCE</t>
        </is>
      </c>
      <c r="H798" s="21" t="n">
        <v>0.4</v>
      </c>
      <c r="I798" s="36" t="n">
        <v>0</v>
      </c>
      <c r="J798" s="21">
        <f>I798*H798</f>
        <v/>
      </c>
      <c r="K798" s="21">
        <f>IFERROR(IF(J798/P798&gt;1,P798,J798),0)</f>
        <v/>
      </c>
      <c r="L798" s="36" t="n">
        <v>0</v>
      </c>
      <c r="M798" s="21">
        <f>L798*H798</f>
        <v/>
      </c>
      <c r="N798" s="21">
        <f>IFERROR(IF(M798/K798&gt;1,K798,M798),0)</f>
        <v/>
      </c>
      <c r="O798" s="36" t="n">
        <v>0</v>
      </c>
      <c r="P798" s="21">
        <f>O798*H798</f>
        <v/>
      </c>
      <c r="Q798" s="30">
        <f>IF(MONTH(E798+1)=MONTH(E798+6),MONTH(E798+1),IF(MIN(EOMONTH(E798+1,0),E798+6)-(E798+1)+1&gt;=3,MONTH(E798+1),MONTH(E798+6)))</f>
        <v/>
      </c>
      <c r="R798" s="22">
        <f>IFERROR(K798/P798, 0)</f>
        <v/>
      </c>
      <c r="S798" s="38">
        <f>IFERROR(N798/P798,0)</f>
        <v/>
      </c>
      <c r="T798" s="31">
        <f>IFERROR(IF(N798&gt;0,(N798/K798),MIN(1,M798/J798)),0)</f>
        <v/>
      </c>
      <c r="U798" s="33" t="n"/>
    </row>
    <row r="799" hidden="1" s="40">
      <c r="A799" s="23" t="inlineStr">
        <is>
          <t>Semana 1 - Maio</t>
        </is>
      </c>
      <c r="B799" s="27">
        <f>YEAR(E799)</f>
        <v/>
      </c>
      <c r="C799" s="18">
        <f>INDEX({"Janeiro";"Fevereiro";"Março";"Abril";"Maio";"Junho";"Julho";"Agosto";"Setembro";"Outubro";"Novembro";"Dezembro"},Q799)</f>
        <v/>
      </c>
      <c r="D799" s="24" t="n">
        <v>1</v>
      </c>
      <c r="E799" s="25" t="n">
        <v>46146</v>
      </c>
      <c r="F799" s="23" t="inlineStr">
        <is>
          <t>Doce de Leite c/ Café 5kg</t>
        </is>
      </c>
      <c r="G799" s="23" t="inlineStr">
        <is>
          <t>DOCE</t>
        </is>
      </c>
      <c r="H799" s="26" t="n">
        <v>5</v>
      </c>
      <c r="I799" s="36" t="n">
        <v>0</v>
      </c>
      <c r="J799" s="21">
        <f>I799*H799</f>
        <v/>
      </c>
      <c r="K799" s="21">
        <f>IFERROR(IF(J799/P799&gt;1,P799,J799),0)</f>
        <v/>
      </c>
      <c r="L799" s="36" t="n">
        <v>0</v>
      </c>
      <c r="M799" s="21">
        <f>L799*H799</f>
        <v/>
      </c>
      <c r="N799" s="21">
        <f>IFERROR(IF(M799/K799&gt;1,K799,M799),0)</f>
        <v/>
      </c>
      <c r="O799" s="36" t="n">
        <v>0</v>
      </c>
      <c r="P799" s="21">
        <f>O799*H799</f>
        <v/>
      </c>
      <c r="Q799" s="30">
        <f>IF(MONTH(E799+1)=MONTH(E799+6),MONTH(E799+1),IF(MIN(EOMONTH(E799+1,0),E799+6)-(E799+1)+1&gt;=3,MONTH(E799+1),MONTH(E799+6)))</f>
        <v/>
      </c>
      <c r="R799" s="22">
        <f>IFERROR(K799/P799, 0)</f>
        <v/>
      </c>
      <c r="S799" s="38">
        <f>IFERROR(N799/P799,0)</f>
        <v/>
      </c>
      <c r="T799" s="31">
        <f>IFERROR(IF(N799&gt;0,(N799/K799),MIN(1,M799/J799)),0)</f>
        <v/>
      </c>
      <c r="U799" s="33" t="n"/>
    </row>
    <row r="800" hidden="1" s="40">
      <c r="A800" s="18" t="inlineStr">
        <is>
          <t>Semana 1 - Maio</t>
        </is>
      </c>
      <c r="B800" s="27">
        <f>YEAR(E800)</f>
        <v/>
      </c>
      <c r="C800" s="18">
        <f>INDEX({"Janeiro";"Fevereiro";"Março";"Abril";"Maio";"Junho";"Julho";"Agosto";"Setembro";"Outubro";"Novembro";"Dezembro"},Q800)</f>
        <v/>
      </c>
      <c r="D800" s="19" t="n">
        <v>1</v>
      </c>
      <c r="E800" s="20" t="n">
        <v>46146</v>
      </c>
      <c r="F800" s="18" t="inlineStr">
        <is>
          <t>Doce de Leite c/ coco 400</t>
        </is>
      </c>
      <c r="G800" s="18" t="inlineStr">
        <is>
          <t>DOCE</t>
        </is>
      </c>
      <c r="H800" s="21" t="n">
        <v>0.4</v>
      </c>
      <c r="I800" s="36" t="n">
        <v>0</v>
      </c>
      <c r="J800" s="21">
        <f>I800*H800</f>
        <v/>
      </c>
      <c r="K800" s="21">
        <f>IFERROR(IF(J800/P800&gt;1,P800,J800),0)</f>
        <v/>
      </c>
      <c r="L800" s="36" t="n">
        <v>0</v>
      </c>
      <c r="M800" s="21">
        <f>L800*H800</f>
        <v/>
      </c>
      <c r="N800" s="21">
        <f>IFERROR(IF(M800/K800&gt;1,K800,M800),0)</f>
        <v/>
      </c>
      <c r="O800" s="36" t="n">
        <v>0</v>
      </c>
      <c r="P800" s="21">
        <f>O800*H800</f>
        <v/>
      </c>
      <c r="Q800" s="30">
        <f>IF(MONTH(E800+1)=MONTH(E800+6),MONTH(E800+1),IF(MIN(EOMONTH(E800+1,0),E800+6)-(E800+1)+1&gt;=3,MONTH(E800+1),MONTH(E800+6)))</f>
        <v/>
      </c>
      <c r="R800" s="22">
        <f>IFERROR(K800/P800, 0)</f>
        <v/>
      </c>
      <c r="S800" s="38">
        <f>IFERROR(N800/P800,0)</f>
        <v/>
      </c>
      <c r="T800" s="31">
        <f>IFERROR(IF(N800&gt;0,(N800/K800),MIN(1,M800/J800)),0)</f>
        <v/>
      </c>
      <c r="U800" s="33" t="n"/>
    </row>
    <row r="801" hidden="1" s="40">
      <c r="A801" s="23" t="inlineStr">
        <is>
          <t>Semana 1 - Maio</t>
        </is>
      </c>
      <c r="B801" s="27">
        <f>YEAR(E801)</f>
        <v/>
      </c>
      <c r="C801" s="18">
        <f>INDEX({"Janeiro";"Fevereiro";"Março";"Abril";"Maio";"Junho";"Julho";"Agosto";"Setembro";"Outubro";"Novembro";"Dezembro"},Q801)</f>
        <v/>
      </c>
      <c r="D801" s="24" t="n">
        <v>1</v>
      </c>
      <c r="E801" s="25" t="n">
        <v>46146</v>
      </c>
      <c r="F801" s="23" t="inlineStr">
        <is>
          <t>IOGURTE VIÇOSA MORANGO LIGHT 180g</t>
        </is>
      </c>
      <c r="G801" s="23" t="inlineStr">
        <is>
          <t>IOGURTE</t>
        </is>
      </c>
      <c r="H801" s="26" t="n">
        <v>0.18</v>
      </c>
      <c r="I801" s="36" t="n">
        <v>0</v>
      </c>
      <c r="J801" s="21">
        <f>I801*H801</f>
        <v/>
      </c>
      <c r="K801" s="21">
        <f>IFERROR(IF(J801/P801&gt;1,P801,J801),0)</f>
        <v/>
      </c>
      <c r="L801" s="36" t="n">
        <v>0</v>
      </c>
      <c r="M801" s="21">
        <f>L801*H801</f>
        <v/>
      </c>
      <c r="N801" s="21">
        <f>IFERROR(IF(M801/K801&gt;1,K801,M801),0)</f>
        <v/>
      </c>
      <c r="O801" s="36" t="n">
        <v>0</v>
      </c>
      <c r="P801" s="21">
        <f>O801*H801</f>
        <v/>
      </c>
      <c r="Q801" s="30">
        <f>IF(MONTH(E801+1)=MONTH(E801+6),MONTH(E801+1),IF(MIN(EOMONTH(E801+1,0),E801+6)-(E801+1)+1&gt;=3,MONTH(E801+1),MONTH(E801+6)))</f>
        <v/>
      </c>
      <c r="R801" s="22">
        <f>IFERROR(K801/P801, 0)</f>
        <v/>
      </c>
      <c r="S801" s="38">
        <f>IFERROR(N801/P801,0)</f>
        <v/>
      </c>
      <c r="T801" s="31">
        <f>IFERROR(IF(N801&gt;0,(N801/K801),MIN(1,M801/J801)),0)</f>
        <v/>
      </c>
      <c r="U801" s="33" t="n"/>
    </row>
    <row r="802" hidden="1" s="40">
      <c r="A802" s="18" t="inlineStr">
        <is>
          <t>Semana 1 - Maio</t>
        </is>
      </c>
      <c r="B802" s="27">
        <f>YEAR(E802)</f>
        <v/>
      </c>
      <c r="C802" s="18">
        <f>INDEX({"Janeiro";"Fevereiro";"Março";"Abril";"Maio";"Junho";"Julho";"Agosto";"Setembro";"Outubro";"Novembro";"Dezembro"},Q802)</f>
        <v/>
      </c>
      <c r="D802" s="19" t="n">
        <v>1</v>
      </c>
      <c r="E802" s="20" t="n">
        <v>46146</v>
      </c>
      <c r="F802" s="18" t="inlineStr">
        <is>
          <t>IOGURTE VIÇOSA MORANGO LIGHT 800g</t>
        </is>
      </c>
      <c r="G802" s="18" t="inlineStr">
        <is>
          <t>IOGURTE</t>
        </is>
      </c>
      <c r="H802" s="21" t="n">
        <v>0.8</v>
      </c>
      <c r="I802" s="36" t="n">
        <v>0</v>
      </c>
      <c r="J802" s="21">
        <f>I802*H802</f>
        <v/>
      </c>
      <c r="K802" s="21">
        <f>IFERROR(IF(J802/P802&gt;1,P802,J802),0)</f>
        <v/>
      </c>
      <c r="L802" s="36" t="n">
        <v>0</v>
      </c>
      <c r="M802" s="21">
        <f>L802*H802</f>
        <v/>
      </c>
      <c r="N802" s="21">
        <f>IFERROR(IF(M802/K802&gt;1,K802,M802),0)</f>
        <v/>
      </c>
      <c r="O802" s="36" t="n">
        <v>0</v>
      </c>
      <c r="P802" s="21">
        <f>O802*H802</f>
        <v/>
      </c>
      <c r="Q802" s="30">
        <f>IF(MONTH(E802+1)=MONTH(E802+6),MONTH(E802+1),IF(MIN(EOMONTH(E802+1,0),E802+6)-(E802+1)+1&gt;=3,MONTH(E802+1),MONTH(E802+6)))</f>
        <v/>
      </c>
      <c r="R802" s="22">
        <f>IFERROR(K802/P802, 0)</f>
        <v/>
      </c>
      <c r="S802" s="38">
        <f>IFERROR(N802/P802,0)</f>
        <v/>
      </c>
      <c r="T802" s="31">
        <f>IFERROR(IF(N802&gt;0,(N802/K802),MIN(1,M802/J802)),0)</f>
        <v/>
      </c>
      <c r="U802" s="33" t="n"/>
    </row>
    <row r="803" hidden="1" s="40">
      <c r="A803" s="18" t="inlineStr">
        <is>
          <t>Semana 1 - Maio</t>
        </is>
      </c>
      <c r="B803" s="27">
        <f>YEAR(E803)</f>
        <v/>
      </c>
      <c r="C803" s="18">
        <f>INDEX({"Janeiro";"Fevereiro";"Março";"Abril";"Maio";"Junho";"Julho";"Agosto";"Setembro";"Outubro";"Novembro";"Dezembro"},Q803)</f>
        <v/>
      </c>
      <c r="D803" s="19" t="n">
        <v>1</v>
      </c>
      <c r="E803" s="20" t="n">
        <v>46146</v>
      </c>
      <c r="F803" s="18" t="inlineStr">
        <is>
          <t>Iogurte Abacaxi c/ Coco 120g</t>
        </is>
      </c>
      <c r="G803" s="18" t="inlineStr">
        <is>
          <t>IOGURTE</t>
        </is>
      </c>
      <c r="H803" s="21" t="n">
        <v>0.12</v>
      </c>
      <c r="I803" s="36" t="n">
        <v>2000</v>
      </c>
      <c r="J803" s="21">
        <f>I803*H803</f>
        <v/>
      </c>
      <c r="K803" s="21">
        <f>IFERROR(IF(J803/P803&gt;1,P803,J803),0)</f>
        <v/>
      </c>
      <c r="L803" s="36" t="n">
        <v>2152</v>
      </c>
      <c r="M803" s="21">
        <f>L803*H803</f>
        <v/>
      </c>
      <c r="N803" s="21">
        <f>IFERROR(IF(M803/K803&gt;1,K803,M803),0)</f>
        <v/>
      </c>
      <c r="O803" s="36" t="n">
        <v>2000</v>
      </c>
      <c r="P803" s="21">
        <f>O803*H803</f>
        <v/>
      </c>
      <c r="Q803" s="30">
        <f>IF(MONTH(E803+1)=MONTH(E803+6),MONTH(E803+1),IF(MIN(EOMONTH(E803+1,0),E803+6)-(E803+1)+1&gt;=3,MONTH(E803+1),MONTH(E803+6)))</f>
        <v/>
      </c>
      <c r="R803" s="22">
        <f>IFERROR(K803/P803, 0)</f>
        <v/>
      </c>
      <c r="S803" s="38">
        <f>IFERROR(N803/P803,0)</f>
        <v/>
      </c>
      <c r="T803" s="31">
        <f>IFERROR(IF(N803&gt;0,(N803/K803),MIN(1,M803/J803)),0)</f>
        <v/>
      </c>
      <c r="U803" s="33" t="n"/>
    </row>
    <row r="804" hidden="1" s="40">
      <c r="A804" s="23" t="inlineStr">
        <is>
          <t>Semana 1 - Maio</t>
        </is>
      </c>
      <c r="B804" s="27">
        <f>YEAR(E804)</f>
        <v/>
      </c>
      <c r="C804" s="18">
        <f>INDEX({"Janeiro";"Fevereiro";"Março";"Abril";"Maio";"Junho";"Julho";"Agosto";"Setembro";"Outubro";"Novembro";"Dezembro"},Q804)</f>
        <v/>
      </c>
      <c r="D804" s="24" t="n">
        <v>1</v>
      </c>
      <c r="E804" s="25" t="n">
        <v>46146</v>
      </c>
      <c r="F804" s="23" t="inlineStr">
        <is>
          <t>Iogurte Abacaxi c/ Coco 185g</t>
        </is>
      </c>
      <c r="G804" s="23" t="inlineStr">
        <is>
          <t>IOGURTE</t>
        </is>
      </c>
      <c r="H804" s="26" t="n">
        <v>0.185</v>
      </c>
      <c r="I804" s="36" t="n">
        <v>260</v>
      </c>
      <c r="J804" s="21">
        <f>I804*H804</f>
        <v/>
      </c>
      <c r="K804" s="21">
        <f>IFERROR(IF(J804/P804&gt;1,P804,J804),0)</f>
        <v/>
      </c>
      <c r="L804" s="36" t="n">
        <v>212</v>
      </c>
      <c r="M804" s="21">
        <f>L804*H804</f>
        <v/>
      </c>
      <c r="N804" s="21">
        <f>IFERROR(IF(M804/K804&gt;1,K804,M804),0)</f>
        <v/>
      </c>
      <c r="O804" s="36" t="n">
        <v>260</v>
      </c>
      <c r="P804" s="21">
        <f>O804*H804</f>
        <v/>
      </c>
      <c r="Q804" s="30">
        <f>IF(MONTH(E804+1)=MONTH(E804+6),MONTH(E804+1),IF(MIN(EOMONTH(E804+1,0),E804+6)-(E804+1)+1&gt;=3,MONTH(E804+1),MONTH(E804+6)))</f>
        <v/>
      </c>
      <c r="R804" s="22">
        <f>IFERROR(K804/P804, 0)</f>
        <v/>
      </c>
      <c r="S804" s="38">
        <f>IFERROR(N804/P804,0)</f>
        <v/>
      </c>
      <c r="T804" s="31">
        <f>IFERROR(IF(N804&gt;0,(N804/K804),MIN(1,M804/J804)),0)</f>
        <v/>
      </c>
      <c r="U804" s="33" t="n"/>
    </row>
    <row r="805" hidden="1" s="40">
      <c r="A805" s="18" t="inlineStr">
        <is>
          <t>Semana 1 - Maio</t>
        </is>
      </c>
      <c r="B805" s="27">
        <f>YEAR(E805)</f>
        <v/>
      </c>
      <c r="C805" s="18">
        <f>INDEX({"Janeiro";"Fevereiro";"Março";"Abril";"Maio";"Junho";"Julho";"Agosto";"Setembro";"Outubro";"Novembro";"Dezembro"},Q805)</f>
        <v/>
      </c>
      <c r="D805" s="19" t="n">
        <v>1</v>
      </c>
      <c r="E805" s="20" t="n">
        <v>46146</v>
      </c>
      <c r="F805" s="18" t="inlineStr">
        <is>
          <t>Iogurte Abacaxi c/ Coco 900g</t>
        </is>
      </c>
      <c r="G805" s="18" t="inlineStr">
        <is>
          <t>IOGURTE</t>
        </is>
      </c>
      <c r="H805" s="21" t="n">
        <v>0.9</v>
      </c>
      <c r="I805" s="36" t="n">
        <v>1260</v>
      </c>
      <c r="J805" s="21">
        <f>I805*H805</f>
        <v/>
      </c>
      <c r="K805" s="21">
        <f>IFERROR(IF(J805/P805&gt;1,P805,J805),0)</f>
        <v/>
      </c>
      <c r="L805" s="36" t="n">
        <v>1236</v>
      </c>
      <c r="M805" s="21">
        <f>L805*H805</f>
        <v/>
      </c>
      <c r="N805" s="21">
        <f>IFERROR(IF(M805/K805&gt;1,K805,M805),0)</f>
        <v/>
      </c>
      <c r="O805" s="36" t="n">
        <v>1300</v>
      </c>
      <c r="P805" s="21">
        <f>O805*H805</f>
        <v/>
      </c>
      <c r="Q805" s="30">
        <f>IF(MONTH(E805+1)=MONTH(E805+6),MONTH(E805+1),IF(MIN(EOMONTH(E805+1,0),E805+6)-(E805+1)+1&gt;=3,MONTH(E805+1),MONTH(E805+6)))</f>
        <v/>
      </c>
      <c r="R805" s="22">
        <f>IFERROR(K805/P805, 0)</f>
        <v/>
      </c>
      <c r="S805" s="38">
        <f>IFERROR(N805/P805,0)</f>
        <v/>
      </c>
      <c r="T805" s="31">
        <f>IFERROR(IF(N805&gt;0,(N805/K805),MIN(1,M805/J805)),0)</f>
        <v/>
      </c>
      <c r="U805" s="33" t="n"/>
    </row>
    <row r="806" hidden="1" s="40">
      <c r="A806" s="18" t="inlineStr">
        <is>
          <t>Semana 1 - Maio</t>
        </is>
      </c>
      <c r="B806" s="27">
        <f>YEAR(E806)</f>
        <v/>
      </c>
      <c r="C806" s="18">
        <f>INDEX({"Janeiro";"Fevereiro";"Março";"Abril";"Maio";"Junho";"Julho";"Agosto";"Setembro";"Outubro";"Novembro";"Dezembro"},Q806)</f>
        <v/>
      </c>
      <c r="D806" s="19" t="n">
        <v>1</v>
      </c>
      <c r="E806" s="20" t="n">
        <v>46146</v>
      </c>
      <c r="F806" s="18" t="inlineStr">
        <is>
          <t>Iogurte Coco 120g</t>
        </is>
      </c>
      <c r="G806" s="18" t="inlineStr">
        <is>
          <t>IOGURTE</t>
        </is>
      </c>
      <c r="H806" s="21" t="n">
        <v>0.12</v>
      </c>
      <c r="I806" s="36" t="n">
        <v>5000</v>
      </c>
      <c r="J806" s="21">
        <f>I806*H806</f>
        <v/>
      </c>
      <c r="K806" s="21">
        <f>IFERROR(IF(J806/P806&gt;1,P806,J806),0)</f>
        <v/>
      </c>
      <c r="L806" s="36" t="n">
        <v>5171</v>
      </c>
      <c r="M806" s="21">
        <f>L806*H806</f>
        <v/>
      </c>
      <c r="N806" s="21">
        <f>IFERROR(IF(M806/K806&gt;1,K806,M806),0)</f>
        <v/>
      </c>
      <c r="O806" s="36" t="n">
        <v>5000</v>
      </c>
      <c r="P806" s="21">
        <f>O806*H806</f>
        <v/>
      </c>
      <c r="Q806" s="30">
        <f>IF(MONTH(E806+1)=MONTH(E806+6),MONTH(E806+1),IF(MIN(EOMONTH(E806+1,0),E806+6)-(E806+1)+1&gt;=3,MONTH(E806+1),MONTH(E806+6)))</f>
        <v/>
      </c>
      <c r="R806" s="22">
        <f>IFERROR(K806/P806, 0)</f>
        <v/>
      </c>
      <c r="S806" s="38">
        <f>IFERROR(N806/P806,0)</f>
        <v/>
      </c>
      <c r="T806" s="31">
        <f>IFERROR(IF(N806&gt;0,(N806/K806),MIN(1,M806/J806)),0)</f>
        <v/>
      </c>
      <c r="U806" s="33" t="n"/>
    </row>
    <row r="807" hidden="1" s="40">
      <c r="A807" s="23" t="inlineStr">
        <is>
          <t>Semana 1 - Maio</t>
        </is>
      </c>
      <c r="B807" s="27">
        <f>YEAR(E807)</f>
        <v/>
      </c>
      <c r="C807" s="18">
        <f>INDEX({"Janeiro";"Fevereiro";"Março";"Abril";"Maio";"Junho";"Julho";"Agosto";"Setembro";"Outubro";"Novembro";"Dezembro"},Q807)</f>
        <v/>
      </c>
      <c r="D807" s="24" t="n">
        <v>1</v>
      </c>
      <c r="E807" s="25" t="n">
        <v>46146</v>
      </c>
      <c r="F807" s="23" t="inlineStr">
        <is>
          <t>Iogurte Coco 185g</t>
        </is>
      </c>
      <c r="G807" s="23" t="inlineStr">
        <is>
          <t>IOGURTE</t>
        </is>
      </c>
      <c r="H807" s="26" t="n">
        <v>0.185</v>
      </c>
      <c r="I807" s="36" t="n">
        <v>780</v>
      </c>
      <c r="J807" s="21">
        <f>I807*H807</f>
        <v/>
      </c>
      <c r="K807" s="21">
        <f>IFERROR(IF(J807/P807&gt;1,P807,J807),0)</f>
        <v/>
      </c>
      <c r="L807" s="36" t="n">
        <v>732</v>
      </c>
      <c r="M807" s="21">
        <f>L807*H807</f>
        <v/>
      </c>
      <c r="N807" s="21">
        <f>IFERROR(IF(M807/K807&gt;1,K807,M807),0)</f>
        <v/>
      </c>
      <c r="O807" s="36" t="n">
        <v>560</v>
      </c>
      <c r="P807" s="21">
        <f>O807*H807</f>
        <v/>
      </c>
      <c r="Q807" s="30">
        <f>IF(MONTH(E807+1)=MONTH(E807+6),MONTH(E807+1),IF(MIN(EOMONTH(E807+1,0),E807+6)-(E807+1)+1&gt;=3,MONTH(E807+1),MONTH(E807+6)))</f>
        <v/>
      </c>
      <c r="R807" s="22">
        <f>IFERROR(K807/P807, 0)</f>
        <v/>
      </c>
      <c r="S807" s="38">
        <f>IFERROR(N807/P807,0)</f>
        <v/>
      </c>
      <c r="T807" s="31">
        <f>IFERROR(IF(N807&gt;0,(N807/K807),MIN(1,M807/J807)),0)</f>
        <v/>
      </c>
      <c r="U807" s="33" t="n"/>
    </row>
    <row r="808" hidden="1" s="40">
      <c r="A808" s="18" t="inlineStr">
        <is>
          <t>Semana 1 - Maio</t>
        </is>
      </c>
      <c r="B808" s="27">
        <f>YEAR(E808)</f>
        <v/>
      </c>
      <c r="C808" s="18">
        <f>INDEX({"Janeiro";"Fevereiro";"Março";"Abril";"Maio";"Junho";"Julho";"Agosto";"Setembro";"Outubro";"Novembro";"Dezembro"},Q808)</f>
        <v/>
      </c>
      <c r="D808" s="19" t="n">
        <v>1</v>
      </c>
      <c r="E808" s="20" t="n">
        <v>46146</v>
      </c>
      <c r="F808" s="18" t="inlineStr">
        <is>
          <t>Iogurte Coco 900g</t>
        </is>
      </c>
      <c r="G808" s="18" t="inlineStr">
        <is>
          <t>IOGURTE</t>
        </is>
      </c>
      <c r="H808" s="21" t="n">
        <v>0.9</v>
      </c>
      <c r="I808" s="36" t="n">
        <v>1620</v>
      </c>
      <c r="J808" s="21">
        <f>I808*H808</f>
        <v/>
      </c>
      <c r="K808" s="21">
        <f>IFERROR(IF(J808/P808&gt;1,P808,J808),0)</f>
        <v/>
      </c>
      <c r="L808" s="36" t="n">
        <v>1791</v>
      </c>
      <c r="M808" s="21">
        <f>L808*H808</f>
        <v/>
      </c>
      <c r="N808" s="21">
        <f>IFERROR(IF(M808/K808&gt;1,K808,M808),0)</f>
        <v/>
      </c>
      <c r="O808" s="36" t="n">
        <v>1600</v>
      </c>
      <c r="P808" s="21">
        <f>O808*H808</f>
        <v/>
      </c>
      <c r="Q808" s="30">
        <f>IF(MONTH(E808+1)=MONTH(E808+6),MONTH(E808+1),IF(MIN(EOMONTH(E808+1,0),E808+6)-(E808+1)+1&gt;=3,MONTH(E808+1),MONTH(E808+6)))</f>
        <v/>
      </c>
      <c r="R808" s="22">
        <f>IFERROR(K808/P808, 0)</f>
        <v/>
      </c>
      <c r="S808" s="38">
        <f>IFERROR(N808/P808,0)</f>
        <v/>
      </c>
      <c r="T808" s="31">
        <f>IFERROR(IF(N808&gt;0,(N808/K808),MIN(1,M808/J808)),0)</f>
        <v/>
      </c>
      <c r="U808" s="33" t="n"/>
    </row>
    <row r="809" hidden="1" s="40">
      <c r="A809" s="23" t="inlineStr">
        <is>
          <t>Semana 1 - Maio</t>
        </is>
      </c>
      <c r="B809" s="27">
        <f>YEAR(E809)</f>
        <v/>
      </c>
      <c r="C809" s="18">
        <f>INDEX({"Janeiro";"Fevereiro";"Março";"Abril";"Maio";"Junho";"Julho";"Agosto";"Setembro";"Outubro";"Novembro";"Dezembro"},Q809)</f>
        <v/>
      </c>
      <c r="D809" s="24" t="n">
        <v>1</v>
      </c>
      <c r="E809" s="25" t="n">
        <v>46146</v>
      </c>
      <c r="F809" s="23" t="inlineStr">
        <is>
          <t>Iogurte Grego Frutas vermelhas 120g</t>
        </is>
      </c>
      <c r="G809" s="23" t="inlineStr">
        <is>
          <t>IOGURTE</t>
        </is>
      </c>
      <c r="H809" s="26" t="n">
        <v>0.17</v>
      </c>
      <c r="I809" s="36" t="n">
        <v>0</v>
      </c>
      <c r="J809" s="21">
        <f>I809*H809</f>
        <v/>
      </c>
      <c r="K809" s="21">
        <f>IFERROR(IF(J809/P809&gt;1,P809,J809),0)</f>
        <v/>
      </c>
      <c r="L809" s="36" t="n">
        <v>0</v>
      </c>
      <c r="M809" s="21">
        <f>L809*H809</f>
        <v/>
      </c>
      <c r="N809" s="21">
        <f>IFERROR(IF(M809/K809&gt;1,K809,M809),0)</f>
        <v/>
      </c>
      <c r="O809" s="36" t="n">
        <v>1400</v>
      </c>
      <c r="P809" s="21">
        <f>O809*H809</f>
        <v/>
      </c>
      <c r="Q809" s="30">
        <f>IF(MONTH(E809+1)=MONTH(E809+6),MONTH(E809+1),IF(MIN(EOMONTH(E809+1,0),E809+6)-(E809+1)+1&gt;=3,MONTH(E809+1),MONTH(E809+6)))</f>
        <v/>
      </c>
      <c r="R809" s="22">
        <f>IFERROR(K809/P809, 0)</f>
        <v/>
      </c>
      <c r="S809" s="38">
        <f>IFERROR(N809/P809,0)</f>
        <v/>
      </c>
      <c r="T809" s="31">
        <f>IFERROR(IF(N809&gt;0,(N809/K809),MIN(1,M809/J809)),0)</f>
        <v/>
      </c>
      <c r="U809" s="33" t="n"/>
    </row>
    <row r="810" hidden="1" s="40">
      <c r="A810" s="23" t="inlineStr">
        <is>
          <t>Semana 1 - Maio</t>
        </is>
      </c>
      <c r="B810" s="27">
        <f>YEAR(E810)</f>
        <v/>
      </c>
      <c r="C810" s="18">
        <f>INDEX({"Janeiro";"Fevereiro";"Março";"Abril";"Maio";"Junho";"Julho";"Agosto";"Setembro";"Outubro";"Novembro";"Dezembro"},Q810)</f>
        <v/>
      </c>
      <c r="D810" s="24" t="n">
        <v>1</v>
      </c>
      <c r="E810" s="25" t="n">
        <v>46146</v>
      </c>
      <c r="F810" s="23" t="inlineStr">
        <is>
          <t>Iogurte Morango 120g</t>
        </is>
      </c>
      <c r="G810" s="23" t="inlineStr">
        <is>
          <t>IOGURTE</t>
        </is>
      </c>
      <c r="H810" s="26" t="n">
        <v>0.12</v>
      </c>
      <c r="I810" s="36" t="n">
        <v>43000</v>
      </c>
      <c r="J810" s="21">
        <f>I810*H810</f>
        <v/>
      </c>
      <c r="K810" s="21">
        <f>IFERROR(IF(J810/P810&gt;1,P810,J810),0)</f>
        <v/>
      </c>
      <c r="L810" s="36" t="n">
        <v>42590</v>
      </c>
      <c r="M810" s="21">
        <f>L810*H810</f>
        <v/>
      </c>
      <c r="N810" s="21">
        <f>IFERROR(IF(M810/K810&gt;1,K810,M810),0)</f>
        <v/>
      </c>
      <c r="O810" s="36" t="n">
        <v>28000</v>
      </c>
      <c r="P810" s="21">
        <f>O810*H810</f>
        <v/>
      </c>
      <c r="Q810" s="30">
        <f>IF(MONTH(E810+1)=MONTH(E810+6),MONTH(E810+1),IF(MIN(EOMONTH(E810+1,0),E810+6)-(E810+1)+1&gt;=3,MONTH(E810+1),MONTH(E810+6)))</f>
        <v/>
      </c>
      <c r="R810" s="22">
        <f>IFERROR(K810/P810, 0)</f>
        <v/>
      </c>
      <c r="S810" s="38">
        <f>IFERROR(N810/P810,0)</f>
        <v/>
      </c>
      <c r="T810" s="31">
        <f>IFERROR(IF(N810&gt;0,(N810/K810),MIN(1,M810/J810)),0)</f>
        <v/>
      </c>
      <c r="U810" s="33" t="n"/>
    </row>
    <row r="811" hidden="1" s="40">
      <c r="A811" s="18" t="inlineStr">
        <is>
          <t>Semana 1 - Maio</t>
        </is>
      </c>
      <c r="B811" s="27">
        <f>YEAR(E811)</f>
        <v/>
      </c>
      <c r="C811" s="18">
        <f>INDEX({"Janeiro";"Fevereiro";"Março";"Abril";"Maio";"Junho";"Julho";"Agosto";"Setembro";"Outubro";"Novembro";"Dezembro"},Q811)</f>
        <v/>
      </c>
      <c r="D811" s="19" t="n">
        <v>1</v>
      </c>
      <c r="E811" s="20" t="n">
        <v>46146</v>
      </c>
      <c r="F811" s="18" t="inlineStr">
        <is>
          <t>Iogurte Morango 185g</t>
        </is>
      </c>
      <c r="G811" s="18" t="inlineStr">
        <is>
          <t>IOGURTE</t>
        </is>
      </c>
      <c r="H811" s="21" t="n">
        <v>0.185</v>
      </c>
      <c r="I811" s="36" t="n">
        <v>2340</v>
      </c>
      <c r="J811" s="21">
        <f>I811*H811</f>
        <v/>
      </c>
      <c r="K811" s="21">
        <f>IFERROR(IF(J811/P811&gt;1,P811,J811),0)</f>
        <v/>
      </c>
      <c r="L811" s="36" t="n">
        <v>2316</v>
      </c>
      <c r="M811" s="21">
        <f>L811*H811</f>
        <v/>
      </c>
      <c r="N811" s="21">
        <f>IFERROR(IF(M811/K811&gt;1,K811,M811),0)</f>
        <v/>
      </c>
      <c r="O811" s="36" t="n">
        <v>1560</v>
      </c>
      <c r="P811" s="21">
        <f>O811*H811</f>
        <v/>
      </c>
      <c r="Q811" s="30">
        <f>IF(MONTH(E811+1)=MONTH(E811+6),MONTH(E811+1),IF(MIN(EOMONTH(E811+1,0),E811+6)-(E811+1)+1&gt;=3,MONTH(E811+1),MONTH(E811+6)))</f>
        <v/>
      </c>
      <c r="R811" s="22">
        <f>IFERROR(K811/P811, 0)</f>
        <v/>
      </c>
      <c r="S811" s="38">
        <f>IFERROR(N811/P811,0)</f>
        <v/>
      </c>
      <c r="T811" s="31">
        <f>IFERROR(IF(N811&gt;0,(N811/K811),MIN(1,M811/J811)),0)</f>
        <v/>
      </c>
      <c r="U811" s="33" t="n"/>
    </row>
    <row r="812" hidden="1" s="40">
      <c r="A812" s="23" t="inlineStr">
        <is>
          <t>Semana 1 - Maio</t>
        </is>
      </c>
      <c r="B812" s="27">
        <f>YEAR(E812)</f>
        <v/>
      </c>
      <c r="C812" s="18">
        <f>INDEX({"Janeiro";"Fevereiro";"Março";"Abril";"Maio";"Junho";"Julho";"Agosto";"Setembro";"Outubro";"Novembro";"Dezembro"},Q812)</f>
        <v/>
      </c>
      <c r="D812" s="24" t="n">
        <v>1</v>
      </c>
      <c r="E812" s="25" t="n">
        <v>46146</v>
      </c>
      <c r="F812" s="23" t="inlineStr">
        <is>
          <t>Iogurte Morango 900G</t>
        </is>
      </c>
      <c r="G812" s="23" t="inlineStr">
        <is>
          <t>IOGURTE</t>
        </is>
      </c>
      <c r="H812" s="26" t="n">
        <v>0.9</v>
      </c>
      <c r="I812" s="36" t="n">
        <v>7650</v>
      </c>
      <c r="J812" s="21">
        <f>I812*H812</f>
        <v/>
      </c>
      <c r="K812" s="21">
        <f>IFERROR(IF(J812/P812&gt;1,P812,J812),0)</f>
        <v/>
      </c>
      <c r="L812" s="36" t="n">
        <v>8157</v>
      </c>
      <c r="M812" s="21">
        <f>L812*H812</f>
        <v/>
      </c>
      <c r="N812" s="21">
        <f>IFERROR(IF(M812/K812&gt;1,K812,M812),0)</f>
        <v/>
      </c>
      <c r="O812" s="36" t="n">
        <v>7900</v>
      </c>
      <c r="P812" s="21">
        <f>O812*H812</f>
        <v/>
      </c>
      <c r="Q812" s="30">
        <f>IF(MONTH(E812+1)=MONTH(E812+6),MONTH(E812+1),IF(MIN(EOMONTH(E812+1,0),E812+6)-(E812+1)+1&gt;=3,MONTH(E812+1),MONTH(E812+6)))</f>
        <v/>
      </c>
      <c r="R812" s="22">
        <f>IFERROR(K812/P812, 0)</f>
        <v/>
      </c>
      <c r="S812" s="38">
        <f>IFERROR(N812/P812,0)</f>
        <v/>
      </c>
      <c r="T812" s="31">
        <f>IFERROR(IF(N812&gt;0,(N812/K812),MIN(1,M812/J812)),0)</f>
        <v/>
      </c>
      <c r="U812" s="33" t="n"/>
    </row>
    <row r="813" hidden="1" s="40">
      <c r="A813" s="18" t="inlineStr">
        <is>
          <t>Semana 1 - Maio</t>
        </is>
      </c>
      <c r="B813" s="27">
        <f>YEAR(E813)</f>
        <v/>
      </c>
      <c r="C813" s="18">
        <f>INDEX({"Janeiro";"Fevereiro";"Março";"Abril";"Maio";"Junho";"Julho";"Agosto";"Setembro";"Outubro";"Novembro";"Dezembro"},Q813)</f>
        <v/>
      </c>
      <c r="D813" s="19" t="n">
        <v>1</v>
      </c>
      <c r="E813" s="20" t="n">
        <v>46146</v>
      </c>
      <c r="F813" s="18" t="inlineStr">
        <is>
          <t>Iogurte Natural Integral 170g</t>
        </is>
      </c>
      <c r="G813" s="18" t="inlineStr">
        <is>
          <t>IOGURTE</t>
        </is>
      </c>
      <c r="H813" s="21" t="n">
        <v>0.17</v>
      </c>
      <c r="I813" s="36" t="n">
        <v>3820</v>
      </c>
      <c r="J813" s="21">
        <f>I813*H813</f>
        <v/>
      </c>
      <c r="K813" s="21">
        <f>IFERROR(IF(J813/P813&gt;1,P813,J813),0)</f>
        <v/>
      </c>
      <c r="L813" s="36" t="n">
        <v>3246</v>
      </c>
      <c r="M813" s="21">
        <f>L813*H813</f>
        <v/>
      </c>
      <c r="N813" s="21">
        <f>IFERROR(IF(M813/K813&gt;1,K813,M813),0)</f>
        <v/>
      </c>
      <c r="O813" s="36" t="n">
        <v>3800</v>
      </c>
      <c r="P813" s="21">
        <f>O813*H813</f>
        <v/>
      </c>
      <c r="Q813" s="30">
        <f>IF(MONTH(E813+1)=MONTH(E813+6),MONTH(E813+1),IF(MIN(EOMONTH(E813+1,0),E813+6)-(E813+1)+1&gt;=3,MONTH(E813+1),MONTH(E813+6)))</f>
        <v/>
      </c>
      <c r="R813" s="22">
        <f>IFERROR(K813/P813, 0)</f>
        <v/>
      </c>
      <c r="S813" s="38">
        <f>IFERROR(N813/P813,0)</f>
        <v/>
      </c>
      <c r="T813" s="31">
        <f>IFERROR(IF(N813&gt;0,(N813/K813),MIN(1,M813/J813)),0)</f>
        <v/>
      </c>
      <c r="U813" s="33" t="n"/>
    </row>
    <row r="814" hidden="1" s="40">
      <c r="A814" s="23" t="inlineStr">
        <is>
          <t>Semana 1 - Maio</t>
        </is>
      </c>
      <c r="B814" s="27">
        <f>YEAR(E814)</f>
        <v/>
      </c>
      <c r="C814" s="18">
        <f>INDEX({"Janeiro";"Fevereiro";"Março";"Abril";"Maio";"Junho";"Julho";"Agosto";"Setembro";"Outubro";"Novembro";"Dezembro"},Q814)</f>
        <v/>
      </c>
      <c r="D814" s="24" t="n">
        <v>1</v>
      </c>
      <c r="E814" s="25" t="n">
        <v>46146</v>
      </c>
      <c r="F814" s="23" t="inlineStr">
        <is>
          <t>Iogurte Natural Triplo Zero 170g</t>
        </is>
      </c>
      <c r="G814" s="23" t="inlineStr">
        <is>
          <t>IOGURTE</t>
        </is>
      </c>
      <c r="H814" s="26" t="n">
        <v>0.17</v>
      </c>
      <c r="I814" s="36" t="n">
        <v>3820</v>
      </c>
      <c r="J814" s="21">
        <f>I814*H814</f>
        <v/>
      </c>
      <c r="K814" s="21">
        <f>IFERROR(IF(J814/P814&gt;1,P814,J814),0)</f>
        <v/>
      </c>
      <c r="L814" s="36" t="n">
        <v>3539</v>
      </c>
      <c r="M814" s="21">
        <f>L814*H814</f>
        <v/>
      </c>
      <c r="N814" s="21">
        <f>IFERROR(IF(M814/K814&gt;1,K814,M814),0)</f>
        <v/>
      </c>
      <c r="O814" s="36" t="n">
        <v>3800</v>
      </c>
      <c r="P814" s="21">
        <f>O814*H814</f>
        <v/>
      </c>
      <c r="Q814" s="30">
        <f>IF(MONTH(E814+1)=MONTH(E814+6),MONTH(E814+1),IF(MIN(EOMONTH(E814+1,0),E814+6)-(E814+1)+1&gt;=3,MONTH(E814+1),MONTH(E814+6)))</f>
        <v/>
      </c>
      <c r="R814" s="22">
        <f>IFERROR(K814/P814, 0)</f>
        <v/>
      </c>
      <c r="S814" s="38">
        <f>IFERROR(N814/P814,0)</f>
        <v/>
      </c>
      <c r="T814" s="31">
        <f>IFERROR(IF(N814&gt;0,(N814/K814),MIN(1,M814/J814)),0)</f>
        <v/>
      </c>
      <c r="U814" s="33" t="n"/>
    </row>
    <row r="815" hidden="1" s="40">
      <c r="A815" s="23" t="inlineStr">
        <is>
          <t>Semana 1 - Maio</t>
        </is>
      </c>
      <c r="B815" s="27">
        <f>YEAR(E815)</f>
        <v/>
      </c>
      <c r="C815" s="18">
        <f>INDEX({"Janeiro";"Fevereiro";"Março";"Abril";"Maio";"Junho";"Julho";"Agosto";"Setembro";"Outubro";"Novembro";"Dezembro"},Q815)</f>
        <v/>
      </c>
      <c r="D815" s="24" t="n">
        <v>1</v>
      </c>
      <c r="E815" s="25" t="n">
        <v>46146</v>
      </c>
      <c r="F815" s="23" t="inlineStr">
        <is>
          <t>Iogurte Salada 120g</t>
        </is>
      </c>
      <c r="G815" s="23" t="inlineStr">
        <is>
          <t>IOGURTE</t>
        </is>
      </c>
      <c r="H815" s="26" t="n">
        <v>0.12</v>
      </c>
      <c r="I815" s="36" t="n">
        <v>2000</v>
      </c>
      <c r="J815" s="21">
        <f>I815*H815</f>
        <v/>
      </c>
      <c r="K815" s="21">
        <f>IFERROR(IF(J815/P815&gt;1,P815,J815),0)</f>
        <v/>
      </c>
      <c r="L815" s="36" t="n">
        <v>2175</v>
      </c>
      <c r="M815" s="21">
        <f>L815*H815</f>
        <v/>
      </c>
      <c r="N815" s="21">
        <f>IFERROR(IF(M815/K815&gt;1,K815,M815),0)</f>
        <v/>
      </c>
      <c r="O815" s="36" t="n">
        <v>2000</v>
      </c>
      <c r="P815" s="21">
        <f>O815*H815</f>
        <v/>
      </c>
      <c r="Q815" s="30">
        <f>IF(MONTH(E815+1)=MONTH(E815+6),MONTH(E815+1),IF(MIN(EOMONTH(E815+1,0),E815+6)-(E815+1)+1&gt;=3,MONTH(E815+1),MONTH(E815+6)))</f>
        <v/>
      </c>
      <c r="R815" s="22">
        <f>IFERROR(K815/P815, 0)</f>
        <v/>
      </c>
      <c r="S815" s="38">
        <f>IFERROR(N815/P815,0)</f>
        <v/>
      </c>
      <c r="T815" s="31">
        <f>IFERROR(IF(N815&gt;0,(N815/K815),MIN(1,M815/J815)),0)</f>
        <v/>
      </c>
      <c r="U815" s="33" t="n"/>
    </row>
    <row r="816" hidden="1" s="40">
      <c r="A816" s="18" t="inlineStr">
        <is>
          <t>Semana 1 - Maio</t>
        </is>
      </c>
      <c r="B816" s="27">
        <f>YEAR(E816)</f>
        <v/>
      </c>
      <c r="C816" s="18">
        <f>INDEX({"Janeiro";"Fevereiro";"Março";"Abril";"Maio";"Junho";"Julho";"Agosto";"Setembro";"Outubro";"Novembro";"Dezembro"},Q816)</f>
        <v/>
      </c>
      <c r="D816" s="19" t="n">
        <v>1</v>
      </c>
      <c r="E816" s="20" t="n">
        <v>46146</v>
      </c>
      <c r="F816" s="18" t="inlineStr">
        <is>
          <t>Iogurte Salada 185g</t>
        </is>
      </c>
      <c r="G816" s="18" t="inlineStr">
        <is>
          <t>IOGURTE</t>
        </is>
      </c>
      <c r="H816" s="21" t="n">
        <v>0.185</v>
      </c>
      <c r="I816" s="36" t="n">
        <v>260</v>
      </c>
      <c r="J816" s="21">
        <f>I816*H816</f>
        <v/>
      </c>
      <c r="K816" s="21">
        <f>IFERROR(IF(J816/P816&gt;1,P816,J816),0)</f>
        <v/>
      </c>
      <c r="L816" s="36" t="n">
        <v>239</v>
      </c>
      <c r="M816" s="21">
        <f>L816*H816</f>
        <v/>
      </c>
      <c r="N816" s="21">
        <f>IFERROR(IF(M816/K816&gt;1,K816,M816),0)</f>
        <v/>
      </c>
      <c r="O816" s="36" t="n">
        <v>560</v>
      </c>
      <c r="P816" s="21">
        <f>O816*H816</f>
        <v/>
      </c>
      <c r="Q816" s="30">
        <f>IF(MONTH(E816+1)=MONTH(E816+6),MONTH(E816+1),IF(MIN(EOMONTH(E816+1,0),E816+6)-(E816+1)+1&gt;=3,MONTH(E816+1),MONTH(E816+6)))</f>
        <v/>
      </c>
      <c r="R816" s="22">
        <f>IFERROR(K816/P816, 0)</f>
        <v/>
      </c>
      <c r="S816" s="38">
        <f>IFERROR(N816/P816,0)</f>
        <v/>
      </c>
      <c r="T816" s="31">
        <f>IFERROR(IF(N816&gt;0,(N816/K816),MIN(1,M816/J816)),0)</f>
        <v/>
      </c>
      <c r="U816" s="33" t="n"/>
    </row>
    <row r="817" hidden="1" s="40">
      <c r="A817" s="23" t="inlineStr">
        <is>
          <t>Semana 1 - Maio</t>
        </is>
      </c>
      <c r="B817" s="27">
        <f>YEAR(E817)</f>
        <v/>
      </c>
      <c r="C817" s="18">
        <f>INDEX({"Janeiro";"Fevereiro";"Março";"Abril";"Maio";"Junho";"Julho";"Agosto";"Setembro";"Outubro";"Novembro";"Dezembro"},Q817)</f>
        <v/>
      </c>
      <c r="D817" s="24" t="n">
        <v>1</v>
      </c>
      <c r="E817" s="25" t="n">
        <v>46146</v>
      </c>
      <c r="F817" s="23" t="inlineStr">
        <is>
          <t>Iogurte Salada 900g</t>
        </is>
      </c>
      <c r="G817" s="23" t="inlineStr">
        <is>
          <t>IOGURTE</t>
        </is>
      </c>
      <c r="H817" s="26" t="n">
        <v>0.9</v>
      </c>
      <c r="I817" s="36" t="n">
        <v>1260</v>
      </c>
      <c r="J817" s="21">
        <f>I817*H817</f>
        <v/>
      </c>
      <c r="K817" s="21">
        <f>IFERROR(IF(J817/P817&gt;1,P817,J817),0)</f>
        <v/>
      </c>
      <c r="L817" s="36" t="n">
        <v>1212</v>
      </c>
      <c r="M817" s="21">
        <f>L817*H817</f>
        <v/>
      </c>
      <c r="N817" s="21">
        <f>IFERROR(IF(M817/K817&gt;1,K817,M817),0)</f>
        <v/>
      </c>
      <c r="O817" s="36" t="n">
        <v>1700</v>
      </c>
      <c r="P817" s="21">
        <f>O817*H817</f>
        <v/>
      </c>
      <c r="Q817" s="30">
        <f>IF(MONTH(E817+1)=MONTH(E817+6),MONTH(E817+1),IF(MIN(EOMONTH(E817+1,0),E817+6)-(E817+1)+1&gt;=3,MONTH(E817+1),MONTH(E817+6)))</f>
        <v/>
      </c>
      <c r="R817" s="22">
        <f>IFERROR(K817/P817, 0)</f>
        <v/>
      </c>
      <c r="S817" s="38">
        <f>IFERROR(N817/P817,0)</f>
        <v/>
      </c>
      <c r="T817" s="31">
        <f>IFERROR(IF(N817&gt;0,(N817/K817),MIN(1,M817/J817)),0)</f>
        <v/>
      </c>
      <c r="U817" s="33" t="n"/>
    </row>
    <row r="818" hidden="1" s="40">
      <c r="A818" s="18" t="inlineStr">
        <is>
          <t>Semana 1 - Maio</t>
        </is>
      </c>
      <c r="B818" s="27">
        <f>YEAR(E818)</f>
        <v/>
      </c>
      <c r="C818" s="18">
        <f>INDEX({"Janeiro";"Fevereiro";"Março";"Abril";"Maio";"Junho";"Julho";"Agosto";"Setembro";"Outubro";"Novembro";"Dezembro"},Q818)</f>
        <v/>
      </c>
      <c r="D818" s="19" t="n">
        <v>1</v>
      </c>
      <c r="E818" s="20" t="n">
        <v>46146</v>
      </c>
      <c r="F818" s="18" t="inlineStr">
        <is>
          <t>Iogurte Vida Leve Ameixa c/ Grãos 180g</t>
        </is>
      </c>
      <c r="G818" s="18" t="inlineStr">
        <is>
          <t>IOGURTE</t>
        </is>
      </c>
      <c r="H818" s="21" t="n">
        <v>0.18</v>
      </c>
      <c r="I818" s="36" t="n">
        <v>0</v>
      </c>
      <c r="J818" s="21">
        <f>I818*H818</f>
        <v/>
      </c>
      <c r="K818" s="21">
        <f>IFERROR(IF(J818/P818&gt;1,P818,J818),0)</f>
        <v/>
      </c>
      <c r="L818" s="36" t="n">
        <v>0</v>
      </c>
      <c r="M818" s="21">
        <f>L818*H818</f>
        <v/>
      </c>
      <c r="N818" s="21">
        <f>IFERROR(IF(M818/K818&gt;1,K818,M818),0)</f>
        <v/>
      </c>
      <c r="O818" s="36" t="n">
        <v>800</v>
      </c>
      <c r="P818" s="21">
        <f>O818*H818</f>
        <v/>
      </c>
      <c r="Q818" s="30">
        <f>IF(MONTH(E818+1)=MONTH(E818+6),MONTH(E818+1),IF(MIN(EOMONTH(E818+1,0),E818+6)-(E818+1)+1&gt;=3,MONTH(E818+1),MONTH(E818+6)))</f>
        <v/>
      </c>
      <c r="R818" s="22">
        <f>IFERROR(K818/P818, 0)</f>
        <v/>
      </c>
      <c r="S818" s="38">
        <f>IFERROR(N818/P818,0)</f>
        <v/>
      </c>
      <c r="T818" s="31">
        <f>IFERROR(IF(N818&gt;0,(N818/K818),MIN(1,M818/J818)),0)</f>
        <v/>
      </c>
      <c r="U818" s="33" t="n"/>
    </row>
    <row r="819" hidden="1" s="40">
      <c r="A819" s="23" t="inlineStr">
        <is>
          <t>Semana 1 - Maio</t>
        </is>
      </c>
      <c r="B819" s="27">
        <f>YEAR(E819)</f>
        <v/>
      </c>
      <c r="C819" s="18">
        <f>INDEX({"Janeiro";"Fevereiro";"Março";"Abril";"Maio";"Junho";"Julho";"Agosto";"Setembro";"Outubro";"Novembro";"Dezembro"},Q819)</f>
        <v/>
      </c>
      <c r="D819" s="24" t="n">
        <v>1</v>
      </c>
      <c r="E819" s="25" t="n">
        <v>46146</v>
      </c>
      <c r="F819" s="23" t="inlineStr">
        <is>
          <t>Iogurte Vida Leve Ameixa c/ Grãos 500g</t>
        </is>
      </c>
      <c r="G819" s="23" t="inlineStr">
        <is>
          <t>IOGURTE</t>
        </is>
      </c>
      <c r="H819" s="26" t="n">
        <v>0.5</v>
      </c>
      <c r="I819" s="36" t="n">
        <v>0</v>
      </c>
      <c r="J819" s="21">
        <f>I819*H819</f>
        <v/>
      </c>
      <c r="K819" s="21">
        <f>IFERROR(IF(J819/P819&gt;1,P819,J819),0)</f>
        <v/>
      </c>
      <c r="L819" s="36" t="n">
        <v>0</v>
      </c>
      <c r="M819" s="21">
        <f>L819*H819</f>
        <v/>
      </c>
      <c r="N819" s="21">
        <f>IFERROR(IF(M819/K819&gt;1,K819,M819),0)</f>
        <v/>
      </c>
      <c r="O819" s="36" t="n">
        <v>900</v>
      </c>
      <c r="P819" s="21">
        <f>O819*H819</f>
        <v/>
      </c>
      <c r="Q819" s="30">
        <f>IF(MONTH(E819+1)=MONTH(E819+6),MONTH(E819+1),IF(MIN(EOMONTH(E819+1,0),E819+6)-(E819+1)+1&gt;=3,MONTH(E819+1),MONTH(E819+6)))</f>
        <v/>
      </c>
      <c r="R819" s="22">
        <f>IFERROR(K819/P819, 0)</f>
        <v/>
      </c>
      <c r="S819" s="38">
        <f>IFERROR(N819/P819,0)</f>
        <v/>
      </c>
      <c r="T819" s="31">
        <f>IFERROR(IF(N819&gt;0,(N819/K819),MIN(1,M819/J819)),0)</f>
        <v/>
      </c>
      <c r="U819" s="33" t="n"/>
    </row>
    <row r="820" hidden="1" s="40">
      <c r="A820" s="18" t="inlineStr">
        <is>
          <t>Semana 1 - Maio</t>
        </is>
      </c>
      <c r="B820" s="27">
        <f>YEAR(E820)</f>
        <v/>
      </c>
      <c r="C820" s="18">
        <f>INDEX({"Janeiro";"Fevereiro";"Março";"Abril";"Maio";"Junho";"Julho";"Agosto";"Setembro";"Outubro";"Novembro";"Dezembro"},Q820)</f>
        <v/>
      </c>
      <c r="D820" s="19" t="n">
        <v>1</v>
      </c>
      <c r="E820" s="20" t="n">
        <v>46146</v>
      </c>
      <c r="F820" s="18" t="inlineStr">
        <is>
          <t>Iogurte Vida Leve Morango 180g</t>
        </is>
      </c>
      <c r="G820" s="18" t="inlineStr">
        <is>
          <t>IOGURTE</t>
        </is>
      </c>
      <c r="H820" s="21" t="n">
        <v>0.185</v>
      </c>
      <c r="I820" s="36" t="n">
        <v>0</v>
      </c>
      <c r="J820" s="21">
        <f>I820*H820</f>
        <v/>
      </c>
      <c r="K820" s="21">
        <f>IFERROR(IF(J820/P820&gt;1,P820,J820),0)</f>
        <v/>
      </c>
      <c r="L820" s="36" t="n">
        <v>0</v>
      </c>
      <c r="M820" s="21">
        <f>L820*H820</f>
        <v/>
      </c>
      <c r="N820" s="21">
        <f>IFERROR(IF(M820/K820&gt;1,K820,M820),0)</f>
        <v/>
      </c>
      <c r="O820" s="36" t="n">
        <v>0</v>
      </c>
      <c r="P820" s="21">
        <f>O820*H820</f>
        <v/>
      </c>
      <c r="Q820" s="30">
        <f>IF(MONTH(E820+1)=MONTH(E820+6),MONTH(E820+1),IF(MIN(EOMONTH(E820+1,0),E820+6)-(E820+1)+1&gt;=3,MONTH(E820+1),MONTH(E820+6)))</f>
        <v/>
      </c>
      <c r="R820" s="22">
        <f>IFERROR(K820/P820, 0)</f>
        <v/>
      </c>
      <c r="S820" s="38">
        <f>IFERROR(N820/P820,0)</f>
        <v/>
      </c>
      <c r="T820" s="31">
        <f>IFERROR(IF(N820&gt;0,(N820/K820),MIN(1,M820/J820)),0)</f>
        <v/>
      </c>
      <c r="U820" s="33" t="n"/>
    </row>
    <row r="821" hidden="1" s="40">
      <c r="A821" s="23" t="inlineStr">
        <is>
          <t>Semana 1 - Maio</t>
        </is>
      </c>
      <c r="B821" s="27">
        <f>YEAR(E821)</f>
        <v/>
      </c>
      <c r="C821" s="18">
        <f>INDEX({"Janeiro";"Fevereiro";"Março";"Abril";"Maio";"Junho";"Julho";"Agosto";"Setembro";"Outubro";"Novembro";"Dezembro"},Q821)</f>
        <v/>
      </c>
      <c r="D821" s="24" t="n">
        <v>1</v>
      </c>
      <c r="E821" s="25" t="n">
        <v>46146</v>
      </c>
      <c r="F821" s="23" t="inlineStr">
        <is>
          <t>Iogurte Vida Leve Morango 500g</t>
        </is>
      </c>
      <c r="G821" s="23" t="inlineStr">
        <is>
          <t>IOGURTE</t>
        </is>
      </c>
      <c r="H821" s="26" t="n">
        <v>0.5</v>
      </c>
      <c r="I821" s="36" t="n">
        <v>0</v>
      </c>
      <c r="J821" s="21">
        <f>I821*H821</f>
        <v/>
      </c>
      <c r="K821" s="21">
        <f>IFERROR(IF(J821/P821&gt;1,P821,J821),0)</f>
        <v/>
      </c>
      <c r="L821" s="36" t="n">
        <v>0</v>
      </c>
      <c r="M821" s="21">
        <f>L821*H821</f>
        <v/>
      </c>
      <c r="N821" s="21">
        <f>IFERROR(IF(M821/K821&gt;1,K821,M821),0)</f>
        <v/>
      </c>
      <c r="O821" s="36" t="n">
        <v>0</v>
      </c>
      <c r="P821" s="21">
        <f>O821*H821</f>
        <v/>
      </c>
      <c r="Q821" s="30">
        <f>IF(MONTH(E821+1)=MONTH(E821+6),MONTH(E821+1),IF(MIN(EOMONTH(E821+1,0),E821+6)-(E821+1)+1&gt;=3,MONTH(E821+1),MONTH(E821+6)))</f>
        <v/>
      </c>
      <c r="R821" s="22">
        <f>IFERROR(K821/P821, 0)</f>
        <v/>
      </c>
      <c r="S821" s="38">
        <f>IFERROR(N821/P821,0)</f>
        <v/>
      </c>
      <c r="T821" s="31">
        <f>IFERROR(IF(N821&gt;0,(N821/K821),MIN(1,M821/J821)),0)</f>
        <v/>
      </c>
      <c r="U821" s="33" t="n"/>
    </row>
    <row r="822" hidden="1" s="40">
      <c r="A822" s="18" t="inlineStr">
        <is>
          <t>Semana 1 - Maio</t>
        </is>
      </c>
      <c r="B822" s="27">
        <f>YEAR(E822)</f>
        <v/>
      </c>
      <c r="C822" s="18">
        <f>INDEX({"Janeiro";"Fevereiro";"Março";"Abril";"Maio";"Junho";"Julho";"Agosto";"Setembro";"Outubro";"Novembro";"Dezembro"},Q822)</f>
        <v/>
      </c>
      <c r="D822" s="19" t="n">
        <v>1</v>
      </c>
      <c r="E822" s="20" t="n">
        <v>46146</v>
      </c>
      <c r="F822" s="18" t="inlineStr">
        <is>
          <t>LEITE PASTEURIZADO VIÇOSA DESNATADO</t>
        </is>
      </c>
      <c r="G822" s="18" t="inlineStr">
        <is>
          <t>LEITE PAST.</t>
        </is>
      </c>
      <c r="H822" s="21" t="n">
        <v>1</v>
      </c>
      <c r="I822" s="36" t="n">
        <v>900</v>
      </c>
      <c r="J822" s="21">
        <f>I822*H822</f>
        <v/>
      </c>
      <c r="K822" s="21">
        <f>IFERROR(IF(J822/P822&gt;1,P822,J822),0)</f>
        <v/>
      </c>
      <c r="L822" s="36" t="n">
        <v>974</v>
      </c>
      <c r="M822" s="21">
        <f>L822*H822</f>
        <v/>
      </c>
      <c r="N822" s="21">
        <f>IFERROR(IF(M822/K822&gt;1,K822,M822),0)</f>
        <v/>
      </c>
      <c r="O822" s="36" t="n">
        <v>900</v>
      </c>
      <c r="P822" s="21">
        <f>O822*H822</f>
        <v/>
      </c>
      <c r="Q822" s="30">
        <f>IF(MONTH(E822+1)=MONTH(E822+6),MONTH(E822+1),IF(MIN(EOMONTH(E822+1,0),E822+6)-(E822+1)+1&gt;=3,MONTH(E822+1),MONTH(E822+6)))</f>
        <v/>
      </c>
      <c r="R822" s="22">
        <f>IFERROR(K822/P822, 0)</f>
        <v/>
      </c>
      <c r="S822" s="38">
        <f>IFERROR(N822/P822,0)</f>
        <v/>
      </c>
      <c r="T822" s="31">
        <f>IFERROR(IF(N822&gt;0,(N822/K822),MIN(1,M822/J822)),0)</f>
        <v/>
      </c>
      <c r="U822" s="33" t="n"/>
    </row>
    <row r="823" hidden="1" s="40">
      <c r="A823" s="23" t="inlineStr">
        <is>
          <t>Semana 1 - Maio</t>
        </is>
      </c>
      <c r="B823" s="27">
        <f>YEAR(E823)</f>
        <v/>
      </c>
      <c r="C823" s="18">
        <f>INDEX({"Janeiro";"Fevereiro";"Março";"Abril";"Maio";"Junho";"Julho";"Agosto";"Setembro";"Outubro";"Novembro";"Dezembro"},Q823)</f>
        <v/>
      </c>
      <c r="D823" s="24" t="n">
        <v>1</v>
      </c>
      <c r="E823" s="25" t="n">
        <v>46146</v>
      </c>
      <c r="F823" s="23" t="inlineStr">
        <is>
          <t>LEITE PASTEURIZADO VIÇOSA INTEGRAL</t>
        </is>
      </c>
      <c r="G823" s="23" t="inlineStr">
        <is>
          <t>LEITE PAST.</t>
        </is>
      </c>
      <c r="H823" s="26" t="n">
        <v>1</v>
      </c>
      <c r="I823" s="36" t="n">
        <v>21450</v>
      </c>
      <c r="J823" s="21">
        <f>I823*H823</f>
        <v/>
      </c>
      <c r="K823" s="21">
        <f>IFERROR(IF(J823/P823&gt;1,P823,J823),0)</f>
        <v/>
      </c>
      <c r="L823" s="36" t="n">
        <v>21666</v>
      </c>
      <c r="M823" s="21">
        <f>L823*H823</f>
        <v/>
      </c>
      <c r="N823" s="21">
        <f>IFERROR(IF(M823/K823&gt;1,K823,M823),0)</f>
        <v/>
      </c>
      <c r="O823" s="36" t="n">
        <v>21450</v>
      </c>
      <c r="P823" s="21">
        <f>O823*H823</f>
        <v/>
      </c>
      <c r="Q823" s="30">
        <f>IF(MONTH(E823+1)=MONTH(E823+6),MONTH(E823+1),IF(MIN(EOMONTH(E823+1,0),E823+6)-(E823+1)+1&gt;=3,MONTH(E823+1),MONTH(E823+6)))</f>
        <v/>
      </c>
      <c r="R823" s="22">
        <f>IFERROR(K823/P823, 0)</f>
        <v/>
      </c>
      <c r="S823" s="38">
        <f>IFERROR(N823/P823,0)</f>
        <v/>
      </c>
      <c r="T823" s="31">
        <f>IFERROR(IF(N823&gt;0,(N823/K823),MIN(1,M823/J823)),0)</f>
        <v/>
      </c>
      <c r="U823" s="33" t="n"/>
    </row>
    <row r="824" hidden="1" s="40">
      <c r="A824" s="18" t="inlineStr">
        <is>
          <t>Semana 1 - Maio</t>
        </is>
      </c>
      <c r="B824" s="27">
        <f>YEAR(E824)</f>
        <v/>
      </c>
      <c r="C824" s="18">
        <f>INDEX({"Janeiro";"Fevereiro";"Março";"Abril";"Maio";"Junho";"Julho";"Agosto";"Setembro";"Outubro";"Novembro";"Dezembro"},Q824)</f>
        <v/>
      </c>
      <c r="D824" s="19" t="n">
        <v>1</v>
      </c>
      <c r="E824" s="20" t="n">
        <v>46146</v>
      </c>
      <c r="F824" s="18" t="inlineStr">
        <is>
          <t>LEITE PASTEURIZADO VIÇOSA ZERO LACTOSE INTEGRAL 1 L</t>
        </is>
      </c>
      <c r="G824" s="18" t="inlineStr">
        <is>
          <t>LEITE PAST.</t>
        </is>
      </c>
      <c r="H824" s="21" t="n">
        <v>1</v>
      </c>
      <c r="I824" s="36" t="n">
        <v>1050</v>
      </c>
      <c r="J824" s="21">
        <f>I824*H824</f>
        <v/>
      </c>
      <c r="K824" s="21">
        <f>IFERROR(IF(J824/P824&gt;1,P824,J824),0)</f>
        <v/>
      </c>
      <c r="L824" s="36" t="n">
        <v>1089</v>
      </c>
      <c r="M824" s="21">
        <f>L824*H824</f>
        <v/>
      </c>
      <c r="N824" s="21">
        <f>IFERROR(IF(M824/K824&gt;1,K824,M824),0)</f>
        <v/>
      </c>
      <c r="O824" s="36" t="n">
        <v>1050</v>
      </c>
      <c r="P824" s="21">
        <f>O824*H824</f>
        <v/>
      </c>
      <c r="Q824" s="30">
        <f>IF(MONTH(E824+1)=MONTH(E824+6),MONTH(E824+1),IF(MIN(EOMONTH(E824+1,0),E824+6)-(E824+1)+1&gt;=3,MONTH(E824+1),MONTH(E824+6)))</f>
        <v/>
      </c>
      <c r="R824" s="22">
        <f>IFERROR(K824/P824, 0)</f>
        <v/>
      </c>
      <c r="S824" s="38">
        <f>IFERROR(N824/P824,0)</f>
        <v/>
      </c>
      <c r="T824" s="31">
        <f>IFERROR(IF(N824&gt;0,(N824/K824),MIN(1,M824/J824)),0)</f>
        <v/>
      </c>
      <c r="U824" s="33" t="n"/>
    </row>
    <row r="825" hidden="1" s="40">
      <c r="A825" s="23" t="inlineStr">
        <is>
          <t>Semana 1 - Maio</t>
        </is>
      </c>
      <c r="B825" s="27">
        <f>YEAR(E825)</f>
        <v/>
      </c>
      <c r="C825" s="18">
        <f>INDEX({"Janeiro";"Fevereiro";"Março";"Abril";"Maio";"Junho";"Julho";"Agosto";"Setembro";"Outubro";"Novembro";"Dezembro"},Q825)</f>
        <v/>
      </c>
      <c r="D825" s="24" t="n">
        <v>1</v>
      </c>
      <c r="E825" s="25" t="n">
        <v>46146</v>
      </c>
      <c r="F825" s="23" t="inlineStr">
        <is>
          <t>Manteiga 200g</t>
        </is>
      </c>
      <c r="G825" s="23" t="inlineStr">
        <is>
          <t>MANTEIGA</t>
        </is>
      </c>
      <c r="H825" s="26" t="n">
        <v>0.2</v>
      </c>
      <c r="I825" s="36" t="n">
        <v>2500</v>
      </c>
      <c r="J825" s="21">
        <f>I825*H825</f>
        <v/>
      </c>
      <c r="K825" s="21">
        <f>IFERROR(IF(J825/P825&gt;1,P825,J825),0)</f>
        <v/>
      </c>
      <c r="L825" s="36" t="n">
        <v>2027</v>
      </c>
      <c r="M825" s="21">
        <f>L825*H825</f>
        <v/>
      </c>
      <c r="N825" s="21">
        <f>IFERROR(IF(M825/K825&gt;1,K825,M825),0)</f>
        <v/>
      </c>
      <c r="O825" s="36" t="n">
        <v>1250</v>
      </c>
      <c r="P825" s="21">
        <f>O825*H825</f>
        <v/>
      </c>
      <c r="Q825" s="30">
        <f>IF(MONTH(E825+1)=MONTH(E825+6),MONTH(E825+1),IF(MIN(EOMONTH(E825+1,0),E825+6)-(E825+1)+1&gt;=3,MONTH(E825+1),MONTH(E825+6)))</f>
        <v/>
      </c>
      <c r="R825" s="22">
        <f>IFERROR(K825/P825, 0)</f>
        <v/>
      </c>
      <c r="S825" s="38">
        <f>IFERROR(N825/P825,0)</f>
        <v/>
      </c>
      <c r="T825" s="31">
        <f>IFERROR(IF(N825&gt;0,(N825/K825),MIN(1,M825/J825)),0)</f>
        <v/>
      </c>
      <c r="U825" s="33" t="n"/>
    </row>
    <row r="826" hidden="1" s="40">
      <c r="A826" s="18" t="inlineStr">
        <is>
          <t>Semana 1 - Maio</t>
        </is>
      </c>
      <c r="B826" s="27">
        <f>YEAR(E826)</f>
        <v/>
      </c>
      <c r="C826" s="18">
        <f>INDEX({"Janeiro";"Fevereiro";"Março";"Abril";"Maio";"Junho";"Julho";"Agosto";"Setembro";"Outubro";"Novembro";"Dezembro"},Q826)</f>
        <v/>
      </c>
      <c r="D826" s="19" t="n">
        <v>1</v>
      </c>
      <c r="E826" s="20" t="n">
        <v>46146</v>
      </c>
      <c r="F826" s="18" t="inlineStr">
        <is>
          <t>Manteiga 500g</t>
        </is>
      </c>
      <c r="G826" s="18" t="inlineStr">
        <is>
          <t>MANTEIGA</t>
        </is>
      </c>
      <c r="H826" s="21" t="n">
        <v>0.5</v>
      </c>
      <c r="I826" s="36" t="n">
        <v>1100</v>
      </c>
      <c r="J826" s="21">
        <f>I826*H826</f>
        <v/>
      </c>
      <c r="K826" s="21">
        <f>IFERROR(IF(J826/P826&gt;1,P826,J826),0)</f>
        <v/>
      </c>
      <c r="L826" s="36" t="n">
        <v>1193</v>
      </c>
      <c r="M826" s="21">
        <f>L826*H826</f>
        <v/>
      </c>
      <c r="N826" s="21">
        <f>IFERROR(IF(M826/K826&gt;1,K826,M826),0)</f>
        <v/>
      </c>
      <c r="O826" s="36" t="n">
        <v>0</v>
      </c>
      <c r="P826" s="21">
        <f>O826*H826</f>
        <v/>
      </c>
      <c r="Q826" s="30">
        <f>IF(MONTH(E826+1)=MONTH(E826+6),MONTH(E826+1),IF(MIN(EOMONTH(E826+1,0),E826+6)-(E826+1)+1&gt;=3,MONTH(E826+1),MONTH(E826+6)))</f>
        <v/>
      </c>
      <c r="R826" s="22">
        <f>IFERROR(K826/P826, 0)</f>
        <v/>
      </c>
      <c r="S826" s="38">
        <f>IFERROR(N826/P826,0)</f>
        <v/>
      </c>
      <c r="T826" s="31">
        <f>IFERROR(IF(N826&gt;0,(N826/K826),MIN(1,M826/J826)),0)</f>
        <v/>
      </c>
      <c r="U826" s="33" t="n"/>
    </row>
    <row r="827" hidden="1" s="40">
      <c r="A827" s="23" t="inlineStr">
        <is>
          <t>Semana 1 - Maio</t>
        </is>
      </c>
      <c r="B827" s="27">
        <f>YEAR(E827)</f>
        <v/>
      </c>
      <c r="C827" s="18">
        <f>INDEX({"Janeiro";"Fevereiro";"Março";"Abril";"Maio";"Junho";"Julho";"Agosto";"Setembro";"Outubro";"Novembro";"Dezembro"},Q827)</f>
        <v/>
      </c>
      <c r="D827" s="24" t="n">
        <v>1</v>
      </c>
      <c r="E827" s="25" t="n">
        <v>46146</v>
      </c>
      <c r="F827" s="23" t="inlineStr">
        <is>
          <t>QUEIJO MINAS MEIA CURA (FRACIONADO)</t>
        </is>
      </c>
      <c r="G827" s="23" t="inlineStr">
        <is>
          <t>QUEIJO</t>
        </is>
      </c>
      <c r="H827" s="26" t="n">
        <v>1</v>
      </c>
      <c r="I827" s="36" t="n">
        <v>0</v>
      </c>
      <c r="J827" s="21">
        <f>I827*H827</f>
        <v/>
      </c>
      <c r="K827" s="21">
        <f>IFERROR(IF(J827/P827&gt;1,P827,J827),0)</f>
        <v/>
      </c>
      <c r="L827" s="36" t="n">
        <v>0</v>
      </c>
      <c r="M827" s="21">
        <f>L827*H827</f>
        <v/>
      </c>
      <c r="N827" s="21">
        <f>IFERROR(IF(M827/K827&gt;1,K827,M827),0)</f>
        <v/>
      </c>
      <c r="O827" s="36" t="n">
        <v>0</v>
      </c>
      <c r="P827" s="21">
        <f>O827*H827</f>
        <v/>
      </c>
      <c r="Q827" s="30">
        <f>IF(MONTH(E827+1)=MONTH(E827+6),MONTH(E827+1),IF(MIN(EOMONTH(E827+1,0),E827+6)-(E827+1)+1&gt;=3,MONTH(E827+1),MONTH(E827+6)))</f>
        <v/>
      </c>
      <c r="R827" s="22">
        <f>IFERROR(K827/P827, 0)</f>
        <v/>
      </c>
      <c r="S827" s="38">
        <f>IFERROR(N827/P827,0)</f>
        <v/>
      </c>
      <c r="T827" s="31">
        <f>IFERROR(IF(N827&gt;0,(N827/K827),MIN(1,M827/J827)),0)</f>
        <v/>
      </c>
      <c r="U827" s="33" t="n"/>
    </row>
    <row r="828" hidden="1" s="40">
      <c r="A828" s="18" t="inlineStr">
        <is>
          <t>Semana 1 - Maio</t>
        </is>
      </c>
      <c r="B828" s="27">
        <f>YEAR(E828)</f>
        <v/>
      </c>
      <c r="C828" s="18">
        <f>INDEX({"Janeiro";"Fevereiro";"Março";"Abril";"Maio";"Junho";"Julho";"Agosto";"Setembro";"Outubro";"Novembro";"Dezembro"},Q828)</f>
        <v/>
      </c>
      <c r="D828" s="19" t="n">
        <v>1</v>
      </c>
      <c r="E828" s="20" t="n">
        <v>46146</v>
      </c>
      <c r="F828" s="18" t="inlineStr">
        <is>
          <t>QUEIJO MINAS MEIA CURA (INTEIRO)</t>
        </is>
      </c>
      <c r="G828" s="18" t="inlineStr">
        <is>
          <t>QUEIJO</t>
        </is>
      </c>
      <c r="H828" s="21" t="n">
        <v>1</v>
      </c>
      <c r="I828" s="36" t="n">
        <v>200</v>
      </c>
      <c r="J828" s="21">
        <f>I828*H828</f>
        <v/>
      </c>
      <c r="K828" s="21">
        <f>IFERROR(IF(J828/P828&gt;1,P828,J828),0)</f>
        <v/>
      </c>
      <c r="L828" s="36" t="n">
        <v>200</v>
      </c>
      <c r="M828" s="21">
        <f>L828*H828</f>
        <v/>
      </c>
      <c r="N828" s="21">
        <f>IFERROR(IF(M828/K828&gt;1,K828,M828),0)</f>
        <v/>
      </c>
      <c r="O828" s="36" t="n">
        <v>200</v>
      </c>
      <c r="P828" s="21">
        <f>O828*H828</f>
        <v/>
      </c>
      <c r="Q828" s="30">
        <f>IF(MONTH(E828+1)=MONTH(E828+6),MONTH(E828+1),IF(MIN(EOMONTH(E828+1,0),E828+6)-(E828+1)+1&gt;=3,MONTH(E828+1),MONTH(E828+6)))</f>
        <v/>
      </c>
      <c r="R828" s="22">
        <f>IFERROR(K828/P828, 0)</f>
        <v/>
      </c>
      <c r="S828" s="38">
        <f>IFERROR(N828/P828,0)</f>
        <v/>
      </c>
      <c r="T828" s="31">
        <f>IFERROR(IF(N828&gt;0,(N828/K828),MIN(1,M828/J828)),0)</f>
        <v/>
      </c>
      <c r="U828" s="33" t="n"/>
    </row>
    <row r="829" hidden="1" s="40">
      <c r="A829" s="23" t="inlineStr">
        <is>
          <t>Semana 1 - Maio</t>
        </is>
      </c>
      <c r="B829" s="27">
        <f>YEAR(E829)</f>
        <v/>
      </c>
      <c r="C829" s="18">
        <f>INDEX({"Janeiro";"Fevereiro";"Março";"Abril";"Maio";"Junho";"Julho";"Agosto";"Setembro";"Outubro";"Novembro";"Dezembro"},Q829)</f>
        <v/>
      </c>
      <c r="D829" s="24" t="n">
        <v>1</v>
      </c>
      <c r="E829" s="25" t="n">
        <v>46146</v>
      </c>
      <c r="F829" s="23" t="inlineStr">
        <is>
          <t xml:space="preserve">QUEIJO MINAS PADRÃO VIÇOSA FRACIONADO </t>
        </is>
      </c>
      <c r="G829" s="23" t="inlineStr">
        <is>
          <t>QUEIJO</t>
        </is>
      </c>
      <c r="H829" s="26" t="n">
        <v>1</v>
      </c>
      <c r="I829" s="36" t="n">
        <v>200</v>
      </c>
      <c r="J829" s="21">
        <f>I829*H829</f>
        <v/>
      </c>
      <c r="K829" s="21">
        <f>IFERROR(IF(J829/P829&gt;1,P829,J829),0)</f>
        <v/>
      </c>
      <c r="L829" s="36" t="n">
        <v>200</v>
      </c>
      <c r="M829" s="21">
        <f>L829*H829</f>
        <v/>
      </c>
      <c r="N829" s="21">
        <f>IFERROR(IF(M829/K829&gt;1,K829,M829),0)</f>
        <v/>
      </c>
      <c r="O829" s="36" t="n">
        <v>200</v>
      </c>
      <c r="P829" s="21">
        <f>O829*H829</f>
        <v/>
      </c>
      <c r="Q829" s="30">
        <f>IF(MONTH(E829+1)=MONTH(E829+6),MONTH(E829+1),IF(MIN(EOMONTH(E829+1,0),E829+6)-(E829+1)+1&gt;=3,MONTH(E829+1),MONTH(E829+6)))</f>
        <v/>
      </c>
      <c r="R829" s="22">
        <f>IFERROR(K829/P829, 0)</f>
        <v/>
      </c>
      <c r="S829" s="38">
        <f>IFERROR(N829/P829,0)</f>
        <v/>
      </c>
      <c r="T829" s="31">
        <f>IFERROR(IF(N829&gt;0,(N829/K829),MIN(1,M829/J829)),0)</f>
        <v/>
      </c>
      <c r="U829" s="33" t="n"/>
    </row>
    <row r="830" hidden="1" s="40">
      <c r="A830" s="18" t="inlineStr">
        <is>
          <t>Semana 1 - Maio</t>
        </is>
      </c>
      <c r="B830" s="27">
        <f>YEAR(E830)</f>
        <v/>
      </c>
      <c r="C830" s="18">
        <f>INDEX({"Janeiro";"Fevereiro";"Março";"Abril";"Maio";"Junho";"Julho";"Agosto";"Setembro";"Outubro";"Novembro";"Dezembro"},Q830)</f>
        <v/>
      </c>
      <c r="D830" s="19" t="n">
        <v>1</v>
      </c>
      <c r="E830" s="20" t="n">
        <v>46146</v>
      </c>
      <c r="F830" s="18" t="inlineStr">
        <is>
          <t>QUEIJO MUSSARELA 3KG</t>
        </is>
      </c>
      <c r="G830" s="18" t="inlineStr">
        <is>
          <t>QUEIJO</t>
        </is>
      </c>
      <c r="H830" s="21" t="n">
        <v>1</v>
      </c>
      <c r="I830" s="36" t="n">
        <v>800</v>
      </c>
      <c r="J830" s="21">
        <f>I830*H830</f>
        <v/>
      </c>
      <c r="K830" s="21">
        <f>IFERROR(IF(J830/P830&gt;1,P830,J830),0)</f>
        <v/>
      </c>
      <c r="L830" s="36" t="n">
        <v>800</v>
      </c>
      <c r="M830" s="21">
        <f>L830*H830</f>
        <v/>
      </c>
      <c r="N830" s="21">
        <f>IFERROR(IF(M830/K830&gt;1,K830,M830),0)</f>
        <v/>
      </c>
      <c r="O830" s="36" t="n">
        <v>800</v>
      </c>
      <c r="P830" s="21">
        <f>O830*H830</f>
        <v/>
      </c>
      <c r="Q830" s="30">
        <f>IF(MONTH(E830+1)=MONTH(E830+6),MONTH(E830+1),IF(MIN(EOMONTH(E830+1,0),E830+6)-(E830+1)+1&gt;=3,MONTH(E830+1),MONTH(E830+6)))</f>
        <v/>
      </c>
      <c r="R830" s="22">
        <f>IFERROR(K830/P830, 0)</f>
        <v/>
      </c>
      <c r="S830" s="38">
        <f>IFERROR(N830/P830,0)</f>
        <v/>
      </c>
      <c r="T830" s="31">
        <f>IFERROR(IF(N830&gt;0,(N830/K830),MIN(1,M830/J830)),0)</f>
        <v/>
      </c>
      <c r="U830" s="33" t="n"/>
    </row>
    <row r="831" hidden="1" s="40">
      <c r="A831" s="23" t="inlineStr">
        <is>
          <t>Semana 1 - Maio</t>
        </is>
      </c>
      <c r="B831" s="27">
        <f>YEAR(E831)</f>
        <v/>
      </c>
      <c r="C831" s="18">
        <f>INDEX({"Janeiro";"Fevereiro";"Março";"Abril";"Maio";"Junho";"Julho";"Agosto";"Setembro";"Outubro";"Novembro";"Dezembro"},Q831)</f>
        <v/>
      </c>
      <c r="D831" s="24" t="n">
        <v>1</v>
      </c>
      <c r="E831" s="25" t="n">
        <v>46146</v>
      </c>
      <c r="F831" s="23" t="inlineStr">
        <is>
          <t>QUEIJO MUSSARELA LANCHE</t>
        </is>
      </c>
      <c r="G831" s="23" t="inlineStr">
        <is>
          <t>QUEIJO</t>
        </is>
      </c>
      <c r="H831" s="26" t="n">
        <v>1</v>
      </c>
      <c r="I831" s="36" t="n">
        <v>200</v>
      </c>
      <c r="J831" s="21">
        <f>I831*H831</f>
        <v/>
      </c>
      <c r="K831" s="21">
        <f>IFERROR(IF(J831/P831&gt;1,P831,J831),0)</f>
        <v/>
      </c>
      <c r="L831" s="36" t="n">
        <v>200</v>
      </c>
      <c r="M831" s="21">
        <f>L831*H831</f>
        <v/>
      </c>
      <c r="N831" s="21">
        <f>IFERROR(IF(M831/K831&gt;1,K831,M831),0)</f>
        <v/>
      </c>
      <c r="O831" s="36" t="n">
        <v>200</v>
      </c>
      <c r="P831" s="21">
        <f>O831*H831</f>
        <v/>
      </c>
      <c r="Q831" s="30">
        <f>IF(MONTH(E831+1)=MONTH(E831+6),MONTH(E831+1),IF(MIN(EOMONTH(E831+1,0),E831+6)-(E831+1)+1&gt;=3,MONTH(E831+1),MONTH(E831+6)))</f>
        <v/>
      </c>
      <c r="R831" s="22">
        <f>IFERROR(K831/P831, 0)</f>
        <v/>
      </c>
      <c r="S831" s="38">
        <f>IFERROR(N831/P831,0)</f>
        <v/>
      </c>
      <c r="T831" s="31">
        <f>IFERROR(IF(N831&gt;0,(N831/K831),MIN(1,M831/J831)),0)</f>
        <v/>
      </c>
      <c r="U831" s="33" t="n"/>
    </row>
    <row r="832" hidden="1" s="40">
      <c r="A832" s="18" t="inlineStr">
        <is>
          <t>Semana 1 - Maio</t>
        </is>
      </c>
      <c r="B832" s="27">
        <f>YEAR(E832)</f>
        <v/>
      </c>
      <c r="C832" s="18">
        <f>INDEX({"Janeiro";"Fevereiro";"Março";"Abril";"Maio";"Junho";"Julho";"Agosto";"Setembro";"Outubro";"Novembro";"Dezembro"},Q832)</f>
        <v/>
      </c>
      <c r="D832" s="19" t="n">
        <v>1</v>
      </c>
      <c r="E832" s="20" t="n">
        <v>46146</v>
      </c>
      <c r="F832" s="18" t="inlineStr">
        <is>
          <t>REQUEIJÃO VIÇOSA 200g</t>
        </is>
      </c>
      <c r="G832" s="18" t="inlineStr">
        <is>
          <t>REQUEIJÃO</t>
        </is>
      </c>
      <c r="H832" s="21" t="n">
        <v>0.2</v>
      </c>
      <c r="I832" s="36" t="n">
        <v>3200</v>
      </c>
      <c r="J832" s="21">
        <f>I832*H832</f>
        <v/>
      </c>
      <c r="K832" s="21">
        <f>IFERROR(IF(J832/P832&gt;1,P832,J832),0)</f>
        <v/>
      </c>
      <c r="L832" s="36" t="n">
        <v>3190</v>
      </c>
      <c r="M832" s="21">
        <f>L832*H832</f>
        <v/>
      </c>
      <c r="N832" s="21">
        <f>IFERROR(IF(M832/K832&gt;1,K832,M832),0)</f>
        <v/>
      </c>
      <c r="O832" s="36" t="n">
        <v>2800</v>
      </c>
      <c r="P832" s="21">
        <f>O832*H832</f>
        <v/>
      </c>
      <c r="Q832" s="30">
        <f>IF(MONTH(E832+1)=MONTH(E832+6),MONTH(E832+1),IF(MIN(EOMONTH(E832+1,0),E832+6)-(E832+1)+1&gt;=3,MONTH(E832+1),MONTH(E832+6)))</f>
        <v/>
      </c>
      <c r="R832" s="22">
        <f>IFERROR(K832/P832, 0)</f>
        <v/>
      </c>
      <c r="S832" s="38">
        <f>IFERROR(N832/P832,0)</f>
        <v/>
      </c>
      <c r="T832" s="31">
        <f>IFERROR(IF(N832&gt;0,(N832/K832),MIN(1,M832/J832)),0)</f>
        <v/>
      </c>
      <c r="U832" s="33" t="n"/>
    </row>
    <row r="833" hidden="1" s="40">
      <c r="A833" s="23" t="inlineStr">
        <is>
          <t>Semana 1 - Maio</t>
        </is>
      </c>
      <c r="B833" s="27">
        <f>YEAR(E833)</f>
        <v/>
      </c>
      <c r="C833" s="18">
        <f>INDEX({"Janeiro";"Fevereiro";"Março";"Abril";"Maio";"Junho";"Julho";"Agosto";"Setembro";"Outubro";"Novembro";"Dezembro"},Q833)</f>
        <v/>
      </c>
      <c r="D833" s="24" t="n">
        <v>1</v>
      </c>
      <c r="E833" s="25" t="n">
        <v>46146</v>
      </c>
      <c r="F833" s="23" t="inlineStr">
        <is>
          <t>REQUEIJÃO VIÇOSA 400g</t>
        </is>
      </c>
      <c r="G833" s="23" t="inlineStr">
        <is>
          <t>REQUEIJÃO</t>
        </is>
      </c>
      <c r="H833" s="26" t="n">
        <v>0.4</v>
      </c>
      <c r="I833" s="36" t="n">
        <v>3910</v>
      </c>
      <c r="J833" s="21">
        <f>I833*H833</f>
        <v/>
      </c>
      <c r="K833" s="21">
        <f>IFERROR(IF(J833/P833&gt;1,P833,J833),0)</f>
        <v/>
      </c>
      <c r="L833" s="36" t="n">
        <v>5886</v>
      </c>
      <c r="M833" s="21">
        <f>L833*H833</f>
        <v/>
      </c>
      <c r="N833" s="21">
        <f>IFERROR(IF(M833/K833&gt;1,K833,M833),0)</f>
        <v/>
      </c>
      <c r="O833" s="36" t="n">
        <v>1200</v>
      </c>
      <c r="P833" s="21">
        <f>O833*H833</f>
        <v/>
      </c>
      <c r="Q833" s="30">
        <f>IF(MONTH(E833+1)=MONTH(E833+6),MONTH(E833+1),IF(MIN(EOMONTH(E833+1,0),E833+6)-(E833+1)+1&gt;=3,MONTH(E833+1),MONTH(E833+6)))</f>
        <v/>
      </c>
      <c r="R833" s="22">
        <f>IFERROR(K833/P833, 0)</f>
        <v/>
      </c>
      <c r="S833" s="38">
        <f>IFERROR(N833/P833,0)</f>
        <v/>
      </c>
      <c r="T833" s="31">
        <f>IFERROR(IF(N833&gt;0,(N833/K833),MIN(1,M833/J833)),0)</f>
        <v/>
      </c>
      <c r="U833" s="33" t="n"/>
    </row>
    <row r="834" hidden="1" s="40">
      <c r="A834" s="18" t="inlineStr">
        <is>
          <t>Semana 1 - Maio</t>
        </is>
      </c>
      <c r="B834" s="27">
        <f>YEAR(E834)</f>
        <v/>
      </c>
      <c r="C834" s="18">
        <f>INDEX({"Janeiro";"Fevereiro";"Março";"Abril";"Maio";"Junho";"Julho";"Agosto";"Setembro";"Outubro";"Novembro";"Dezembro"},Q834)</f>
        <v/>
      </c>
      <c r="D834" s="19" t="n">
        <v>1</v>
      </c>
      <c r="E834" s="20" t="n">
        <v>46146</v>
      </c>
      <c r="F834" s="18" t="inlineStr">
        <is>
          <t>Requeijão Light 200g</t>
        </is>
      </c>
      <c r="G834" s="18" t="inlineStr">
        <is>
          <t>REQUEIJÃO</t>
        </is>
      </c>
      <c r="H834" s="21" t="n">
        <v>0.2</v>
      </c>
      <c r="I834" s="36" t="n">
        <v>1200</v>
      </c>
      <c r="J834" s="21">
        <f>I834*H834</f>
        <v/>
      </c>
      <c r="K834" s="21">
        <f>IFERROR(IF(J834/P834&gt;1,P834,J834),0)</f>
        <v/>
      </c>
      <c r="L834" s="36" t="n">
        <v>1328</v>
      </c>
      <c r="M834" s="21">
        <f>L834*H834</f>
        <v/>
      </c>
      <c r="N834" s="21">
        <f>IFERROR(IF(M834/K834&gt;1,K834,M834),0)</f>
        <v/>
      </c>
      <c r="O834" s="36" t="n">
        <v>600</v>
      </c>
      <c r="P834" s="21">
        <f>O834*H834</f>
        <v/>
      </c>
      <c r="Q834" s="30">
        <f>IF(MONTH(E834+1)=MONTH(E834+6),MONTH(E834+1),IF(MIN(EOMONTH(E834+1,0),E834+6)-(E834+1)+1&gt;=3,MONTH(E834+1),MONTH(E834+6)))</f>
        <v/>
      </c>
      <c r="R834" s="22">
        <f>IFERROR(K834/P834, 0)</f>
        <v/>
      </c>
      <c r="S834" s="38">
        <f>IFERROR(N834/P834,0)</f>
        <v/>
      </c>
      <c r="T834" s="31">
        <f>IFERROR(IF(N834&gt;0,(N834/K834),MIN(1,M834/J834)),0)</f>
        <v/>
      </c>
      <c r="U834" s="33" t="n"/>
    </row>
    <row r="835" hidden="1" s="40">
      <c r="A835" s="23" t="inlineStr">
        <is>
          <t>Semana 1 - Maio</t>
        </is>
      </c>
      <c r="B835" s="27">
        <f>YEAR(E835)</f>
        <v/>
      </c>
      <c r="C835" s="18">
        <f>INDEX({"Janeiro";"Fevereiro";"Março";"Abril";"Maio";"Junho";"Julho";"Agosto";"Setembro";"Outubro";"Novembro";"Dezembro"},Q835)</f>
        <v/>
      </c>
      <c r="D835" s="24" t="n">
        <v>1</v>
      </c>
      <c r="E835" s="25" t="n">
        <v>46146</v>
      </c>
      <c r="F835" s="23" t="inlineStr">
        <is>
          <t>Creme de Ricota 200g</t>
        </is>
      </c>
      <c r="G835" s="23" t="inlineStr">
        <is>
          <t>RICOTA</t>
        </is>
      </c>
      <c r="H835" s="26" t="n">
        <v>0.2</v>
      </c>
      <c r="I835" s="36" t="n">
        <v>1000</v>
      </c>
      <c r="J835" s="21">
        <f>I835*H835</f>
        <v/>
      </c>
      <c r="K835" s="21">
        <f>IFERROR(IF(J835/P835&gt;1,P835,J835),0)</f>
        <v/>
      </c>
      <c r="L835" s="36" t="n">
        <v>610</v>
      </c>
      <c r="M835" s="21">
        <f>L835*H835</f>
        <v/>
      </c>
      <c r="N835" s="21">
        <f>IFERROR(IF(M835/K835&gt;1,K835,M835),0)</f>
        <v/>
      </c>
      <c r="O835" s="36" t="n">
        <v>600</v>
      </c>
      <c r="P835" s="21">
        <f>O835*H835</f>
        <v/>
      </c>
      <c r="Q835" s="30">
        <f>IF(MONTH(E835+1)=MONTH(E835+6),MONTH(E835+1),IF(MIN(EOMONTH(E835+1,0),E835+6)-(E835+1)+1&gt;=3,MONTH(E835+1),MONTH(E835+6)))</f>
        <v/>
      </c>
      <c r="R835" s="22">
        <f>IFERROR(K835/P835, 0)</f>
        <v/>
      </c>
      <c r="S835" s="38">
        <f>IFERROR(N835/P835,0)</f>
        <v/>
      </c>
      <c r="T835" s="31">
        <f>IFERROR(IF(N835&gt;0,(N835/K835),MIN(1,M835/J835)),0)</f>
        <v/>
      </c>
      <c r="U835" s="33" t="n"/>
    </row>
    <row r="836" hidden="1" s="40">
      <c r="A836" s="18" t="inlineStr">
        <is>
          <t>Semana 2 - Maio</t>
        </is>
      </c>
      <c r="B836" s="27">
        <f>YEAR(E836)</f>
        <v/>
      </c>
      <c r="C836" s="18">
        <f>INDEX({"Janeiro";"Fevereiro";"Março";"Abril";"Maio";"Junho";"Julho";"Agosto";"Setembro";"Outubro";"Novembro";"Dezembro"},Q836)</f>
        <v/>
      </c>
      <c r="D836" s="19" t="n">
        <v>2</v>
      </c>
      <c r="E836" s="20" t="n">
        <v>46153</v>
      </c>
      <c r="F836" s="18" t="inlineStr">
        <is>
          <t>Doce de Leite 400g</t>
        </is>
      </c>
      <c r="G836" s="18" t="inlineStr">
        <is>
          <t>DOCE</t>
        </is>
      </c>
      <c r="H836" s="21" t="n">
        <v>0.4</v>
      </c>
      <c r="I836" s="36" t="n">
        <v>18000</v>
      </c>
      <c r="J836" s="21">
        <f>I836*H836</f>
        <v/>
      </c>
      <c r="K836" s="21">
        <f>IFERROR(IF(J836/P836&gt;1,P836,J836),0)</f>
        <v/>
      </c>
      <c r="L836" s="36" t="n">
        <v>18985</v>
      </c>
      <c r="M836" s="21">
        <f>L836*H836</f>
        <v/>
      </c>
      <c r="N836" s="21">
        <f>IFERROR(IF(M836/K836&gt;1,K836,M836),0)</f>
        <v/>
      </c>
      <c r="O836" s="36" t="n">
        <v>24000</v>
      </c>
      <c r="P836" s="21">
        <f>O836*H836</f>
        <v/>
      </c>
      <c r="Q836" s="30">
        <f>IF(MONTH(E836+1)=MONTH(E836+6),MONTH(E836+1),IF(MIN(EOMONTH(E836+1,0),E836+6)-(E836+1)+1&gt;=3,MONTH(E836+1),MONTH(E836+6)))</f>
        <v/>
      </c>
      <c r="R836" s="22">
        <f>IFERROR(K836/P836, 0)</f>
        <v/>
      </c>
      <c r="S836" s="38">
        <f>IFERROR(N836/P836,0)</f>
        <v/>
      </c>
      <c r="T836" s="31">
        <f>IFERROR(IF(N836&gt;0,(N836/K836),MIN(1,M836/J836)),0)</f>
        <v/>
      </c>
      <c r="U836" s="33" t="inlineStr">
        <is>
          <t>Foi demandado 32000 unidades de zero, mas só foi atendido 4000 pelo mesmo motivo da semana anterior, falta de insumo que o comercial já estava ciente. As 4000 unidades foram produzidas com restante de estoque.</t>
        </is>
      </c>
    </row>
    <row r="837" hidden="1" s="40">
      <c r="A837" s="23" t="inlineStr">
        <is>
          <t>Semana 2 - Maio</t>
        </is>
      </c>
      <c r="B837" s="27">
        <f>YEAR(E837)</f>
        <v/>
      </c>
      <c r="C837" s="18">
        <f>INDEX({"Janeiro";"Fevereiro";"Março";"Abril";"Maio";"Junho";"Julho";"Agosto";"Setembro";"Outubro";"Novembro";"Dezembro"},Q837)</f>
        <v/>
      </c>
      <c r="D837" s="24" t="n">
        <v>2</v>
      </c>
      <c r="E837" s="25" t="n">
        <v>46153</v>
      </c>
      <c r="F837" s="23" t="inlineStr">
        <is>
          <t>Doce de Leite 5kg</t>
        </is>
      </c>
      <c r="G837" s="23" t="inlineStr">
        <is>
          <t>DOCE</t>
        </is>
      </c>
      <c r="H837" s="26" t="n">
        <v>5</v>
      </c>
      <c r="I837" s="36" t="n">
        <v>2325</v>
      </c>
      <c r="J837" s="21">
        <f>I837*H837</f>
        <v/>
      </c>
      <c r="K837" s="21">
        <f>IFERROR(IF(J837/P837&gt;1,P837,J837),0)</f>
        <v/>
      </c>
      <c r="L837" s="36" t="n">
        <v>2254</v>
      </c>
      <c r="M837" s="21">
        <f>L837*H837</f>
        <v/>
      </c>
      <c r="N837" s="21">
        <f>IFERROR(IF(M837/K837&gt;1,K837,M837),0)</f>
        <v/>
      </c>
      <c r="O837" s="36" t="n">
        <v>3255</v>
      </c>
      <c r="P837" s="21">
        <f>O837*H837</f>
        <v/>
      </c>
      <c r="Q837" s="30">
        <f>IF(MONTH(E837+1)=MONTH(E837+6),MONTH(E837+1),IF(MIN(EOMONTH(E837+1,0),E837+6)-(E837+1)+1&gt;=3,MONTH(E837+1),MONTH(E837+6)))</f>
        <v/>
      </c>
      <c r="R837" s="22">
        <f>IFERROR(K837/P837, 0)</f>
        <v/>
      </c>
      <c r="S837" s="38">
        <f>IFERROR(N837/P837,0)</f>
        <v/>
      </c>
      <c r="T837" s="31">
        <f>IFERROR(IF(N837&gt;0,(N837/K837),MIN(1,M837/J837)),0)</f>
        <v/>
      </c>
      <c r="U837" s="33" t="inlineStr">
        <is>
          <t>Houve problema na máquina de envase de bag durante a produção do primeiro lote na segunda-feira. Isso prejudicou a produção dos outros dias e gerou muito reprocesso, aumentando a produção de bag cacau nos outros dias, mesmo sem demanda.</t>
        </is>
      </c>
    </row>
    <row r="838" hidden="1" s="40">
      <c r="A838" s="18" t="inlineStr">
        <is>
          <t>Semana 2 - Maio</t>
        </is>
      </c>
      <c r="B838" s="27">
        <f>YEAR(E838)</f>
        <v/>
      </c>
      <c r="C838" s="18">
        <f>INDEX({"Janeiro";"Fevereiro";"Março";"Abril";"Maio";"Junho";"Julho";"Agosto";"Setembro";"Outubro";"Novembro";"Dezembro"},Q838)</f>
        <v/>
      </c>
      <c r="D838" s="19" t="n">
        <v>2</v>
      </c>
      <c r="E838" s="20" t="n">
        <v>46153</v>
      </c>
      <c r="F838" s="18" t="inlineStr">
        <is>
          <t>Doce de Leite 5kg - Bombeável</t>
        </is>
      </c>
      <c r="G838" s="18" t="inlineStr">
        <is>
          <t>DOCE</t>
        </is>
      </c>
      <c r="H838" s="21" t="n">
        <v>5</v>
      </c>
      <c r="I838" s="36" t="n">
        <v>0</v>
      </c>
      <c r="J838" s="21">
        <f>I838*H838</f>
        <v/>
      </c>
      <c r="K838" s="21">
        <f>IFERROR(IF(J838/P838&gt;1,P838,J838),0)</f>
        <v/>
      </c>
      <c r="L838" s="36" t="n">
        <v>0</v>
      </c>
      <c r="M838" s="21">
        <f>L838*H838</f>
        <v/>
      </c>
      <c r="N838" s="21">
        <f>IFERROR(IF(M838/K838&gt;1,K838,M838),0)</f>
        <v/>
      </c>
      <c r="O838" s="36" t="n">
        <v>0</v>
      </c>
      <c r="P838" s="21">
        <f>O838*H838</f>
        <v/>
      </c>
      <c r="Q838" s="30">
        <f>IF(MONTH(E838+1)=MONTH(E838+6),MONTH(E838+1),IF(MIN(EOMONTH(E838+1,0),E838+6)-(E838+1)+1&gt;=3,MONTH(E838+1),MONTH(E838+6)))</f>
        <v/>
      </c>
      <c r="R838" s="22">
        <f>IFERROR(K838/P838, 0)</f>
        <v/>
      </c>
      <c r="S838" s="38">
        <f>IFERROR(N838/P838,0)</f>
        <v/>
      </c>
      <c r="T838" s="31">
        <f>IFERROR(IF(N838&gt;0,(N838/K838),MIN(1,M838/J838)),0)</f>
        <v/>
      </c>
      <c r="U838" s="33" t="inlineStr">
        <is>
          <t>Doce forneável foi programado 320 unidades, mas não foi contemplado por falta de pectina. Foi utilizado somente a pectina que havia em estoque e era proveniente de amostra grátis. Com essa quantidade só foi possível produzir 193 unidades.</t>
        </is>
      </c>
    </row>
    <row r="839" hidden="1" s="40">
      <c r="A839" s="23" t="inlineStr">
        <is>
          <t>Semana 2 - Maio</t>
        </is>
      </c>
      <c r="B839" s="27">
        <f>YEAR(E839)</f>
        <v/>
      </c>
      <c r="C839" s="18">
        <f>INDEX({"Janeiro";"Fevereiro";"Março";"Abril";"Maio";"Junho";"Julho";"Agosto";"Setembro";"Outubro";"Novembro";"Dezembro"},Q839)</f>
        <v/>
      </c>
      <c r="D839" s="24" t="n">
        <v>2</v>
      </c>
      <c r="E839" s="25" t="n">
        <v>46153</v>
      </c>
      <c r="F839" s="23" t="inlineStr">
        <is>
          <t>Doce de Leite 5kg - Forneável</t>
        </is>
      </c>
      <c r="G839" s="23" t="inlineStr">
        <is>
          <t>DOCE</t>
        </is>
      </c>
      <c r="H839" s="26" t="n">
        <v>5</v>
      </c>
      <c r="I839" s="36" t="n">
        <v>320</v>
      </c>
      <c r="J839" s="21">
        <f>I839*H839</f>
        <v/>
      </c>
      <c r="K839" s="21">
        <f>IFERROR(IF(J839/P839&gt;1,P839,J839),0)</f>
        <v/>
      </c>
      <c r="L839" s="36" t="n">
        <v>193</v>
      </c>
      <c r="M839" s="21">
        <f>L839*H839</f>
        <v/>
      </c>
      <c r="N839" s="21">
        <f>IFERROR(IF(M839/K839&gt;1,K839,M839),0)</f>
        <v/>
      </c>
      <c r="O839" s="36" t="n">
        <v>0</v>
      </c>
      <c r="P839" s="21">
        <f>O839*H839</f>
        <v/>
      </c>
      <c r="Q839" s="30">
        <f>IF(MONTH(E839+1)=MONTH(E839+6),MONTH(E839+1),IF(MIN(EOMONTH(E839+1,0),E839+6)-(E839+1)+1&gt;=3,MONTH(E839+1),MONTH(E839+6)))</f>
        <v/>
      </c>
      <c r="R839" s="22">
        <f>IFERROR(K839/P839, 0)</f>
        <v/>
      </c>
      <c r="S839" s="38">
        <f>IFERROR(N839/P839,0)</f>
        <v/>
      </c>
      <c r="T839" s="31">
        <f>IFERROR(IF(N839&gt;0,(N839/K839),MIN(1,M839/J839)),0)</f>
        <v/>
      </c>
      <c r="U839" s="33" t="inlineStr">
        <is>
          <t>Foi produzido uma quantidade acima de manteiga para aproveitar um creme que estava ficando velho</t>
        </is>
      </c>
    </row>
    <row r="840" hidden="1" s="40">
      <c r="A840" s="18" t="inlineStr">
        <is>
          <t>Semana 2 - Maio</t>
        </is>
      </c>
      <c r="B840" s="27">
        <f>YEAR(E840)</f>
        <v/>
      </c>
      <c r="C840" s="18">
        <f>INDEX({"Janeiro";"Fevereiro";"Março";"Abril";"Maio";"Junho";"Julho";"Agosto";"Setembro";"Outubro";"Novembro";"Dezembro"},Q840)</f>
        <v/>
      </c>
      <c r="D840" s="19" t="n">
        <v>2</v>
      </c>
      <c r="E840" s="20" t="n">
        <v>46153</v>
      </c>
      <c r="F840" s="18" t="inlineStr">
        <is>
          <t>Doce de Leite 800g</t>
        </is>
      </c>
      <c r="G840" s="18" t="inlineStr">
        <is>
          <t>DOCE</t>
        </is>
      </c>
      <c r="H840" s="21" t="n">
        <v>0.8</v>
      </c>
      <c r="I840" s="36" t="n">
        <v>6000</v>
      </c>
      <c r="J840" s="21">
        <f>I840*H840</f>
        <v/>
      </c>
      <c r="K840" s="21">
        <f>IFERROR(IF(J840/P840&gt;1,P840,J840),0)</f>
        <v/>
      </c>
      <c r="L840" s="36" t="n">
        <v>3383</v>
      </c>
      <c r="M840" s="21">
        <f>L840*H840</f>
        <v/>
      </c>
      <c r="N840" s="21">
        <f>IFERROR(IF(M840/K840&gt;1,K840,M840),0)</f>
        <v/>
      </c>
      <c r="O840" s="36" t="n">
        <v>0</v>
      </c>
      <c r="P840" s="21">
        <f>O840*H840</f>
        <v/>
      </c>
      <c r="Q840" s="30">
        <f>IF(MONTH(E840+1)=MONTH(E840+6),MONTH(E840+1),IF(MIN(EOMONTH(E840+1,0),E840+6)-(E840+1)+1&gt;=3,MONTH(E840+1),MONTH(E840+6)))</f>
        <v/>
      </c>
      <c r="R840" s="22">
        <f>IFERROR(K840/P840, 0)</f>
        <v/>
      </c>
      <c r="S840" s="38">
        <f>IFERROR(N840/P840,0)</f>
        <v/>
      </c>
      <c r="T840" s="31">
        <f>IFERROR(IF(N840&gt;0,(N840/K840),MIN(1,M840/J840)),0)</f>
        <v/>
      </c>
      <c r="U840" s="33" t="n"/>
    </row>
    <row r="841" hidden="1" s="40">
      <c r="A841" s="23" t="inlineStr">
        <is>
          <t>Semana 2 - Maio</t>
        </is>
      </c>
      <c r="B841" s="27">
        <f>YEAR(E841)</f>
        <v/>
      </c>
      <c r="C841" s="18">
        <f>INDEX({"Janeiro";"Fevereiro";"Março";"Abril";"Maio";"Junho";"Julho";"Agosto";"Setembro";"Outubro";"Novembro";"Dezembro"},Q841)</f>
        <v/>
      </c>
      <c r="D841" s="24" t="n">
        <v>2</v>
      </c>
      <c r="E841" s="25" t="n">
        <v>46153</v>
      </c>
      <c r="F841" s="23" t="inlineStr">
        <is>
          <t>Doce de Leite Cacau 400g</t>
        </is>
      </c>
      <c r="G841" s="23" t="inlineStr">
        <is>
          <t>DOCE</t>
        </is>
      </c>
      <c r="H841" s="26" t="n">
        <v>0.4</v>
      </c>
      <c r="I841" s="36" t="n">
        <v>0</v>
      </c>
      <c r="J841" s="21">
        <f>I841*H841</f>
        <v/>
      </c>
      <c r="K841" s="21">
        <f>IFERROR(IF(J841/P841&gt;1,P841,J841),0)</f>
        <v/>
      </c>
      <c r="L841" s="36" t="n">
        <v>0</v>
      </c>
      <c r="M841" s="21">
        <f>L841*H841</f>
        <v/>
      </c>
      <c r="N841" s="21">
        <f>IFERROR(IF(M841/K841&gt;1,K841,M841),0)</f>
        <v/>
      </c>
      <c r="O841" s="36" t="n">
        <v>0</v>
      </c>
      <c r="P841" s="21">
        <f>O841*H841</f>
        <v/>
      </c>
      <c r="Q841" s="30">
        <f>IF(MONTH(E841+1)=MONTH(E841+6),MONTH(E841+1),IF(MIN(EOMONTH(E841+1,0),E841+6)-(E841+1)+1&gt;=3,MONTH(E841+1),MONTH(E841+6)))</f>
        <v/>
      </c>
      <c r="R841" s="22">
        <f>IFERROR(K841/P841, 0)</f>
        <v/>
      </c>
      <c r="S841" s="38">
        <f>IFERROR(N841/P841,0)</f>
        <v/>
      </c>
      <c r="T841" s="31">
        <f>IFERROR(IF(N841&gt;0,(N841/K841),MIN(1,M841/J841)),0)</f>
        <v/>
      </c>
      <c r="U841" s="33" t="n"/>
    </row>
    <row r="842" hidden="1" s="40">
      <c r="A842" s="18" t="inlineStr">
        <is>
          <t>Semana 2 - Maio</t>
        </is>
      </c>
      <c r="B842" s="27">
        <f>YEAR(E842)</f>
        <v/>
      </c>
      <c r="C842" s="18">
        <f>INDEX({"Janeiro";"Fevereiro";"Março";"Abril";"Maio";"Junho";"Julho";"Agosto";"Setembro";"Outubro";"Novembro";"Dezembro"},Q842)</f>
        <v/>
      </c>
      <c r="D842" s="19" t="n">
        <v>2</v>
      </c>
      <c r="E842" s="20" t="n">
        <v>46153</v>
      </c>
      <c r="F842" s="18" t="inlineStr">
        <is>
          <t>Doce de Leite Cacau 5kg - Bombeável</t>
        </is>
      </c>
      <c r="G842" s="18" t="inlineStr">
        <is>
          <t>DOCE</t>
        </is>
      </c>
      <c r="H842" s="21" t="n">
        <v>5</v>
      </c>
      <c r="I842" s="36" t="n">
        <v>0</v>
      </c>
      <c r="J842" s="21">
        <f>I842*H842</f>
        <v/>
      </c>
      <c r="K842" s="21">
        <f>IFERROR(IF(J842/P842&gt;1,P842,J842),0)</f>
        <v/>
      </c>
      <c r="L842" s="36" t="n">
        <v>0</v>
      </c>
      <c r="M842" s="21">
        <f>L842*H842</f>
        <v/>
      </c>
      <c r="N842" s="21">
        <f>IFERROR(IF(M842/K842&gt;1,K842,M842),0)</f>
        <v/>
      </c>
      <c r="O842" s="36" t="n">
        <v>0</v>
      </c>
      <c r="P842" s="21">
        <f>O842*H842</f>
        <v/>
      </c>
      <c r="Q842" s="30">
        <f>IF(MONTH(E842+1)=MONTH(E842+6),MONTH(E842+1),IF(MIN(EOMONTH(E842+1,0),E842+6)-(E842+1)+1&gt;=3,MONTH(E842+1),MONTH(E842+6)))</f>
        <v/>
      </c>
      <c r="R842" s="22">
        <f>IFERROR(K842/P842, 0)</f>
        <v/>
      </c>
      <c r="S842" s="38">
        <f>IFERROR(N842/P842,0)</f>
        <v/>
      </c>
      <c r="T842" s="31">
        <f>IFERROR(IF(N842&gt;0,(N842/K842),MIN(1,M842/J842)),0)</f>
        <v/>
      </c>
      <c r="U842" s="33" t="n"/>
    </row>
    <row r="843" hidden="1" s="40">
      <c r="A843" s="23" t="inlineStr">
        <is>
          <t>Semana 2 - Maio</t>
        </is>
      </c>
      <c r="B843" s="27">
        <f>YEAR(E843)</f>
        <v/>
      </c>
      <c r="C843" s="18">
        <f>INDEX({"Janeiro";"Fevereiro";"Março";"Abril";"Maio";"Junho";"Julho";"Agosto";"Setembro";"Outubro";"Novembro";"Dezembro"},Q843)</f>
        <v/>
      </c>
      <c r="D843" s="24" t="n">
        <v>2</v>
      </c>
      <c r="E843" s="25" t="n">
        <v>46153</v>
      </c>
      <c r="F843" s="23" t="inlineStr">
        <is>
          <t>Doce de Leite Cacau 5kg - FOOD</t>
        </is>
      </c>
      <c r="G843" s="23" t="inlineStr">
        <is>
          <t>DOCE</t>
        </is>
      </c>
      <c r="H843" s="26" t="n">
        <v>5</v>
      </c>
      <c r="I843" s="36" t="n">
        <v>1860</v>
      </c>
      <c r="J843" s="21">
        <f>I843*H843</f>
        <v/>
      </c>
      <c r="K843" s="21">
        <f>IFERROR(IF(J843/P843&gt;1,P843,J843),0)</f>
        <v/>
      </c>
      <c r="L843" s="36" t="n">
        <v>1652</v>
      </c>
      <c r="M843" s="21">
        <f>L843*H843</f>
        <v/>
      </c>
      <c r="N843" s="21">
        <f>IFERROR(IF(M843/K843&gt;1,K843,M843),0)</f>
        <v/>
      </c>
      <c r="O843" s="36" t="n">
        <v>465</v>
      </c>
      <c r="P843" s="21">
        <f>O843*H843</f>
        <v/>
      </c>
      <c r="Q843" s="30">
        <f>IF(MONTH(E843+1)=MONTH(E843+6),MONTH(E843+1),IF(MIN(EOMONTH(E843+1,0),E843+6)-(E843+1)+1&gt;=3,MONTH(E843+1),MONTH(E843+6)))</f>
        <v/>
      </c>
      <c r="R843" s="22">
        <f>IFERROR(K843/P843, 0)</f>
        <v/>
      </c>
      <c r="S843" s="38">
        <f>IFERROR(N843/P843,0)</f>
        <v/>
      </c>
      <c r="T843" s="31">
        <f>IFERROR(IF(N843&gt;0,(N843/K843),MIN(1,M843/J843)),0)</f>
        <v/>
      </c>
      <c r="U843" s="33" t="n"/>
    </row>
    <row r="844" hidden="1" s="40">
      <c r="A844" s="18" t="inlineStr">
        <is>
          <t>Semana 2 - Maio</t>
        </is>
      </c>
      <c r="B844" s="27">
        <f>YEAR(E844)</f>
        <v/>
      </c>
      <c r="C844" s="18">
        <f>INDEX({"Janeiro";"Fevereiro";"Março";"Abril";"Maio";"Junho";"Julho";"Agosto";"Setembro";"Outubro";"Novembro";"Dezembro"},Q844)</f>
        <v/>
      </c>
      <c r="D844" s="19" t="n">
        <v>2</v>
      </c>
      <c r="E844" s="20" t="n">
        <v>46153</v>
      </c>
      <c r="F844" s="18" t="inlineStr">
        <is>
          <t>Doce de Leite Zero Açúcar e Lactose 400g</t>
        </is>
      </c>
      <c r="G844" s="18" t="inlineStr">
        <is>
          <t>DOCE</t>
        </is>
      </c>
      <c r="H844" s="21" t="n">
        <v>0.4</v>
      </c>
      <c r="I844" s="36" t="n">
        <v>4000</v>
      </c>
      <c r="J844" s="21">
        <f>I844*H844</f>
        <v/>
      </c>
      <c r="K844" s="21">
        <f>IFERROR(IF(J844/P844&gt;1,P844,J844),0)</f>
        <v/>
      </c>
      <c r="L844" s="36" t="n">
        <v>7417</v>
      </c>
      <c r="M844" s="21">
        <f>L844*H844</f>
        <v/>
      </c>
      <c r="N844" s="21">
        <f>IFERROR(IF(M844/K844&gt;1,K844,M844),0)</f>
        <v/>
      </c>
      <c r="O844" s="36" t="n">
        <v>32000</v>
      </c>
      <c r="P844" s="21">
        <f>O844*H844</f>
        <v/>
      </c>
      <c r="Q844" s="30">
        <f>IF(MONTH(E844+1)=MONTH(E844+6),MONTH(E844+1),IF(MIN(EOMONTH(E844+1,0),E844+6)-(E844+1)+1&gt;=3,MONTH(E844+1),MONTH(E844+6)))</f>
        <v/>
      </c>
      <c r="R844" s="22">
        <f>IFERROR(K844/P844, 0)</f>
        <v/>
      </c>
      <c r="S844" s="38">
        <f>IFERROR(N844/P844,0)</f>
        <v/>
      </c>
      <c r="T844" s="31">
        <f>IFERROR(IF(N844&gt;0,(N844/K844),MIN(1,M844/J844)),0)</f>
        <v/>
      </c>
      <c r="U844" s="33" t="n"/>
    </row>
    <row r="845" hidden="1" s="40">
      <c r="A845" s="23" t="inlineStr">
        <is>
          <t>Semana 2 - Maio</t>
        </is>
      </c>
      <c r="B845" s="27">
        <f>YEAR(E845)</f>
        <v/>
      </c>
      <c r="C845" s="18">
        <f>INDEX({"Janeiro";"Fevereiro";"Março";"Abril";"Maio";"Junho";"Julho";"Agosto";"Setembro";"Outubro";"Novembro";"Dezembro"},Q845)</f>
        <v/>
      </c>
      <c r="D845" s="24" t="n">
        <v>2</v>
      </c>
      <c r="E845" s="25" t="n">
        <v>46153</v>
      </c>
      <c r="F845" s="23" t="inlineStr">
        <is>
          <t>Doce de Leite c/ Café 400</t>
        </is>
      </c>
      <c r="G845" s="23" t="inlineStr">
        <is>
          <t>DOCE</t>
        </is>
      </c>
      <c r="H845" s="26" t="n">
        <v>0.4</v>
      </c>
      <c r="I845" s="36" t="n">
        <v>6000</v>
      </c>
      <c r="J845" s="21">
        <f>I845*H845</f>
        <v/>
      </c>
      <c r="K845" s="21">
        <f>IFERROR(IF(J845/P845&gt;1,P845,J845),0)</f>
        <v/>
      </c>
      <c r="L845" s="36" t="n">
        <v>7286</v>
      </c>
      <c r="M845" s="21">
        <f>L845*H845</f>
        <v/>
      </c>
      <c r="N845" s="21">
        <f>IFERROR(IF(M845/K845&gt;1,K845,M845),0)</f>
        <v/>
      </c>
      <c r="O845" s="36" t="n">
        <v>6000</v>
      </c>
      <c r="P845" s="21">
        <f>O845*H845</f>
        <v/>
      </c>
      <c r="Q845" s="30">
        <f>IF(MONTH(E845+1)=MONTH(E845+6),MONTH(E845+1),IF(MIN(EOMONTH(E845+1,0),E845+6)-(E845+1)+1&gt;=3,MONTH(E845+1),MONTH(E845+6)))</f>
        <v/>
      </c>
      <c r="R845" s="22">
        <f>IFERROR(K845/P845, 0)</f>
        <v/>
      </c>
      <c r="S845" s="38">
        <f>IFERROR(N845/P845,0)</f>
        <v/>
      </c>
      <c r="T845" s="31">
        <f>IFERROR(IF(N845&gt;0,(N845/K845),MIN(1,M845/J845)),0)</f>
        <v/>
      </c>
      <c r="U845" s="33" t="n"/>
    </row>
    <row r="846" hidden="1" s="40">
      <c r="A846" s="18" t="inlineStr">
        <is>
          <t>Semana 2 - Maio</t>
        </is>
      </c>
      <c r="B846" s="27">
        <f>YEAR(E846)</f>
        <v/>
      </c>
      <c r="C846" s="18">
        <f>INDEX({"Janeiro";"Fevereiro";"Março";"Abril";"Maio";"Junho";"Julho";"Agosto";"Setembro";"Outubro";"Novembro";"Dezembro"},Q846)</f>
        <v/>
      </c>
      <c r="D846" s="19" t="n">
        <v>2</v>
      </c>
      <c r="E846" s="20" t="n">
        <v>46153</v>
      </c>
      <c r="F846" s="18" t="inlineStr">
        <is>
          <t>Doce de Leite c/ Café 5kg</t>
        </is>
      </c>
      <c r="G846" s="18" t="inlineStr">
        <is>
          <t>DOCE</t>
        </is>
      </c>
      <c r="H846" s="21" t="n">
        <v>5</v>
      </c>
      <c r="I846" s="36" t="n">
        <v>0</v>
      </c>
      <c r="J846" s="21">
        <f>I846*H846</f>
        <v/>
      </c>
      <c r="K846" s="21">
        <f>IFERROR(IF(J846/P846&gt;1,P846,J846),0)</f>
        <v/>
      </c>
      <c r="L846" s="36" t="n">
        <v>0</v>
      </c>
      <c r="M846" s="21">
        <f>L846*H846</f>
        <v/>
      </c>
      <c r="N846" s="21">
        <f>IFERROR(IF(M846/K846&gt;1,K846,M846),0)</f>
        <v/>
      </c>
      <c r="O846" s="36" t="n">
        <v>0</v>
      </c>
      <c r="P846" s="21">
        <f>O846*H846</f>
        <v/>
      </c>
      <c r="Q846" s="30">
        <f>IF(MONTH(E846+1)=MONTH(E846+6),MONTH(E846+1),IF(MIN(EOMONTH(E846+1,0),E846+6)-(E846+1)+1&gt;=3,MONTH(E846+1),MONTH(E846+6)))</f>
        <v/>
      </c>
      <c r="R846" s="22">
        <f>IFERROR(K846/P846, 0)</f>
        <v/>
      </c>
      <c r="S846" s="38">
        <f>IFERROR(N846/P846,0)</f>
        <v/>
      </c>
      <c r="T846" s="31">
        <f>IFERROR(IF(N846&gt;0,(N846/K846),MIN(1,M846/J846)),0)</f>
        <v/>
      </c>
      <c r="U846" s="33" t="n"/>
    </row>
    <row r="847" hidden="1" s="40">
      <c r="A847" s="23" t="inlineStr">
        <is>
          <t>Semana 2 - Maio</t>
        </is>
      </c>
      <c r="B847" s="27">
        <f>YEAR(E847)</f>
        <v/>
      </c>
      <c r="C847" s="18">
        <f>INDEX({"Janeiro";"Fevereiro";"Março";"Abril";"Maio";"Junho";"Julho";"Agosto";"Setembro";"Outubro";"Novembro";"Dezembro"},Q847)</f>
        <v/>
      </c>
      <c r="D847" s="24" t="n">
        <v>2</v>
      </c>
      <c r="E847" s="25" t="n">
        <v>46153</v>
      </c>
      <c r="F847" s="23" t="inlineStr">
        <is>
          <t>Doce de Leite c/ coco 400</t>
        </is>
      </c>
      <c r="G847" s="23" t="inlineStr">
        <is>
          <t>DOCE</t>
        </is>
      </c>
      <c r="H847" s="26" t="n">
        <v>0.4</v>
      </c>
      <c r="I847" s="36" t="n">
        <v>6000</v>
      </c>
      <c r="J847" s="21">
        <f>I847*H847</f>
        <v/>
      </c>
      <c r="K847" s="21">
        <f>IFERROR(IF(J847/P847&gt;1,P847,J847),0)</f>
        <v/>
      </c>
      <c r="L847" s="36" t="n">
        <v>6409</v>
      </c>
      <c r="M847" s="21">
        <f>L847*H847</f>
        <v/>
      </c>
      <c r="N847" s="21">
        <f>IFERROR(IF(M847/K847&gt;1,K847,M847),0)</f>
        <v/>
      </c>
      <c r="O847" s="36" t="n">
        <v>6000</v>
      </c>
      <c r="P847" s="21">
        <f>O847*H847</f>
        <v/>
      </c>
      <c r="Q847" s="30">
        <f>IF(MONTH(E847+1)=MONTH(E847+6),MONTH(E847+1),IF(MIN(EOMONTH(E847+1,0),E847+6)-(E847+1)+1&gt;=3,MONTH(E847+1),MONTH(E847+6)))</f>
        <v/>
      </c>
      <c r="R847" s="22">
        <f>IFERROR(K847/P847, 0)</f>
        <v/>
      </c>
      <c r="S847" s="38">
        <f>IFERROR(N847/P847,0)</f>
        <v/>
      </c>
      <c r="T847" s="31">
        <f>IFERROR(IF(N847&gt;0,(N847/K847),MIN(1,M847/J847)),0)</f>
        <v/>
      </c>
      <c r="U847" s="33" t="n"/>
    </row>
    <row r="848" hidden="1" s="40">
      <c r="A848" s="18" t="inlineStr">
        <is>
          <t>Semana 2 - Maio</t>
        </is>
      </c>
      <c r="B848" s="27">
        <f>YEAR(E848)</f>
        <v/>
      </c>
      <c r="C848" s="18">
        <f>INDEX({"Janeiro";"Fevereiro";"Março";"Abril";"Maio";"Junho";"Julho";"Agosto";"Setembro";"Outubro";"Novembro";"Dezembro"},Q848)</f>
        <v/>
      </c>
      <c r="D848" s="19" t="n">
        <v>2</v>
      </c>
      <c r="E848" s="20" t="n">
        <v>46153</v>
      </c>
      <c r="F848" s="18" t="inlineStr">
        <is>
          <t>IOGURTE VIÇOSA MORANGO LIGHT 180g</t>
        </is>
      </c>
      <c r="G848" s="18" t="inlineStr">
        <is>
          <t>IOGURTE</t>
        </is>
      </c>
      <c r="H848" s="21" t="n">
        <v>0.18</v>
      </c>
      <c r="I848" s="36" t="n">
        <v>0</v>
      </c>
      <c r="J848" s="21">
        <f>I848*H848</f>
        <v/>
      </c>
      <c r="K848" s="21">
        <f>IFERROR(IF(J848/P848&gt;1,P848,J848),0)</f>
        <v/>
      </c>
      <c r="L848" s="36" t="n">
        <v>0</v>
      </c>
      <c r="M848" s="21">
        <f>L848*H848</f>
        <v/>
      </c>
      <c r="N848" s="21">
        <f>IFERROR(IF(M848/K848&gt;1,K848,M848),0)</f>
        <v/>
      </c>
      <c r="O848" s="36" t="n">
        <v>0</v>
      </c>
      <c r="P848" s="21">
        <f>O848*H848</f>
        <v/>
      </c>
      <c r="Q848" s="30">
        <f>IF(MONTH(E848+1)=MONTH(E848+6),MONTH(E848+1),IF(MIN(EOMONTH(E848+1,0),E848+6)-(E848+1)+1&gt;=3,MONTH(E848+1),MONTH(E848+6)))</f>
        <v/>
      </c>
      <c r="R848" s="22">
        <f>IFERROR(K848/P848, 0)</f>
        <v/>
      </c>
      <c r="S848" s="38">
        <f>IFERROR(N848/P848,0)</f>
        <v/>
      </c>
      <c r="T848" s="31">
        <f>IFERROR(IF(N848&gt;0,(N848/K848),MIN(1,M848/J848)),0)</f>
        <v/>
      </c>
      <c r="U848" s="33" t="n"/>
    </row>
    <row r="849" hidden="1" s="40">
      <c r="A849" s="23" t="inlineStr">
        <is>
          <t>Semana 2 - Maio</t>
        </is>
      </c>
      <c r="B849" s="27">
        <f>YEAR(E849)</f>
        <v/>
      </c>
      <c r="C849" s="18">
        <f>INDEX({"Janeiro";"Fevereiro";"Março";"Abril";"Maio";"Junho";"Julho";"Agosto";"Setembro";"Outubro";"Novembro";"Dezembro"},Q849)</f>
        <v/>
      </c>
      <c r="D849" s="24" t="n">
        <v>2</v>
      </c>
      <c r="E849" s="25" t="n">
        <v>46153</v>
      </c>
      <c r="F849" s="23" t="inlineStr">
        <is>
          <t>IOGURTE VIÇOSA MORANGO LIGHT 800g</t>
        </is>
      </c>
      <c r="G849" s="23" t="inlineStr">
        <is>
          <t>IOGURTE</t>
        </is>
      </c>
      <c r="H849" s="26" t="n">
        <v>0.8</v>
      </c>
      <c r="I849" s="36" t="n">
        <v>0</v>
      </c>
      <c r="J849" s="21">
        <f>I849*H849</f>
        <v/>
      </c>
      <c r="K849" s="21">
        <f>IFERROR(IF(J849/P849&gt;1,P849,J849),0)</f>
        <v/>
      </c>
      <c r="L849" s="36" t="n">
        <v>0</v>
      </c>
      <c r="M849" s="21">
        <f>L849*H849</f>
        <v/>
      </c>
      <c r="N849" s="21">
        <f>IFERROR(IF(M849/K849&gt;1,K849,M849),0)</f>
        <v/>
      </c>
      <c r="O849" s="36" t="n">
        <v>0</v>
      </c>
      <c r="P849" s="21">
        <f>O849*H849</f>
        <v/>
      </c>
      <c r="Q849" s="30">
        <f>IF(MONTH(E849+1)=MONTH(E849+6),MONTH(E849+1),IF(MIN(EOMONTH(E849+1,0),E849+6)-(E849+1)+1&gt;=3,MONTH(E849+1),MONTH(E849+6)))</f>
        <v/>
      </c>
      <c r="R849" s="22">
        <f>IFERROR(K849/P849, 0)</f>
        <v/>
      </c>
      <c r="S849" s="38">
        <f>IFERROR(N849/P849,0)</f>
        <v/>
      </c>
      <c r="T849" s="31">
        <f>IFERROR(IF(N849&gt;0,(N849/K849),MIN(1,M849/J849)),0)</f>
        <v/>
      </c>
      <c r="U849" s="33" t="n"/>
    </row>
    <row r="850" hidden="1" s="40">
      <c r="A850" s="23" t="inlineStr">
        <is>
          <t>Semana 2 - Maio</t>
        </is>
      </c>
      <c r="B850" s="27">
        <f>YEAR(E850)</f>
        <v/>
      </c>
      <c r="C850" s="18">
        <f>INDEX({"Janeiro";"Fevereiro";"Março";"Abril";"Maio";"Junho";"Julho";"Agosto";"Setembro";"Outubro";"Novembro";"Dezembro"},Q850)</f>
        <v/>
      </c>
      <c r="D850" s="24" t="n">
        <v>2</v>
      </c>
      <c r="E850" s="25" t="n">
        <v>46153</v>
      </c>
      <c r="F850" s="23" t="inlineStr">
        <is>
          <t>Iogurte Abacaxi c/ Coco 120g</t>
        </is>
      </c>
      <c r="G850" s="23" t="inlineStr">
        <is>
          <t>IOGURTE</t>
        </is>
      </c>
      <c r="H850" s="26" t="n">
        <v>0.12</v>
      </c>
      <c r="I850" s="36" t="n">
        <v>5000</v>
      </c>
      <c r="J850" s="21">
        <f>I850*H850</f>
        <v/>
      </c>
      <c r="K850" s="21">
        <f>IFERROR(IF(J850/P850&gt;1,P850,J850),0)</f>
        <v/>
      </c>
      <c r="L850" s="36" t="n">
        <v>5188</v>
      </c>
      <c r="M850" s="21">
        <f>L850*H850</f>
        <v/>
      </c>
      <c r="N850" s="21">
        <f>IFERROR(IF(M850/K850&gt;1,K850,M850),0)</f>
        <v/>
      </c>
      <c r="O850" s="36" t="n">
        <v>4000</v>
      </c>
      <c r="P850" s="21">
        <f>O850*H850</f>
        <v/>
      </c>
      <c r="Q850" s="30">
        <f>IF(MONTH(E850+1)=MONTH(E850+6),MONTH(E850+1),IF(MIN(EOMONTH(E850+1,0),E850+6)-(E850+1)+1&gt;=3,MONTH(E850+1),MONTH(E850+6)))</f>
        <v/>
      </c>
      <c r="R850" s="22">
        <f>IFERROR(K850/P850, 0)</f>
        <v/>
      </c>
      <c r="S850" s="38">
        <f>IFERROR(N850/P850,0)</f>
        <v/>
      </c>
      <c r="T850" s="31">
        <f>IFERROR(IF(N850&gt;0,(N850/K850),MIN(1,M850/J850)),0)</f>
        <v/>
      </c>
      <c r="U850" s="33" t="n"/>
    </row>
    <row r="851" hidden="1" s="40">
      <c r="A851" s="18" t="inlineStr">
        <is>
          <t>Semana 2 - Maio</t>
        </is>
      </c>
      <c r="B851" s="27">
        <f>YEAR(E851)</f>
        <v/>
      </c>
      <c r="C851" s="18">
        <f>INDEX({"Janeiro";"Fevereiro";"Março";"Abril";"Maio";"Junho";"Julho";"Agosto";"Setembro";"Outubro";"Novembro";"Dezembro"},Q851)</f>
        <v/>
      </c>
      <c r="D851" s="19" t="n">
        <v>2</v>
      </c>
      <c r="E851" s="20" t="n">
        <v>46153</v>
      </c>
      <c r="F851" s="18" t="inlineStr">
        <is>
          <t>Iogurte Abacaxi c/ Coco 185g</t>
        </is>
      </c>
      <c r="G851" s="18" t="inlineStr">
        <is>
          <t>IOGURTE</t>
        </is>
      </c>
      <c r="H851" s="21" t="n">
        <v>0.185</v>
      </c>
      <c r="I851" s="36" t="n">
        <v>1040</v>
      </c>
      <c r="J851" s="21">
        <f>I851*H851</f>
        <v/>
      </c>
      <c r="K851" s="21">
        <f>IFERROR(IF(J851/P851&gt;1,P851,J851),0)</f>
        <v/>
      </c>
      <c r="L851" s="36" t="n">
        <v>723</v>
      </c>
      <c r="M851" s="21">
        <f>L851*H851</f>
        <v/>
      </c>
      <c r="N851" s="21">
        <f>IFERROR(IF(M851/K851&gt;1,K851,M851),0)</f>
        <v/>
      </c>
      <c r="O851" s="36" t="n">
        <v>560</v>
      </c>
      <c r="P851" s="21">
        <f>O851*H851</f>
        <v/>
      </c>
      <c r="Q851" s="30">
        <f>IF(MONTH(E851+1)=MONTH(E851+6),MONTH(E851+1),IF(MIN(EOMONTH(E851+1,0),E851+6)-(E851+1)+1&gt;=3,MONTH(E851+1),MONTH(E851+6)))</f>
        <v/>
      </c>
      <c r="R851" s="22">
        <f>IFERROR(K851/P851, 0)</f>
        <v/>
      </c>
      <c r="S851" s="38">
        <f>IFERROR(N851/P851,0)</f>
        <v/>
      </c>
      <c r="T851" s="31">
        <f>IFERROR(IF(N851&gt;0,(N851/K851),MIN(1,M851/J851)),0)</f>
        <v/>
      </c>
      <c r="U851" s="33" t="n"/>
    </row>
    <row r="852" hidden="1" s="40">
      <c r="A852" s="23" t="inlineStr">
        <is>
          <t>Semana 2 - Maio</t>
        </is>
      </c>
      <c r="B852" s="27">
        <f>YEAR(E852)</f>
        <v/>
      </c>
      <c r="C852" s="18">
        <f>INDEX({"Janeiro";"Fevereiro";"Março";"Abril";"Maio";"Junho";"Julho";"Agosto";"Setembro";"Outubro";"Novembro";"Dezembro"},Q852)</f>
        <v/>
      </c>
      <c r="D852" s="24" t="n">
        <v>2</v>
      </c>
      <c r="E852" s="25" t="n">
        <v>46153</v>
      </c>
      <c r="F852" s="23" t="inlineStr">
        <is>
          <t>Iogurte Abacaxi c/ Coco 900g</t>
        </is>
      </c>
      <c r="G852" s="23" t="inlineStr">
        <is>
          <t>IOGURTE</t>
        </is>
      </c>
      <c r="H852" s="26" t="n">
        <v>0.9</v>
      </c>
      <c r="I852" s="36" t="n">
        <v>1800</v>
      </c>
      <c r="J852" s="21">
        <f>I852*H852</f>
        <v/>
      </c>
      <c r="K852" s="21">
        <f>IFERROR(IF(J852/P852&gt;1,P852,J852),0)</f>
        <v/>
      </c>
      <c r="L852" s="36" t="n">
        <v>2434</v>
      </c>
      <c r="M852" s="21">
        <f>L852*H852</f>
        <v/>
      </c>
      <c r="N852" s="21">
        <f>IFERROR(IF(M852/K852&gt;1,K852,M852),0)</f>
        <v/>
      </c>
      <c r="O852" s="36" t="n">
        <v>2000</v>
      </c>
      <c r="P852" s="21">
        <f>O852*H852</f>
        <v/>
      </c>
      <c r="Q852" s="30">
        <f>IF(MONTH(E852+1)=MONTH(E852+6),MONTH(E852+1),IF(MIN(EOMONTH(E852+1,0),E852+6)-(E852+1)+1&gt;=3,MONTH(E852+1),MONTH(E852+6)))</f>
        <v/>
      </c>
      <c r="R852" s="22">
        <f>IFERROR(K852/P852, 0)</f>
        <v/>
      </c>
      <c r="S852" s="38">
        <f>IFERROR(N852/P852,0)</f>
        <v/>
      </c>
      <c r="T852" s="31">
        <f>IFERROR(IF(N852&gt;0,(N852/K852),MIN(1,M852/J852)),0)</f>
        <v/>
      </c>
      <c r="U852" s="33" t="n"/>
    </row>
    <row r="853" hidden="1" s="40">
      <c r="A853" s="23" t="inlineStr">
        <is>
          <t>Semana 2 - Maio</t>
        </is>
      </c>
      <c r="B853" s="27">
        <f>YEAR(E853)</f>
        <v/>
      </c>
      <c r="C853" s="18">
        <f>INDEX({"Janeiro";"Fevereiro";"Março";"Abril";"Maio";"Junho";"Julho";"Agosto";"Setembro";"Outubro";"Novembro";"Dezembro"},Q853)</f>
        <v/>
      </c>
      <c r="D853" s="24" t="n">
        <v>2</v>
      </c>
      <c r="E853" s="25" t="n">
        <v>46153</v>
      </c>
      <c r="F853" s="23" t="inlineStr">
        <is>
          <t>Iogurte Coco 120g</t>
        </is>
      </c>
      <c r="G853" s="23" t="inlineStr">
        <is>
          <t>IOGURTE</t>
        </is>
      </c>
      <c r="H853" s="26" t="n">
        <v>0.12</v>
      </c>
      <c r="I853" s="36" t="n">
        <v>5000</v>
      </c>
      <c r="J853" s="21">
        <f>I853*H853</f>
        <v/>
      </c>
      <c r="K853" s="21">
        <f>IFERROR(IF(J853/P853&gt;1,P853,J853),0)</f>
        <v/>
      </c>
      <c r="L853" s="36" t="n">
        <v>5267</v>
      </c>
      <c r="M853" s="21">
        <f>L853*H853</f>
        <v/>
      </c>
      <c r="N853" s="21">
        <f>IFERROR(IF(M853/K853&gt;1,K853,M853),0)</f>
        <v/>
      </c>
      <c r="O853" s="36" t="n">
        <v>4000</v>
      </c>
      <c r="P853" s="21">
        <f>O853*H853</f>
        <v/>
      </c>
      <c r="Q853" s="30">
        <f>IF(MONTH(E853+1)=MONTH(E853+6),MONTH(E853+1),IF(MIN(EOMONTH(E853+1,0),E853+6)-(E853+1)+1&gt;=3,MONTH(E853+1),MONTH(E853+6)))</f>
        <v/>
      </c>
      <c r="R853" s="22">
        <f>IFERROR(K853/P853, 0)</f>
        <v/>
      </c>
      <c r="S853" s="38">
        <f>IFERROR(N853/P853,0)</f>
        <v/>
      </c>
      <c r="T853" s="31">
        <f>IFERROR(IF(N853&gt;0,(N853/K853),MIN(1,M853/J853)),0)</f>
        <v/>
      </c>
      <c r="U853" s="33" t="n"/>
    </row>
    <row r="854" hidden="1" s="40">
      <c r="A854" s="18" t="inlineStr">
        <is>
          <t>Semana 2 - Maio</t>
        </is>
      </c>
      <c r="B854" s="27">
        <f>YEAR(E854)</f>
        <v/>
      </c>
      <c r="C854" s="18">
        <f>INDEX({"Janeiro";"Fevereiro";"Março";"Abril";"Maio";"Junho";"Julho";"Agosto";"Setembro";"Outubro";"Novembro";"Dezembro"},Q854)</f>
        <v/>
      </c>
      <c r="D854" s="19" t="n">
        <v>2</v>
      </c>
      <c r="E854" s="20" t="n">
        <v>46153</v>
      </c>
      <c r="F854" s="18" t="inlineStr">
        <is>
          <t>Iogurte Coco 185g</t>
        </is>
      </c>
      <c r="G854" s="18" t="inlineStr">
        <is>
          <t>IOGURTE</t>
        </is>
      </c>
      <c r="H854" s="21" t="n">
        <v>0.185</v>
      </c>
      <c r="I854" s="36" t="n">
        <v>1040</v>
      </c>
      <c r="J854" s="21">
        <f>I854*H854</f>
        <v/>
      </c>
      <c r="K854" s="21">
        <f>IFERROR(IF(J854/P854&gt;1,P854,J854),0)</f>
        <v/>
      </c>
      <c r="L854" s="36" t="n">
        <v>1000</v>
      </c>
      <c r="M854" s="21">
        <f>L854*H854</f>
        <v/>
      </c>
      <c r="N854" s="21">
        <f>IFERROR(IF(M854/K854&gt;1,K854,M854),0)</f>
        <v/>
      </c>
      <c r="O854" s="36" t="n">
        <v>780</v>
      </c>
      <c r="P854" s="21">
        <f>O854*H854</f>
        <v/>
      </c>
      <c r="Q854" s="30">
        <f>IF(MONTH(E854+1)=MONTH(E854+6),MONTH(E854+1),IF(MIN(EOMONTH(E854+1,0),E854+6)-(E854+1)+1&gt;=3,MONTH(E854+1),MONTH(E854+6)))</f>
        <v/>
      </c>
      <c r="R854" s="22">
        <f>IFERROR(K854/P854, 0)</f>
        <v/>
      </c>
      <c r="S854" s="38">
        <f>IFERROR(N854/P854,0)</f>
        <v/>
      </c>
      <c r="T854" s="31">
        <f>IFERROR(IF(N854&gt;0,(N854/K854),MIN(1,M854/J854)),0)</f>
        <v/>
      </c>
      <c r="U854" s="33" t="n"/>
    </row>
    <row r="855" hidden="1" s="40">
      <c r="A855" s="23" t="inlineStr">
        <is>
          <t>Semana 2 - Maio</t>
        </is>
      </c>
      <c r="B855" s="27">
        <f>YEAR(E855)</f>
        <v/>
      </c>
      <c r="C855" s="18">
        <f>INDEX({"Janeiro";"Fevereiro";"Março";"Abril";"Maio";"Junho";"Julho";"Agosto";"Setembro";"Outubro";"Novembro";"Dezembro"},Q855)</f>
        <v/>
      </c>
      <c r="D855" s="24" t="n">
        <v>2</v>
      </c>
      <c r="E855" s="25" t="n">
        <v>46153</v>
      </c>
      <c r="F855" s="23" t="inlineStr">
        <is>
          <t>Iogurte Coco 900g</t>
        </is>
      </c>
      <c r="G855" s="23" t="inlineStr">
        <is>
          <t>IOGURTE</t>
        </is>
      </c>
      <c r="H855" s="26" t="n">
        <v>0.9</v>
      </c>
      <c r="I855" s="36" t="n">
        <v>1800</v>
      </c>
      <c r="J855" s="21">
        <f>I855*H855</f>
        <v/>
      </c>
      <c r="K855" s="21">
        <f>IFERROR(IF(J855/P855&gt;1,P855,J855),0)</f>
        <v/>
      </c>
      <c r="L855" s="36" t="n">
        <v>1701</v>
      </c>
      <c r="M855" s="21">
        <f>L855*H855</f>
        <v/>
      </c>
      <c r="N855" s="21">
        <f>IFERROR(IF(M855/K855&gt;1,K855,M855),0)</f>
        <v/>
      </c>
      <c r="O855" s="36" t="n">
        <v>1800</v>
      </c>
      <c r="P855" s="21">
        <f>O855*H855</f>
        <v/>
      </c>
      <c r="Q855" s="30">
        <f>IF(MONTH(E855+1)=MONTH(E855+6),MONTH(E855+1),IF(MIN(EOMONTH(E855+1,0),E855+6)-(E855+1)+1&gt;=3,MONTH(E855+1),MONTH(E855+6)))</f>
        <v/>
      </c>
      <c r="R855" s="22">
        <f>IFERROR(K855/P855, 0)</f>
        <v/>
      </c>
      <c r="S855" s="38">
        <f>IFERROR(N855/P855,0)</f>
        <v/>
      </c>
      <c r="T855" s="31">
        <f>IFERROR(IF(N855&gt;0,(N855/K855),MIN(1,M855/J855)),0)</f>
        <v/>
      </c>
      <c r="U855" s="33" t="n"/>
    </row>
    <row r="856" hidden="1" s="40">
      <c r="A856" s="18" t="inlineStr">
        <is>
          <t>Semana 2 - Maio</t>
        </is>
      </c>
      <c r="B856" s="27">
        <f>YEAR(E856)</f>
        <v/>
      </c>
      <c r="C856" s="18">
        <f>INDEX({"Janeiro";"Fevereiro";"Março";"Abril";"Maio";"Junho";"Julho";"Agosto";"Setembro";"Outubro";"Novembro";"Dezembro"},Q856)</f>
        <v/>
      </c>
      <c r="D856" s="19" t="n">
        <v>2</v>
      </c>
      <c r="E856" s="20" t="n">
        <v>46153</v>
      </c>
      <c r="F856" s="18" t="inlineStr">
        <is>
          <t>Iogurte Grego Frutas vermelhas 120g</t>
        </is>
      </c>
      <c r="G856" s="18" t="inlineStr">
        <is>
          <t>IOGURTE</t>
        </is>
      </c>
      <c r="H856" s="21" t="n">
        <v>0.17</v>
      </c>
      <c r="I856" s="36" t="n">
        <v>0</v>
      </c>
      <c r="J856" s="21">
        <f>I856*H856</f>
        <v/>
      </c>
      <c r="K856" s="21">
        <f>IFERROR(IF(J856/P856&gt;1,P856,J856),0)</f>
        <v/>
      </c>
      <c r="L856" s="36" t="n">
        <v>0</v>
      </c>
      <c r="M856" s="21">
        <f>L856*H856</f>
        <v/>
      </c>
      <c r="N856" s="21">
        <f>IFERROR(IF(M856/K856&gt;1,K856,M856),0)</f>
        <v/>
      </c>
      <c r="O856" s="36" t="n">
        <v>0</v>
      </c>
      <c r="P856" s="21">
        <f>O856*H856</f>
        <v/>
      </c>
      <c r="Q856" s="30">
        <f>IF(MONTH(E856+1)=MONTH(E856+6),MONTH(E856+1),IF(MIN(EOMONTH(E856+1,0),E856+6)-(E856+1)+1&gt;=3,MONTH(E856+1),MONTH(E856+6)))</f>
        <v/>
      </c>
      <c r="R856" s="22">
        <f>IFERROR(K856/P856, 0)</f>
        <v/>
      </c>
      <c r="S856" s="38">
        <f>IFERROR(N856/P856,0)</f>
        <v/>
      </c>
      <c r="T856" s="31">
        <f>IFERROR(IF(N856&gt;0,(N856/K856),MIN(1,M856/J856)),0)</f>
        <v/>
      </c>
      <c r="U856" s="33" t="n"/>
    </row>
    <row r="857" hidden="1" s="40">
      <c r="A857" s="18" t="inlineStr">
        <is>
          <t>Semana 2 - Maio</t>
        </is>
      </c>
      <c r="B857" s="27">
        <f>YEAR(E857)</f>
        <v/>
      </c>
      <c r="C857" s="18">
        <f>INDEX({"Janeiro";"Fevereiro";"Março";"Abril";"Maio";"Junho";"Julho";"Agosto";"Setembro";"Outubro";"Novembro";"Dezembro"},Q857)</f>
        <v/>
      </c>
      <c r="D857" s="19" t="n">
        <v>2</v>
      </c>
      <c r="E857" s="20" t="n">
        <v>46153</v>
      </c>
      <c r="F857" s="18" t="inlineStr">
        <is>
          <t>Iogurte Morango 120g</t>
        </is>
      </c>
      <c r="G857" s="18" t="inlineStr">
        <is>
          <t>IOGURTE</t>
        </is>
      </c>
      <c r="H857" s="21" t="n">
        <v>0.12</v>
      </c>
      <c r="I857" s="36" t="n">
        <v>17000</v>
      </c>
      <c r="J857" s="21">
        <f>I857*H857</f>
        <v/>
      </c>
      <c r="K857" s="21">
        <f>IFERROR(IF(J857/P857&gt;1,P857,J857),0)</f>
        <v/>
      </c>
      <c r="L857" s="36" t="n">
        <v>17919</v>
      </c>
      <c r="M857" s="21">
        <f>L857*H857</f>
        <v/>
      </c>
      <c r="N857" s="21">
        <f>IFERROR(IF(M857/K857&gt;1,K857,M857),0)</f>
        <v/>
      </c>
      <c r="O857" s="36" t="n">
        <v>15000</v>
      </c>
      <c r="P857" s="21">
        <f>O857*H857</f>
        <v/>
      </c>
      <c r="Q857" s="30">
        <f>IF(MONTH(E857+1)=MONTH(E857+6),MONTH(E857+1),IF(MIN(EOMONTH(E857+1,0),E857+6)-(E857+1)+1&gt;=3,MONTH(E857+1),MONTH(E857+6)))</f>
        <v/>
      </c>
      <c r="R857" s="22">
        <f>IFERROR(K857/P857, 0)</f>
        <v/>
      </c>
      <c r="S857" s="38">
        <f>IFERROR(N857/P857,0)</f>
        <v/>
      </c>
      <c r="T857" s="31">
        <f>IFERROR(IF(N857&gt;0,(N857/K857),MIN(1,M857/J857)),0)</f>
        <v/>
      </c>
      <c r="U857" s="33" t="n"/>
    </row>
    <row r="858" hidden="1" s="40">
      <c r="A858" s="23" t="inlineStr">
        <is>
          <t>Semana 2 - Maio</t>
        </is>
      </c>
      <c r="B858" s="27">
        <f>YEAR(E858)</f>
        <v/>
      </c>
      <c r="C858" s="18">
        <f>INDEX({"Janeiro";"Fevereiro";"Março";"Abril";"Maio";"Junho";"Julho";"Agosto";"Setembro";"Outubro";"Novembro";"Dezembro"},Q858)</f>
        <v/>
      </c>
      <c r="D858" s="24" t="n">
        <v>2</v>
      </c>
      <c r="E858" s="25" t="n">
        <v>46153</v>
      </c>
      <c r="F858" s="23" t="inlineStr">
        <is>
          <t>Iogurte Morango 185g</t>
        </is>
      </c>
      <c r="G858" s="23" t="inlineStr">
        <is>
          <t>IOGURTE</t>
        </is>
      </c>
      <c r="H858" s="26" t="n">
        <v>0.185</v>
      </c>
      <c r="I858" s="36" t="n">
        <v>2600</v>
      </c>
      <c r="J858" s="21">
        <f>I858*H858</f>
        <v/>
      </c>
      <c r="K858" s="21">
        <f>IFERROR(IF(J858/P858&gt;1,P858,J858),0)</f>
        <v/>
      </c>
      <c r="L858" s="36" t="n">
        <v>2543</v>
      </c>
      <c r="M858" s="21">
        <f>L858*H858</f>
        <v/>
      </c>
      <c r="N858" s="21">
        <f>IFERROR(IF(M858/K858&gt;1,K858,M858),0)</f>
        <v/>
      </c>
      <c r="O858" s="36" t="n">
        <v>2080</v>
      </c>
      <c r="P858" s="21">
        <f>O858*H858</f>
        <v/>
      </c>
      <c r="Q858" s="30">
        <f>IF(MONTH(E858+1)=MONTH(E858+6),MONTH(E858+1),IF(MIN(EOMONTH(E858+1,0),E858+6)-(E858+1)+1&gt;=3,MONTH(E858+1),MONTH(E858+6)))</f>
        <v/>
      </c>
      <c r="R858" s="22">
        <f>IFERROR(K858/P858, 0)</f>
        <v/>
      </c>
      <c r="S858" s="38">
        <f>IFERROR(N858/P858,0)</f>
        <v/>
      </c>
      <c r="T858" s="31">
        <f>IFERROR(IF(N858&gt;0,(N858/K858),MIN(1,M858/J858)),0)</f>
        <v/>
      </c>
      <c r="U858" s="33" t="n"/>
    </row>
    <row r="859" hidden="1" s="40">
      <c r="A859" s="18" t="inlineStr">
        <is>
          <t>Semana 2 - Maio</t>
        </is>
      </c>
      <c r="B859" s="27">
        <f>YEAR(E859)</f>
        <v/>
      </c>
      <c r="C859" s="18">
        <f>INDEX({"Janeiro";"Fevereiro";"Março";"Abril";"Maio";"Junho";"Julho";"Agosto";"Setembro";"Outubro";"Novembro";"Dezembro"},Q859)</f>
        <v/>
      </c>
      <c r="D859" s="19" t="n">
        <v>2</v>
      </c>
      <c r="E859" s="20" t="n">
        <v>46153</v>
      </c>
      <c r="F859" s="18" t="inlineStr">
        <is>
          <t>Iogurte Morango 900G</t>
        </is>
      </c>
      <c r="G859" s="18" t="inlineStr">
        <is>
          <t>IOGURTE</t>
        </is>
      </c>
      <c r="H859" s="21" t="n">
        <v>0.9</v>
      </c>
      <c r="I859" s="36" t="n">
        <v>6750</v>
      </c>
      <c r="J859" s="21">
        <f>I859*H859</f>
        <v/>
      </c>
      <c r="K859" s="21">
        <f>IFERROR(IF(J859/P859&gt;1,P859,J859),0)</f>
        <v/>
      </c>
      <c r="L859" s="36" t="n">
        <v>6569</v>
      </c>
      <c r="M859" s="21">
        <f>L859*H859</f>
        <v/>
      </c>
      <c r="N859" s="21">
        <f>IFERROR(IF(M859/K859&gt;1,K859,M859),0)</f>
        <v/>
      </c>
      <c r="O859" s="36" t="n">
        <v>6500</v>
      </c>
      <c r="P859" s="21">
        <f>O859*H859</f>
        <v/>
      </c>
      <c r="Q859" s="30">
        <f>IF(MONTH(E859+1)=MONTH(E859+6),MONTH(E859+1),IF(MIN(EOMONTH(E859+1,0),E859+6)-(E859+1)+1&gt;=3,MONTH(E859+1),MONTH(E859+6)))</f>
        <v/>
      </c>
      <c r="R859" s="22">
        <f>IFERROR(K859/P859, 0)</f>
        <v/>
      </c>
      <c r="S859" s="38">
        <f>IFERROR(N859/P859,0)</f>
        <v/>
      </c>
      <c r="T859" s="31">
        <f>IFERROR(IF(N859&gt;0,(N859/K859),MIN(1,M859/J859)),0)</f>
        <v/>
      </c>
      <c r="U859" s="33" t="n"/>
    </row>
    <row r="860" hidden="1" s="40">
      <c r="A860" s="23" t="inlineStr">
        <is>
          <t>Semana 2 - Maio</t>
        </is>
      </c>
      <c r="B860" s="27">
        <f>YEAR(E860)</f>
        <v/>
      </c>
      <c r="C860" s="18">
        <f>INDEX({"Janeiro";"Fevereiro";"Março";"Abril";"Maio";"Junho";"Julho";"Agosto";"Setembro";"Outubro";"Novembro";"Dezembro"},Q860)</f>
        <v/>
      </c>
      <c r="D860" s="24" t="n">
        <v>2</v>
      </c>
      <c r="E860" s="25" t="n">
        <v>46153</v>
      </c>
      <c r="F860" s="23" t="inlineStr">
        <is>
          <t>Iogurte Natural Integral 170g</t>
        </is>
      </c>
      <c r="G860" s="23" t="inlineStr">
        <is>
          <t>IOGURTE</t>
        </is>
      </c>
      <c r="H860" s="26" t="n">
        <v>0.17</v>
      </c>
      <c r="I860" s="36" t="n">
        <v>3820</v>
      </c>
      <c r="J860" s="21">
        <f>I860*H860</f>
        <v/>
      </c>
      <c r="K860" s="21">
        <f>IFERROR(IF(J860/P860&gt;1,P860,J860),0)</f>
        <v/>
      </c>
      <c r="L860" s="36" t="n">
        <v>3507</v>
      </c>
      <c r="M860" s="21">
        <f>L860*H860</f>
        <v/>
      </c>
      <c r="N860" s="21">
        <f>IFERROR(IF(M860/K860&gt;1,K860,M860),0)</f>
        <v/>
      </c>
      <c r="O860" s="36" t="n">
        <v>3800</v>
      </c>
      <c r="P860" s="21">
        <f>O860*H860</f>
        <v/>
      </c>
      <c r="Q860" s="30">
        <f>IF(MONTH(E860+1)=MONTH(E860+6),MONTH(E860+1),IF(MIN(EOMONTH(E860+1,0),E860+6)-(E860+1)+1&gt;=3,MONTH(E860+1),MONTH(E860+6)))</f>
        <v/>
      </c>
      <c r="R860" s="22">
        <f>IFERROR(K860/P860, 0)</f>
        <v/>
      </c>
      <c r="S860" s="38">
        <f>IFERROR(N860/P860,0)</f>
        <v/>
      </c>
      <c r="T860" s="31">
        <f>IFERROR(IF(N860&gt;0,(N860/K860),MIN(1,M860/J860)),0)</f>
        <v/>
      </c>
      <c r="U860" s="33" t="n"/>
    </row>
    <row r="861" hidden="1" s="40">
      <c r="A861" s="18" t="inlineStr">
        <is>
          <t>Semana 2 - Maio</t>
        </is>
      </c>
      <c r="B861" s="27">
        <f>YEAR(E861)</f>
        <v/>
      </c>
      <c r="C861" s="18">
        <f>INDEX({"Janeiro";"Fevereiro";"Março";"Abril";"Maio";"Junho";"Julho";"Agosto";"Setembro";"Outubro";"Novembro";"Dezembro"},Q861)</f>
        <v/>
      </c>
      <c r="D861" s="19" t="n">
        <v>2</v>
      </c>
      <c r="E861" s="20" t="n">
        <v>46153</v>
      </c>
      <c r="F861" s="18" t="inlineStr">
        <is>
          <t>Iogurte Natural Triplo Zero 170g</t>
        </is>
      </c>
      <c r="G861" s="18" t="inlineStr">
        <is>
          <t>IOGURTE</t>
        </is>
      </c>
      <c r="H861" s="21" t="n">
        <v>0.17</v>
      </c>
      <c r="I861" s="36" t="n">
        <v>0</v>
      </c>
      <c r="J861" s="21">
        <f>I861*H861</f>
        <v/>
      </c>
      <c r="K861" s="21">
        <f>IFERROR(IF(J861/P861&gt;1,P861,J861),0)</f>
        <v/>
      </c>
      <c r="L861" s="36" t="n">
        <v>0</v>
      </c>
      <c r="M861" s="21">
        <f>L861*H861</f>
        <v/>
      </c>
      <c r="N861" s="21">
        <f>IFERROR(IF(M861/K861&gt;1,K861,M861),0)</f>
        <v/>
      </c>
      <c r="O861" s="36" t="n">
        <v>0</v>
      </c>
      <c r="P861" s="21">
        <f>O861*H861</f>
        <v/>
      </c>
      <c r="Q861" s="30">
        <f>IF(MONTH(E861+1)=MONTH(E861+6),MONTH(E861+1),IF(MIN(EOMONTH(E861+1,0),E861+6)-(E861+1)+1&gt;=3,MONTH(E861+1),MONTH(E861+6)))</f>
        <v/>
      </c>
      <c r="R861" s="22">
        <f>IFERROR(K861/P861, 0)</f>
        <v/>
      </c>
      <c r="S861" s="38">
        <f>IFERROR(N861/P861,0)</f>
        <v/>
      </c>
      <c r="T861" s="31">
        <f>IFERROR(IF(N861&gt;0,(N861/K861),MIN(1,M861/J861)),0)</f>
        <v/>
      </c>
      <c r="U861" s="33" t="n"/>
    </row>
    <row r="862" hidden="1" s="40">
      <c r="A862" s="18" t="inlineStr">
        <is>
          <t>Semana 2 - Maio</t>
        </is>
      </c>
      <c r="B862" s="27">
        <f>YEAR(E862)</f>
        <v/>
      </c>
      <c r="C862" s="18">
        <f>INDEX({"Janeiro";"Fevereiro";"Março";"Abril";"Maio";"Junho";"Julho";"Agosto";"Setembro";"Outubro";"Novembro";"Dezembro"},Q862)</f>
        <v/>
      </c>
      <c r="D862" s="19" t="n">
        <v>2</v>
      </c>
      <c r="E862" s="20" t="n">
        <v>46153</v>
      </c>
      <c r="F862" s="18" t="inlineStr">
        <is>
          <t>Iogurte Salada 120g</t>
        </is>
      </c>
      <c r="G862" s="18" t="inlineStr">
        <is>
          <t>IOGURTE</t>
        </is>
      </c>
      <c r="H862" s="21" t="n">
        <v>0.12</v>
      </c>
      <c r="I862" s="36" t="n">
        <v>4000</v>
      </c>
      <c r="J862" s="21">
        <f>I862*H862</f>
        <v/>
      </c>
      <c r="K862" s="21">
        <f>IFERROR(IF(J862/P862&gt;1,P862,J862),0)</f>
        <v/>
      </c>
      <c r="L862" s="36" t="n">
        <v>4262</v>
      </c>
      <c r="M862" s="21">
        <f>L862*H862</f>
        <v/>
      </c>
      <c r="N862" s="21">
        <f>IFERROR(IF(M862/K862&gt;1,K862,M862),0)</f>
        <v/>
      </c>
      <c r="O862" s="36" t="n">
        <v>3000</v>
      </c>
      <c r="P862" s="21">
        <f>O862*H862</f>
        <v/>
      </c>
      <c r="Q862" s="30">
        <f>IF(MONTH(E862+1)=MONTH(E862+6),MONTH(E862+1),IF(MIN(EOMONTH(E862+1,0),E862+6)-(E862+1)+1&gt;=3,MONTH(E862+1),MONTH(E862+6)))</f>
        <v/>
      </c>
      <c r="R862" s="22">
        <f>IFERROR(K862/P862, 0)</f>
        <v/>
      </c>
      <c r="S862" s="38">
        <f>IFERROR(N862/P862,0)</f>
        <v/>
      </c>
      <c r="T862" s="31">
        <f>IFERROR(IF(N862&gt;0,(N862/K862),MIN(1,M862/J862)),0)</f>
        <v/>
      </c>
      <c r="U862" s="33" t="n"/>
    </row>
    <row r="863" hidden="1" s="40">
      <c r="A863" s="23" t="inlineStr">
        <is>
          <t>Semana 2 - Maio</t>
        </is>
      </c>
      <c r="B863" s="27">
        <f>YEAR(E863)</f>
        <v/>
      </c>
      <c r="C863" s="18">
        <f>INDEX({"Janeiro";"Fevereiro";"Março";"Abril";"Maio";"Junho";"Julho";"Agosto";"Setembro";"Outubro";"Novembro";"Dezembro"},Q863)</f>
        <v/>
      </c>
      <c r="D863" s="24" t="n">
        <v>2</v>
      </c>
      <c r="E863" s="25" t="n">
        <v>46153</v>
      </c>
      <c r="F863" s="23" t="inlineStr">
        <is>
          <t>Iogurte Salada 185g</t>
        </is>
      </c>
      <c r="G863" s="23" t="inlineStr">
        <is>
          <t>IOGURTE</t>
        </is>
      </c>
      <c r="H863" s="26" t="n">
        <v>0.185</v>
      </c>
      <c r="I863" s="36" t="n">
        <v>1300</v>
      </c>
      <c r="J863" s="21">
        <f>I863*H863</f>
        <v/>
      </c>
      <c r="K863" s="21">
        <f>IFERROR(IF(J863/P863&gt;1,P863,J863),0)</f>
        <v/>
      </c>
      <c r="L863" s="36" t="n">
        <v>1289</v>
      </c>
      <c r="M863" s="21">
        <f>L863*H863</f>
        <v/>
      </c>
      <c r="N863" s="21">
        <f>IFERROR(IF(M863/K863&gt;1,K863,M863),0)</f>
        <v/>
      </c>
      <c r="O863" s="36" t="n">
        <v>1040</v>
      </c>
      <c r="P863" s="21">
        <f>O863*H863</f>
        <v/>
      </c>
      <c r="Q863" s="30">
        <f>IF(MONTH(E863+1)=MONTH(E863+6),MONTH(E863+1),IF(MIN(EOMONTH(E863+1,0),E863+6)-(E863+1)+1&gt;=3,MONTH(E863+1),MONTH(E863+6)))</f>
        <v/>
      </c>
      <c r="R863" s="22">
        <f>IFERROR(K863/P863, 0)</f>
        <v/>
      </c>
      <c r="S863" s="38">
        <f>IFERROR(N863/P863,0)</f>
        <v/>
      </c>
      <c r="T863" s="31">
        <f>IFERROR(IF(N863&gt;0,(N863/K863),MIN(1,M863/J863)),0)</f>
        <v/>
      </c>
      <c r="U863" s="33" t="n"/>
    </row>
    <row r="864" hidden="1" s="40">
      <c r="A864" s="18" t="inlineStr">
        <is>
          <t>Semana 2 - Maio</t>
        </is>
      </c>
      <c r="B864" s="27">
        <f>YEAR(E864)</f>
        <v/>
      </c>
      <c r="C864" s="18">
        <f>INDEX({"Janeiro";"Fevereiro";"Março";"Abril";"Maio";"Junho";"Julho";"Agosto";"Setembro";"Outubro";"Novembro";"Dezembro"},Q864)</f>
        <v/>
      </c>
      <c r="D864" s="19" t="n">
        <v>2</v>
      </c>
      <c r="E864" s="20" t="n">
        <v>46153</v>
      </c>
      <c r="F864" s="18" t="inlineStr">
        <is>
          <t>Iogurte Salada 900g</t>
        </is>
      </c>
      <c r="G864" s="18" t="inlineStr">
        <is>
          <t>IOGURTE</t>
        </is>
      </c>
      <c r="H864" s="21" t="n">
        <v>0.9</v>
      </c>
      <c r="I864" s="36" t="n">
        <v>810</v>
      </c>
      <c r="J864" s="21">
        <f>I864*H864</f>
        <v/>
      </c>
      <c r="K864" s="21">
        <f>IFERROR(IF(J864/P864&gt;1,P864,J864),0)</f>
        <v/>
      </c>
      <c r="L864" s="36" t="n">
        <v>2274</v>
      </c>
      <c r="M864" s="21">
        <f>L864*H864</f>
        <v/>
      </c>
      <c r="N864" s="21">
        <f>IFERROR(IF(M864/K864&gt;1,K864,M864),0)</f>
        <v/>
      </c>
      <c r="O864" s="36" t="n">
        <v>1800</v>
      </c>
      <c r="P864" s="21">
        <f>O864*H864</f>
        <v/>
      </c>
      <c r="Q864" s="30">
        <f>IF(MONTH(E864+1)=MONTH(E864+6),MONTH(E864+1),IF(MIN(EOMONTH(E864+1,0),E864+6)-(E864+1)+1&gt;=3,MONTH(E864+1),MONTH(E864+6)))</f>
        <v/>
      </c>
      <c r="R864" s="22">
        <f>IFERROR(K864/P864, 0)</f>
        <v/>
      </c>
      <c r="S864" s="38">
        <f>IFERROR(N864/P864,0)</f>
        <v/>
      </c>
      <c r="T864" s="31">
        <f>IFERROR(IF(N864&gt;0,(N864/K864),MIN(1,M864/J864)),0)</f>
        <v/>
      </c>
      <c r="U864" s="33" t="n"/>
    </row>
    <row r="865" hidden="1" s="40">
      <c r="A865" s="23" t="inlineStr">
        <is>
          <t>Semana 2 - Maio</t>
        </is>
      </c>
      <c r="B865" s="27">
        <f>YEAR(E865)</f>
        <v/>
      </c>
      <c r="C865" s="18">
        <f>INDEX({"Janeiro";"Fevereiro";"Março";"Abril";"Maio";"Junho";"Julho";"Agosto";"Setembro";"Outubro";"Novembro";"Dezembro"},Q865)</f>
        <v/>
      </c>
      <c r="D865" s="24" t="n">
        <v>2</v>
      </c>
      <c r="E865" s="25" t="n">
        <v>46153</v>
      </c>
      <c r="F865" s="23" t="inlineStr">
        <is>
          <t>Iogurte Vida Leve Ameixa c/ Grãos 180g</t>
        </is>
      </c>
      <c r="G865" s="23" t="inlineStr">
        <is>
          <t>IOGURTE</t>
        </is>
      </c>
      <c r="H865" s="26" t="n">
        <v>0.18</v>
      </c>
      <c r="I865" s="36" t="n">
        <v>0</v>
      </c>
      <c r="J865" s="21">
        <f>I865*H865</f>
        <v/>
      </c>
      <c r="K865" s="21">
        <f>IFERROR(IF(J865/P865&gt;1,P865,J865),0)</f>
        <v/>
      </c>
      <c r="L865" s="36" t="n">
        <v>0</v>
      </c>
      <c r="M865" s="21">
        <f>L865*H865</f>
        <v/>
      </c>
      <c r="N865" s="21">
        <f>IFERROR(IF(M865/K865&gt;1,K865,M865),0)</f>
        <v/>
      </c>
      <c r="O865" s="36" t="n">
        <v>800</v>
      </c>
      <c r="P865" s="21">
        <f>O865*H865</f>
        <v/>
      </c>
      <c r="Q865" s="30">
        <f>IF(MONTH(E865+1)=MONTH(E865+6),MONTH(E865+1),IF(MIN(EOMONTH(E865+1,0),E865+6)-(E865+1)+1&gt;=3,MONTH(E865+1),MONTH(E865+6)))</f>
        <v/>
      </c>
      <c r="R865" s="22">
        <f>IFERROR(K865/P865, 0)</f>
        <v/>
      </c>
      <c r="S865" s="38">
        <f>IFERROR(N865/P865,0)</f>
        <v/>
      </c>
      <c r="T865" s="31">
        <f>IFERROR(IF(N865&gt;0,(N865/K865),MIN(1,M865/J865)),0)</f>
        <v/>
      </c>
      <c r="U865" s="33" t="n"/>
    </row>
    <row r="866" hidden="1" s="40">
      <c r="A866" s="18" t="inlineStr">
        <is>
          <t>Semana 2 - Maio</t>
        </is>
      </c>
      <c r="B866" s="27">
        <f>YEAR(E866)</f>
        <v/>
      </c>
      <c r="C866" s="18">
        <f>INDEX({"Janeiro";"Fevereiro";"Março";"Abril";"Maio";"Junho";"Julho";"Agosto";"Setembro";"Outubro";"Novembro";"Dezembro"},Q866)</f>
        <v/>
      </c>
      <c r="D866" s="19" t="n">
        <v>2</v>
      </c>
      <c r="E866" s="20" t="n">
        <v>46153</v>
      </c>
      <c r="F866" s="18" t="inlineStr">
        <is>
          <t>Iogurte Vida Leve Ameixa c/ Grãos 500g</t>
        </is>
      </c>
      <c r="G866" s="18" t="inlineStr">
        <is>
          <t>IOGURTE</t>
        </is>
      </c>
      <c r="H866" s="21" t="n">
        <v>0.5</v>
      </c>
      <c r="I866" s="36" t="n">
        <v>0</v>
      </c>
      <c r="J866" s="21">
        <f>I866*H866</f>
        <v/>
      </c>
      <c r="K866" s="21">
        <f>IFERROR(IF(J866/P866&gt;1,P866,J866),0)</f>
        <v/>
      </c>
      <c r="L866" s="36" t="n">
        <v>0</v>
      </c>
      <c r="M866" s="21">
        <f>L866*H866</f>
        <v/>
      </c>
      <c r="N866" s="21">
        <f>IFERROR(IF(M866/K866&gt;1,K866,M866),0)</f>
        <v/>
      </c>
      <c r="O866" s="36" t="n">
        <v>900</v>
      </c>
      <c r="P866" s="21">
        <f>O866*H866</f>
        <v/>
      </c>
      <c r="Q866" s="30">
        <f>IF(MONTH(E866+1)=MONTH(E866+6),MONTH(E866+1),IF(MIN(EOMONTH(E866+1,0),E866+6)-(E866+1)+1&gt;=3,MONTH(E866+1),MONTH(E866+6)))</f>
        <v/>
      </c>
      <c r="R866" s="22">
        <f>IFERROR(K866/P866, 0)</f>
        <v/>
      </c>
      <c r="S866" s="38">
        <f>IFERROR(N866/P866,0)</f>
        <v/>
      </c>
      <c r="T866" s="31">
        <f>IFERROR(IF(N866&gt;0,(N866/K866),MIN(1,M866/J866)),0)</f>
        <v/>
      </c>
      <c r="U866" s="33" t="n"/>
    </row>
    <row r="867" hidden="1" s="40">
      <c r="A867" s="23" t="inlineStr">
        <is>
          <t>Semana 2 - Maio</t>
        </is>
      </c>
      <c r="B867" s="27">
        <f>YEAR(E867)</f>
        <v/>
      </c>
      <c r="C867" s="18">
        <f>INDEX({"Janeiro";"Fevereiro";"Março";"Abril";"Maio";"Junho";"Julho";"Agosto";"Setembro";"Outubro";"Novembro";"Dezembro"},Q867)</f>
        <v/>
      </c>
      <c r="D867" s="24" t="n">
        <v>2</v>
      </c>
      <c r="E867" s="25" t="n">
        <v>46153</v>
      </c>
      <c r="F867" s="23" t="inlineStr">
        <is>
          <t>Iogurte Vida Leve Morango 180g</t>
        </is>
      </c>
      <c r="G867" s="23" t="inlineStr">
        <is>
          <t>IOGURTE</t>
        </is>
      </c>
      <c r="H867" s="26" t="n">
        <v>0.185</v>
      </c>
      <c r="I867" s="36" t="n">
        <v>0</v>
      </c>
      <c r="J867" s="21">
        <f>I867*H867</f>
        <v/>
      </c>
      <c r="K867" s="21">
        <f>IFERROR(IF(J867/P867&gt;1,P867,J867),0)</f>
        <v/>
      </c>
      <c r="L867" s="36" t="n">
        <v>0</v>
      </c>
      <c r="M867" s="21">
        <f>L867*H867</f>
        <v/>
      </c>
      <c r="N867" s="21">
        <f>IFERROR(IF(M867/K867&gt;1,K867,M867),0)</f>
        <v/>
      </c>
      <c r="O867" s="36" t="n">
        <v>0</v>
      </c>
      <c r="P867" s="21">
        <f>O867*H867</f>
        <v/>
      </c>
      <c r="Q867" s="30">
        <f>IF(MONTH(E867+1)=MONTH(E867+6),MONTH(E867+1),IF(MIN(EOMONTH(E867+1,0),E867+6)-(E867+1)+1&gt;=3,MONTH(E867+1),MONTH(E867+6)))</f>
        <v/>
      </c>
      <c r="R867" s="22">
        <f>IFERROR(K867/P867, 0)</f>
        <v/>
      </c>
      <c r="S867" s="38">
        <f>IFERROR(N867/P867,0)</f>
        <v/>
      </c>
      <c r="T867" s="31">
        <f>IFERROR(IF(N867&gt;0,(N867/K867),MIN(1,M867/J867)),0)</f>
        <v/>
      </c>
      <c r="U867" s="33" t="n"/>
    </row>
    <row r="868" hidden="1" s="40">
      <c r="A868" s="18" t="inlineStr">
        <is>
          <t>Semana 2 - Maio</t>
        </is>
      </c>
      <c r="B868" s="27">
        <f>YEAR(E868)</f>
        <v/>
      </c>
      <c r="C868" s="18">
        <f>INDEX({"Janeiro";"Fevereiro";"Março";"Abril";"Maio";"Junho";"Julho";"Agosto";"Setembro";"Outubro";"Novembro";"Dezembro"},Q868)</f>
        <v/>
      </c>
      <c r="D868" s="19" t="n">
        <v>2</v>
      </c>
      <c r="E868" s="20" t="n">
        <v>46153</v>
      </c>
      <c r="F868" s="18" t="inlineStr">
        <is>
          <t>Iogurte Vida Leve Morango 500g</t>
        </is>
      </c>
      <c r="G868" s="18" t="inlineStr">
        <is>
          <t>IOGURTE</t>
        </is>
      </c>
      <c r="H868" s="21" t="n">
        <v>0.5</v>
      </c>
      <c r="I868" s="36" t="n">
        <v>0</v>
      </c>
      <c r="J868" s="21">
        <f>I868*H868</f>
        <v/>
      </c>
      <c r="K868" s="21">
        <f>IFERROR(IF(J868/P868&gt;1,P868,J868),0)</f>
        <v/>
      </c>
      <c r="L868" s="36" t="n">
        <v>0</v>
      </c>
      <c r="M868" s="21">
        <f>L868*H868</f>
        <v/>
      </c>
      <c r="N868" s="21">
        <f>IFERROR(IF(M868/K868&gt;1,K868,M868),0)</f>
        <v/>
      </c>
      <c r="O868" s="36" t="n">
        <v>0</v>
      </c>
      <c r="P868" s="21">
        <f>O868*H868</f>
        <v/>
      </c>
      <c r="Q868" s="30">
        <f>IF(MONTH(E868+1)=MONTH(E868+6),MONTH(E868+1),IF(MIN(EOMONTH(E868+1,0),E868+6)-(E868+1)+1&gt;=3,MONTH(E868+1),MONTH(E868+6)))</f>
        <v/>
      </c>
      <c r="R868" s="22">
        <f>IFERROR(K868/P868, 0)</f>
        <v/>
      </c>
      <c r="S868" s="38">
        <f>IFERROR(N868/P868,0)</f>
        <v/>
      </c>
      <c r="T868" s="31">
        <f>IFERROR(IF(N868&gt;0,(N868/K868),MIN(1,M868/J868)),0)</f>
        <v/>
      </c>
      <c r="U868" s="33" t="n"/>
    </row>
    <row r="869" hidden="1" s="40">
      <c r="A869" s="23" t="inlineStr">
        <is>
          <t>Semana 2 - Maio</t>
        </is>
      </c>
      <c r="B869" s="27">
        <f>YEAR(E869)</f>
        <v/>
      </c>
      <c r="C869" s="18">
        <f>INDEX({"Janeiro";"Fevereiro";"Março";"Abril";"Maio";"Junho";"Julho";"Agosto";"Setembro";"Outubro";"Novembro";"Dezembro"},Q869)</f>
        <v/>
      </c>
      <c r="D869" s="24" t="n">
        <v>2</v>
      </c>
      <c r="E869" s="25" t="n">
        <v>46153</v>
      </c>
      <c r="F869" s="23" t="inlineStr">
        <is>
          <t>LEITE PASTEURIZADO VIÇOSA DESNATADO</t>
        </is>
      </c>
      <c r="G869" s="23" t="inlineStr">
        <is>
          <t>LEITE PAST.</t>
        </is>
      </c>
      <c r="H869" s="26" t="n">
        <v>1</v>
      </c>
      <c r="I869" s="36" t="n">
        <v>850</v>
      </c>
      <c r="J869" s="21">
        <f>I869*H869</f>
        <v/>
      </c>
      <c r="K869" s="21">
        <f>IFERROR(IF(J869/P869&gt;1,P869,J869),0)</f>
        <v/>
      </c>
      <c r="L869" s="36" t="n">
        <v>838</v>
      </c>
      <c r="M869" s="21">
        <f>L869*H869</f>
        <v/>
      </c>
      <c r="N869" s="21">
        <f>IFERROR(IF(M869/K869&gt;1,K869,M869),0)</f>
        <v/>
      </c>
      <c r="O869" s="36" t="n">
        <v>850</v>
      </c>
      <c r="P869" s="21">
        <f>O869*H869</f>
        <v/>
      </c>
      <c r="Q869" s="30">
        <f>IF(MONTH(E869+1)=MONTH(E869+6),MONTH(E869+1),IF(MIN(EOMONTH(E869+1,0),E869+6)-(E869+1)+1&gt;=3,MONTH(E869+1),MONTH(E869+6)))</f>
        <v/>
      </c>
      <c r="R869" s="22">
        <f>IFERROR(K869/P869, 0)</f>
        <v/>
      </c>
      <c r="S869" s="38">
        <f>IFERROR(N869/P869,0)</f>
        <v/>
      </c>
      <c r="T869" s="31">
        <f>IFERROR(IF(N869&gt;0,(N869/K869),MIN(1,M869/J869)),0)</f>
        <v/>
      </c>
      <c r="U869" s="33" t="n"/>
    </row>
    <row r="870" hidden="1" s="40">
      <c r="A870" s="18" t="inlineStr">
        <is>
          <t>Semana 2 - Maio</t>
        </is>
      </c>
      <c r="B870" s="27">
        <f>YEAR(E870)</f>
        <v/>
      </c>
      <c r="C870" s="18">
        <f>INDEX({"Janeiro";"Fevereiro";"Março";"Abril";"Maio";"Junho";"Julho";"Agosto";"Setembro";"Outubro";"Novembro";"Dezembro"},Q870)</f>
        <v/>
      </c>
      <c r="D870" s="19" t="n">
        <v>2</v>
      </c>
      <c r="E870" s="20" t="n">
        <v>46153</v>
      </c>
      <c r="F870" s="18" t="inlineStr">
        <is>
          <t>LEITE PASTEURIZADO VIÇOSA INTEGRAL</t>
        </is>
      </c>
      <c r="G870" s="18" t="inlineStr">
        <is>
          <t>LEITE PAST.</t>
        </is>
      </c>
      <c r="H870" s="21" t="n">
        <v>1</v>
      </c>
      <c r="I870" s="36" t="n">
        <v>21900</v>
      </c>
      <c r="J870" s="21">
        <f>I870*H870</f>
        <v/>
      </c>
      <c r="K870" s="21">
        <f>IFERROR(IF(J870/P870&gt;1,P870,J870),0)</f>
        <v/>
      </c>
      <c r="L870" s="36" t="n">
        <v>22003</v>
      </c>
      <c r="M870" s="21">
        <f>L870*H870</f>
        <v/>
      </c>
      <c r="N870" s="21">
        <f>IFERROR(IF(M870/K870&gt;1,K870,M870),0)</f>
        <v/>
      </c>
      <c r="O870" s="36" t="n">
        <v>21900</v>
      </c>
      <c r="P870" s="21">
        <f>O870*H870</f>
        <v/>
      </c>
      <c r="Q870" s="30">
        <f>IF(MONTH(E870+1)=MONTH(E870+6),MONTH(E870+1),IF(MIN(EOMONTH(E870+1,0),E870+6)-(E870+1)+1&gt;=3,MONTH(E870+1),MONTH(E870+6)))</f>
        <v/>
      </c>
      <c r="R870" s="22">
        <f>IFERROR(K870/P870, 0)</f>
        <v/>
      </c>
      <c r="S870" s="38">
        <f>IFERROR(N870/P870,0)</f>
        <v/>
      </c>
      <c r="T870" s="31">
        <f>IFERROR(IF(N870&gt;0,(N870/K870),MIN(1,M870/J870)),0)</f>
        <v/>
      </c>
      <c r="U870" s="33" t="n"/>
    </row>
    <row r="871" hidden="1" s="40">
      <c r="A871" s="23" t="inlineStr">
        <is>
          <t>Semana 2 - Maio</t>
        </is>
      </c>
      <c r="B871" s="27">
        <f>YEAR(E871)</f>
        <v/>
      </c>
      <c r="C871" s="18">
        <f>INDEX({"Janeiro";"Fevereiro";"Março";"Abril";"Maio";"Junho";"Julho";"Agosto";"Setembro";"Outubro";"Novembro";"Dezembro"},Q871)</f>
        <v/>
      </c>
      <c r="D871" s="24" t="n">
        <v>2</v>
      </c>
      <c r="E871" s="25" t="n">
        <v>46153</v>
      </c>
      <c r="F871" s="23" t="inlineStr">
        <is>
          <t>LEITE PASTEURIZADO VIÇOSA ZERO LACTOSE INTEGRAL 1 L</t>
        </is>
      </c>
      <c r="G871" s="23" t="inlineStr">
        <is>
          <t>LEITE PAST.</t>
        </is>
      </c>
      <c r="H871" s="26" t="n">
        <v>1</v>
      </c>
      <c r="I871" s="36" t="n">
        <v>910</v>
      </c>
      <c r="J871" s="21">
        <f>I871*H871</f>
        <v/>
      </c>
      <c r="K871" s="21">
        <f>IFERROR(IF(J871/P871&gt;1,P871,J871),0)</f>
        <v/>
      </c>
      <c r="L871" s="36" t="n">
        <v>1280</v>
      </c>
      <c r="M871" s="21">
        <f>L871*H871</f>
        <v/>
      </c>
      <c r="N871" s="21">
        <f>IFERROR(IF(M871/K871&gt;1,K871,M871),0)</f>
        <v/>
      </c>
      <c r="O871" s="36" t="n">
        <v>910</v>
      </c>
      <c r="P871" s="21">
        <f>O871*H871</f>
        <v/>
      </c>
      <c r="Q871" s="30">
        <f>IF(MONTH(E871+1)=MONTH(E871+6),MONTH(E871+1),IF(MIN(EOMONTH(E871+1,0),E871+6)-(E871+1)+1&gt;=3,MONTH(E871+1),MONTH(E871+6)))</f>
        <v/>
      </c>
      <c r="R871" s="22">
        <f>IFERROR(K871/P871, 0)</f>
        <v/>
      </c>
      <c r="S871" s="38">
        <f>IFERROR(N871/P871,0)</f>
        <v/>
      </c>
      <c r="T871" s="31">
        <f>IFERROR(IF(N871&gt;0,(N871/K871),MIN(1,M871/J871)),0)</f>
        <v/>
      </c>
      <c r="U871" s="33" t="n"/>
    </row>
    <row r="872" hidden="1" s="40">
      <c r="A872" s="18" t="inlineStr">
        <is>
          <t>Semana 2 - Maio</t>
        </is>
      </c>
      <c r="B872" s="27">
        <f>YEAR(E872)</f>
        <v/>
      </c>
      <c r="C872" s="18">
        <f>INDEX({"Janeiro";"Fevereiro";"Março";"Abril";"Maio";"Junho";"Julho";"Agosto";"Setembro";"Outubro";"Novembro";"Dezembro"},Q872)</f>
        <v/>
      </c>
      <c r="D872" s="19" t="n">
        <v>2</v>
      </c>
      <c r="E872" s="20" t="n">
        <v>46153</v>
      </c>
      <c r="F872" s="18" t="inlineStr">
        <is>
          <t>Manteiga 200g</t>
        </is>
      </c>
      <c r="G872" s="18" t="inlineStr">
        <is>
          <t>MANTEIGA</t>
        </is>
      </c>
      <c r="H872" s="21" t="n">
        <v>0.2</v>
      </c>
      <c r="I872" s="36" t="n">
        <v>3750</v>
      </c>
      <c r="J872" s="21">
        <f>I872*H872</f>
        <v/>
      </c>
      <c r="K872" s="21">
        <f>IFERROR(IF(J872/P872&gt;1,P872,J872),0)</f>
        <v/>
      </c>
      <c r="L872" s="36" t="n">
        <v>2465</v>
      </c>
      <c r="M872" s="21">
        <f>L872*H872</f>
        <v/>
      </c>
      <c r="N872" s="21">
        <f>IFERROR(IF(M872/K872&gt;1,K872,M872),0)</f>
        <v/>
      </c>
      <c r="O872" s="36" t="n">
        <v>1250</v>
      </c>
      <c r="P872" s="21">
        <f>O872*H872</f>
        <v/>
      </c>
      <c r="Q872" s="30">
        <f>IF(MONTH(E872+1)=MONTH(E872+6),MONTH(E872+1),IF(MIN(EOMONTH(E872+1,0),E872+6)-(E872+1)+1&gt;=3,MONTH(E872+1),MONTH(E872+6)))</f>
        <v/>
      </c>
      <c r="R872" s="22">
        <f>IFERROR(K872/P872, 0)</f>
        <v/>
      </c>
      <c r="S872" s="38">
        <f>IFERROR(N872/P872,0)</f>
        <v/>
      </c>
      <c r="T872" s="31">
        <f>IFERROR(IF(N872&gt;0,(N872/K872),MIN(1,M872/J872)),0)</f>
        <v/>
      </c>
      <c r="U872" s="33" t="n"/>
    </row>
    <row r="873" hidden="1" s="40">
      <c r="A873" s="23" t="inlineStr">
        <is>
          <t>Semana 2 - Maio</t>
        </is>
      </c>
      <c r="B873" s="27">
        <f>YEAR(E873)</f>
        <v/>
      </c>
      <c r="C873" s="18">
        <f>INDEX({"Janeiro";"Fevereiro";"Março";"Abril";"Maio";"Junho";"Julho";"Agosto";"Setembro";"Outubro";"Novembro";"Dezembro"},Q873)</f>
        <v/>
      </c>
      <c r="D873" s="24" t="n">
        <v>2</v>
      </c>
      <c r="E873" s="25" t="n">
        <v>46153</v>
      </c>
      <c r="F873" s="23" t="inlineStr">
        <is>
          <t>Manteiga 500g</t>
        </is>
      </c>
      <c r="G873" s="23" t="inlineStr">
        <is>
          <t>MANTEIGA</t>
        </is>
      </c>
      <c r="H873" s="26" t="n">
        <v>0.5</v>
      </c>
      <c r="I873" s="36" t="n">
        <v>550</v>
      </c>
      <c r="J873" s="21">
        <f>I873*H873</f>
        <v/>
      </c>
      <c r="K873" s="21">
        <f>IFERROR(IF(J873/P873&gt;1,P873,J873),0)</f>
        <v/>
      </c>
      <c r="L873" s="36" t="n">
        <v>497</v>
      </c>
      <c r="M873" s="21">
        <f>L873*H873</f>
        <v/>
      </c>
      <c r="N873" s="21">
        <f>IFERROR(IF(M873/K873&gt;1,K873,M873),0)</f>
        <v/>
      </c>
      <c r="O873" s="36" t="n">
        <v>0</v>
      </c>
      <c r="P873" s="21">
        <f>O873*H873</f>
        <v/>
      </c>
      <c r="Q873" s="30">
        <f>IF(MONTH(E873+1)=MONTH(E873+6),MONTH(E873+1),IF(MIN(EOMONTH(E873+1,0),E873+6)-(E873+1)+1&gt;=3,MONTH(E873+1),MONTH(E873+6)))</f>
        <v/>
      </c>
      <c r="R873" s="22">
        <f>IFERROR(K873/P873, 0)</f>
        <v/>
      </c>
      <c r="S873" s="38">
        <f>IFERROR(N873/P873,0)</f>
        <v/>
      </c>
      <c r="T873" s="31">
        <f>IFERROR(IF(N873&gt;0,(N873/K873),MIN(1,M873/J873)),0)</f>
        <v/>
      </c>
      <c r="U873" s="33" t="n"/>
    </row>
    <row r="874" hidden="1" s="40">
      <c r="A874" s="18" t="inlineStr">
        <is>
          <t>Semana 2 - Maio</t>
        </is>
      </c>
      <c r="B874" s="27">
        <f>YEAR(E874)</f>
        <v/>
      </c>
      <c r="C874" s="18">
        <f>INDEX({"Janeiro";"Fevereiro";"Março";"Abril";"Maio";"Junho";"Julho";"Agosto";"Setembro";"Outubro";"Novembro";"Dezembro"},Q874)</f>
        <v/>
      </c>
      <c r="D874" s="19" t="n">
        <v>2</v>
      </c>
      <c r="E874" s="20" t="n">
        <v>46153</v>
      </c>
      <c r="F874" s="18" t="inlineStr">
        <is>
          <t>QUEIJO MINAS MEIA CURA (FRACIONADO)</t>
        </is>
      </c>
      <c r="G874" s="18" t="inlineStr">
        <is>
          <t>QUEIJO</t>
        </is>
      </c>
      <c r="H874" s="21" t="n">
        <v>1</v>
      </c>
      <c r="I874" s="36" t="n">
        <v>0</v>
      </c>
      <c r="J874" s="21">
        <f>I874*H874</f>
        <v/>
      </c>
      <c r="K874" s="21">
        <f>IFERROR(IF(J874/P874&gt;1,P874,J874),0)</f>
        <v/>
      </c>
      <c r="L874" s="36" t="n">
        <v>0</v>
      </c>
      <c r="M874" s="21">
        <f>L874*H874</f>
        <v/>
      </c>
      <c r="N874" s="21">
        <f>IFERROR(IF(M874/K874&gt;1,K874,M874),0)</f>
        <v/>
      </c>
      <c r="O874" s="36" t="n">
        <v>0</v>
      </c>
      <c r="P874" s="21">
        <f>O874*H874</f>
        <v/>
      </c>
      <c r="Q874" s="30">
        <f>IF(MONTH(E874+1)=MONTH(E874+6),MONTH(E874+1),IF(MIN(EOMONTH(E874+1,0),E874+6)-(E874+1)+1&gt;=3,MONTH(E874+1),MONTH(E874+6)))</f>
        <v/>
      </c>
      <c r="R874" s="22">
        <f>IFERROR(K874/P874, 0)</f>
        <v/>
      </c>
      <c r="S874" s="38">
        <f>IFERROR(N874/P874,0)</f>
        <v/>
      </c>
      <c r="T874" s="31">
        <f>IFERROR(IF(N874&gt;0,(N874/K874),MIN(1,M874/J874)),0)</f>
        <v/>
      </c>
      <c r="U874" s="33" t="n"/>
    </row>
    <row r="875" hidden="1" s="40">
      <c r="A875" s="23" t="inlineStr">
        <is>
          <t>Semana 2 - Maio</t>
        </is>
      </c>
      <c r="B875" s="27">
        <f>YEAR(E875)</f>
        <v/>
      </c>
      <c r="C875" s="18">
        <f>INDEX({"Janeiro";"Fevereiro";"Março";"Abril";"Maio";"Junho";"Julho";"Agosto";"Setembro";"Outubro";"Novembro";"Dezembro"},Q875)</f>
        <v/>
      </c>
      <c r="D875" s="24" t="n">
        <v>2</v>
      </c>
      <c r="E875" s="25" t="n">
        <v>46153</v>
      </c>
      <c r="F875" s="23" t="inlineStr">
        <is>
          <t>QUEIJO MINAS MEIA CURA (INTEIRO)</t>
        </is>
      </c>
      <c r="G875" s="23" t="inlineStr">
        <is>
          <t>QUEIJO</t>
        </is>
      </c>
      <c r="H875" s="26" t="n">
        <v>1</v>
      </c>
      <c r="I875" s="36" t="n">
        <v>200</v>
      </c>
      <c r="J875" s="21">
        <f>I875*H875</f>
        <v/>
      </c>
      <c r="K875" s="21">
        <f>IFERROR(IF(J875/P875&gt;1,P875,J875),0)</f>
        <v/>
      </c>
      <c r="L875" s="36" t="n">
        <v>200</v>
      </c>
      <c r="M875" s="21">
        <f>L875*H875</f>
        <v/>
      </c>
      <c r="N875" s="21">
        <f>IFERROR(IF(M875/K875&gt;1,K875,M875),0)</f>
        <v/>
      </c>
      <c r="O875" s="36" t="n">
        <v>200</v>
      </c>
      <c r="P875" s="21">
        <f>O875*H875</f>
        <v/>
      </c>
      <c r="Q875" s="30">
        <f>IF(MONTH(E875+1)=MONTH(E875+6),MONTH(E875+1),IF(MIN(EOMONTH(E875+1,0),E875+6)-(E875+1)+1&gt;=3,MONTH(E875+1),MONTH(E875+6)))</f>
        <v/>
      </c>
      <c r="R875" s="22">
        <f>IFERROR(K875/P875, 0)</f>
        <v/>
      </c>
      <c r="S875" s="38">
        <f>IFERROR(N875/P875,0)</f>
        <v/>
      </c>
      <c r="T875" s="31">
        <f>IFERROR(IF(N875&gt;0,(N875/K875),MIN(1,M875/J875)),0)</f>
        <v/>
      </c>
      <c r="U875" s="33" t="n"/>
    </row>
    <row r="876" hidden="1" s="40">
      <c r="A876" s="18" t="inlineStr">
        <is>
          <t>Semana 2 - Maio</t>
        </is>
      </c>
      <c r="B876" s="27">
        <f>YEAR(E876)</f>
        <v/>
      </c>
      <c r="C876" s="18">
        <f>INDEX({"Janeiro";"Fevereiro";"Março";"Abril";"Maio";"Junho";"Julho";"Agosto";"Setembro";"Outubro";"Novembro";"Dezembro"},Q876)</f>
        <v/>
      </c>
      <c r="D876" s="19" t="n">
        <v>2</v>
      </c>
      <c r="E876" s="20" t="n">
        <v>46153</v>
      </c>
      <c r="F876" s="18" t="inlineStr">
        <is>
          <t xml:space="preserve">QUEIJO MINAS PADRÃO VIÇOSA FRACIONADO </t>
        </is>
      </c>
      <c r="G876" s="18" t="inlineStr">
        <is>
          <t>QUEIJO</t>
        </is>
      </c>
      <c r="H876" s="21" t="n">
        <v>1</v>
      </c>
      <c r="I876" s="36" t="n">
        <v>200</v>
      </c>
      <c r="J876" s="21">
        <f>I876*H876</f>
        <v/>
      </c>
      <c r="K876" s="21">
        <f>IFERROR(IF(J876/P876&gt;1,P876,J876),0)</f>
        <v/>
      </c>
      <c r="L876" s="36" t="n">
        <v>200</v>
      </c>
      <c r="M876" s="21">
        <f>L876*H876</f>
        <v/>
      </c>
      <c r="N876" s="21">
        <f>IFERROR(IF(M876/K876&gt;1,K876,M876),0)</f>
        <v/>
      </c>
      <c r="O876" s="36" t="n">
        <v>200</v>
      </c>
      <c r="P876" s="21">
        <f>O876*H876</f>
        <v/>
      </c>
      <c r="Q876" s="30">
        <f>IF(MONTH(E876+1)=MONTH(E876+6),MONTH(E876+1),IF(MIN(EOMONTH(E876+1,0),E876+6)-(E876+1)+1&gt;=3,MONTH(E876+1),MONTH(E876+6)))</f>
        <v/>
      </c>
      <c r="R876" s="22">
        <f>IFERROR(K876/P876, 0)</f>
        <v/>
      </c>
      <c r="S876" s="38">
        <f>IFERROR(N876/P876,0)</f>
        <v/>
      </c>
      <c r="T876" s="31">
        <f>IFERROR(IF(N876&gt;0,(N876/K876),MIN(1,M876/J876)),0)</f>
        <v/>
      </c>
      <c r="U876" s="33" t="n"/>
    </row>
    <row r="877" hidden="1" s="40">
      <c r="A877" s="23" t="inlineStr">
        <is>
          <t>Semana 2 - Maio</t>
        </is>
      </c>
      <c r="B877" s="27">
        <f>YEAR(E877)</f>
        <v/>
      </c>
      <c r="C877" s="18">
        <f>INDEX({"Janeiro";"Fevereiro";"Março";"Abril";"Maio";"Junho";"Julho";"Agosto";"Setembro";"Outubro";"Novembro";"Dezembro"},Q877)</f>
        <v/>
      </c>
      <c r="D877" s="24" t="n">
        <v>2</v>
      </c>
      <c r="E877" s="25" t="n">
        <v>46153</v>
      </c>
      <c r="F877" s="23" t="inlineStr">
        <is>
          <t>QUEIJO MUSSARELA 3KG</t>
        </is>
      </c>
      <c r="G877" s="23" t="inlineStr">
        <is>
          <t>QUEIJO</t>
        </is>
      </c>
      <c r="H877" s="26" t="n">
        <v>1</v>
      </c>
      <c r="I877" s="36" t="n">
        <v>800</v>
      </c>
      <c r="J877" s="21">
        <f>I877*H877</f>
        <v/>
      </c>
      <c r="K877" s="21">
        <f>IFERROR(IF(J877/P877&gt;1,P877,J877),0)</f>
        <v/>
      </c>
      <c r="L877" s="36" t="n">
        <v>800</v>
      </c>
      <c r="M877" s="21">
        <f>L877*H877</f>
        <v/>
      </c>
      <c r="N877" s="21">
        <f>IFERROR(IF(M877/K877&gt;1,K877,M877),0)</f>
        <v/>
      </c>
      <c r="O877" s="36" t="n">
        <v>800</v>
      </c>
      <c r="P877" s="21">
        <f>O877*H877</f>
        <v/>
      </c>
      <c r="Q877" s="30">
        <f>IF(MONTH(E877+1)=MONTH(E877+6),MONTH(E877+1),IF(MIN(EOMONTH(E877+1,0),E877+6)-(E877+1)+1&gt;=3,MONTH(E877+1),MONTH(E877+6)))</f>
        <v/>
      </c>
      <c r="R877" s="22">
        <f>IFERROR(K877/P877, 0)</f>
        <v/>
      </c>
      <c r="S877" s="38">
        <f>IFERROR(N877/P877,0)</f>
        <v/>
      </c>
      <c r="T877" s="31">
        <f>IFERROR(IF(N877&gt;0,(N877/K877),MIN(1,M877/J877)),0)</f>
        <v/>
      </c>
      <c r="U877" s="33" t="n"/>
    </row>
    <row r="878" hidden="1" s="40">
      <c r="A878" s="18" t="inlineStr">
        <is>
          <t>Semana 2 - Maio</t>
        </is>
      </c>
      <c r="B878" s="27">
        <f>YEAR(E878)</f>
        <v/>
      </c>
      <c r="C878" s="18">
        <f>INDEX({"Janeiro";"Fevereiro";"Março";"Abril";"Maio";"Junho";"Julho";"Agosto";"Setembro";"Outubro";"Novembro";"Dezembro"},Q878)</f>
        <v/>
      </c>
      <c r="D878" s="19" t="n">
        <v>2</v>
      </c>
      <c r="E878" s="20" t="n">
        <v>46153</v>
      </c>
      <c r="F878" s="18" t="inlineStr">
        <is>
          <t>QUEIJO MUSSARELA LANCHE</t>
        </is>
      </c>
      <c r="G878" s="18" t="inlineStr">
        <is>
          <t>QUEIJO</t>
        </is>
      </c>
      <c r="H878" s="21" t="n">
        <v>1</v>
      </c>
      <c r="I878" s="36" t="n">
        <v>200</v>
      </c>
      <c r="J878" s="21">
        <f>I878*H878</f>
        <v/>
      </c>
      <c r="K878" s="21">
        <f>IFERROR(IF(J878/P878&gt;1,P878,J878),0)</f>
        <v/>
      </c>
      <c r="L878" s="36" t="n">
        <v>200</v>
      </c>
      <c r="M878" s="21">
        <f>L878*H878</f>
        <v/>
      </c>
      <c r="N878" s="21">
        <f>IFERROR(IF(M878/K878&gt;1,K878,M878),0)</f>
        <v/>
      </c>
      <c r="O878" s="36" t="n">
        <v>200</v>
      </c>
      <c r="P878" s="21">
        <f>O878*H878</f>
        <v/>
      </c>
      <c r="Q878" s="30">
        <f>IF(MONTH(E878+1)=MONTH(E878+6),MONTH(E878+1),IF(MIN(EOMONTH(E878+1,0),E878+6)-(E878+1)+1&gt;=3,MONTH(E878+1),MONTH(E878+6)))</f>
        <v/>
      </c>
      <c r="R878" s="22">
        <f>IFERROR(K878/P878, 0)</f>
        <v/>
      </c>
      <c r="S878" s="38">
        <f>IFERROR(N878/P878,0)</f>
        <v/>
      </c>
      <c r="T878" s="31">
        <f>IFERROR(IF(N878&gt;0,(N878/K878),MIN(1,M878/J878)),0)</f>
        <v/>
      </c>
      <c r="U878" s="33" t="n"/>
    </row>
    <row r="879" hidden="1" s="40">
      <c r="A879" s="23" t="inlineStr">
        <is>
          <t>Semana 2 - Maio</t>
        </is>
      </c>
      <c r="B879" s="27">
        <f>YEAR(E879)</f>
        <v/>
      </c>
      <c r="C879" s="18">
        <f>INDEX({"Janeiro";"Fevereiro";"Março";"Abril";"Maio";"Junho";"Julho";"Agosto";"Setembro";"Outubro";"Novembro";"Dezembro"},Q879)</f>
        <v/>
      </c>
      <c r="D879" s="24" t="n">
        <v>2</v>
      </c>
      <c r="E879" s="25" t="n">
        <v>46153</v>
      </c>
      <c r="F879" s="23" t="inlineStr">
        <is>
          <t>REQUEIJÃO VIÇOSA 200g</t>
        </is>
      </c>
      <c r="G879" s="23" t="inlineStr">
        <is>
          <t>REQUEIJÃO</t>
        </is>
      </c>
      <c r="H879" s="26" t="n">
        <v>0.2</v>
      </c>
      <c r="I879" s="36" t="n">
        <v>3200</v>
      </c>
      <c r="J879" s="21">
        <f>I879*H879</f>
        <v/>
      </c>
      <c r="K879" s="21">
        <f>IFERROR(IF(J879/P879&gt;1,P879,J879),0)</f>
        <v/>
      </c>
      <c r="L879" s="36" t="n">
        <v>3349</v>
      </c>
      <c r="M879" s="21">
        <f>L879*H879</f>
        <v/>
      </c>
      <c r="N879" s="21">
        <f>IFERROR(IF(M879/K879&gt;1,K879,M879),0)</f>
        <v/>
      </c>
      <c r="O879" s="36" t="n">
        <v>3200</v>
      </c>
      <c r="P879" s="21">
        <f>O879*H879</f>
        <v/>
      </c>
      <c r="Q879" s="30">
        <f>IF(MONTH(E879+1)=MONTH(E879+6),MONTH(E879+1),IF(MIN(EOMONTH(E879+1,0),E879+6)-(E879+1)+1&gt;=3,MONTH(E879+1),MONTH(E879+6)))</f>
        <v/>
      </c>
      <c r="R879" s="22">
        <f>IFERROR(K879/P879, 0)</f>
        <v/>
      </c>
      <c r="S879" s="38">
        <f>IFERROR(N879/P879,0)</f>
        <v/>
      </c>
      <c r="T879" s="31">
        <f>IFERROR(IF(N879&gt;0,(N879/K879),MIN(1,M879/J879)),0)</f>
        <v/>
      </c>
      <c r="U879" s="33" t="n"/>
    </row>
    <row r="880" hidden="1" s="40">
      <c r="A880" s="18" t="inlineStr">
        <is>
          <t>Semana 2 - Maio</t>
        </is>
      </c>
      <c r="B880" s="27">
        <f>YEAR(E880)</f>
        <v/>
      </c>
      <c r="C880" s="18">
        <f>INDEX({"Janeiro";"Fevereiro";"Março";"Abril";"Maio";"Junho";"Julho";"Agosto";"Setembro";"Outubro";"Novembro";"Dezembro"},Q880)</f>
        <v/>
      </c>
      <c r="D880" s="19" t="n">
        <v>2</v>
      </c>
      <c r="E880" s="20" t="n">
        <v>46153</v>
      </c>
      <c r="F880" s="18" t="inlineStr">
        <is>
          <t>REQUEIJÃO VIÇOSA 400g</t>
        </is>
      </c>
      <c r="G880" s="18" t="inlineStr">
        <is>
          <t>REQUEIJÃO</t>
        </is>
      </c>
      <c r="H880" s="21" t="n">
        <v>0.4</v>
      </c>
      <c r="I880" s="36" t="n">
        <v>1200</v>
      </c>
      <c r="J880" s="21">
        <f>I880*H880</f>
        <v/>
      </c>
      <c r="K880" s="21">
        <f>IFERROR(IF(J880/P880&gt;1,P880,J880),0)</f>
        <v/>
      </c>
      <c r="L880" s="36" t="n">
        <v>1925</v>
      </c>
      <c r="M880" s="21">
        <f>L880*H880</f>
        <v/>
      </c>
      <c r="N880" s="21">
        <f>IFERROR(IF(M880/K880&gt;1,K880,M880),0)</f>
        <v/>
      </c>
      <c r="O880" s="36" t="n">
        <v>1200</v>
      </c>
      <c r="P880" s="21">
        <f>O880*H880</f>
        <v/>
      </c>
      <c r="Q880" s="30">
        <f>IF(MONTH(E880+1)=MONTH(E880+6),MONTH(E880+1),IF(MIN(EOMONTH(E880+1,0),E880+6)-(E880+1)+1&gt;=3,MONTH(E880+1),MONTH(E880+6)))</f>
        <v/>
      </c>
      <c r="R880" s="22">
        <f>IFERROR(K880/P880, 0)</f>
        <v/>
      </c>
      <c r="S880" s="38">
        <f>IFERROR(N880/P880,0)</f>
        <v/>
      </c>
      <c r="T880" s="31">
        <f>IFERROR(IF(N880&gt;0,(N880/K880),MIN(1,M880/J880)),0)</f>
        <v/>
      </c>
      <c r="U880" s="33" t="n"/>
    </row>
    <row r="881" hidden="1" s="40">
      <c r="A881" s="23" t="inlineStr">
        <is>
          <t>Semana 2 - Maio</t>
        </is>
      </c>
      <c r="B881" s="27">
        <f>YEAR(E881)</f>
        <v/>
      </c>
      <c r="C881" s="18">
        <f>INDEX({"Janeiro";"Fevereiro";"Março";"Abril";"Maio";"Junho";"Julho";"Agosto";"Setembro";"Outubro";"Novembro";"Dezembro"},Q881)</f>
        <v/>
      </c>
      <c r="D881" s="24" t="n">
        <v>2</v>
      </c>
      <c r="E881" s="25" t="n">
        <v>46153</v>
      </c>
      <c r="F881" s="23" t="inlineStr">
        <is>
          <t>Requeijão Light 200g</t>
        </is>
      </c>
      <c r="G881" s="23" t="inlineStr">
        <is>
          <t>REQUEIJÃO</t>
        </is>
      </c>
      <c r="H881" s="26" t="n">
        <v>0.2</v>
      </c>
      <c r="I881" s="36" t="n">
        <v>600</v>
      </c>
      <c r="J881" s="21">
        <f>I881*H881</f>
        <v/>
      </c>
      <c r="K881" s="21">
        <f>IFERROR(IF(J881/P881&gt;1,P881,J881),0)</f>
        <v/>
      </c>
      <c r="L881" s="36" t="n">
        <v>602</v>
      </c>
      <c r="M881" s="21">
        <f>L881*H881</f>
        <v/>
      </c>
      <c r="N881" s="21">
        <f>IFERROR(IF(M881/K881&gt;1,K881,M881),0)</f>
        <v/>
      </c>
      <c r="O881" s="36" t="n">
        <v>600</v>
      </c>
      <c r="P881" s="21">
        <f>O881*H881</f>
        <v/>
      </c>
      <c r="Q881" s="30">
        <f>IF(MONTH(E881+1)=MONTH(E881+6),MONTH(E881+1),IF(MIN(EOMONTH(E881+1,0),E881+6)-(E881+1)+1&gt;=3,MONTH(E881+1),MONTH(E881+6)))</f>
        <v/>
      </c>
      <c r="R881" s="22">
        <f>IFERROR(K881/P881, 0)</f>
        <v/>
      </c>
      <c r="S881" s="38">
        <f>IFERROR(N881/P881,0)</f>
        <v/>
      </c>
      <c r="T881" s="31">
        <f>IFERROR(IF(N881&gt;0,(N881/K881),MIN(1,M881/J881)),0)</f>
        <v/>
      </c>
      <c r="U881" s="33" t="n"/>
    </row>
    <row r="882" hidden="1" s="40">
      <c r="A882" s="18" t="inlineStr">
        <is>
          <t>Semana 2 - Maio</t>
        </is>
      </c>
      <c r="B882" s="27">
        <f>YEAR(E882)</f>
        <v/>
      </c>
      <c r="C882" s="18">
        <f>INDEX({"Janeiro";"Fevereiro";"Março";"Abril";"Maio";"Junho";"Julho";"Agosto";"Setembro";"Outubro";"Novembro";"Dezembro"},Q882)</f>
        <v/>
      </c>
      <c r="D882" s="19" t="n">
        <v>2</v>
      </c>
      <c r="E882" s="20" t="n">
        <v>46153</v>
      </c>
      <c r="F882" s="18" t="inlineStr">
        <is>
          <t>Creme de Ricota 200g</t>
        </is>
      </c>
      <c r="G882" s="18" t="inlineStr">
        <is>
          <t>RICOTA</t>
        </is>
      </c>
      <c r="H882" s="21" t="n">
        <v>0.2</v>
      </c>
      <c r="I882" s="36" t="n">
        <v>1000</v>
      </c>
      <c r="J882" s="21">
        <f>I882*H882</f>
        <v/>
      </c>
      <c r="K882" s="21">
        <f>IFERROR(IF(J882/P882&gt;1,P882,J882),0)</f>
        <v/>
      </c>
      <c r="L882" s="36" t="n">
        <v>812</v>
      </c>
      <c r="M882" s="21">
        <f>L882*H882</f>
        <v/>
      </c>
      <c r="N882" s="21">
        <f>IFERROR(IF(M882/K882&gt;1,K882,M882),0)</f>
        <v/>
      </c>
      <c r="O882" s="36" t="n">
        <v>600</v>
      </c>
      <c r="P882" s="21">
        <f>O882*H882</f>
        <v/>
      </c>
      <c r="Q882" s="30">
        <f>IF(MONTH(E882+1)=MONTH(E882+6),MONTH(E882+1),IF(MIN(EOMONTH(E882+1,0),E882+6)-(E882+1)+1&gt;=3,MONTH(E882+1),MONTH(E882+6)))</f>
        <v/>
      </c>
      <c r="R882" s="22">
        <f>IFERROR(K882/P882, 0)</f>
        <v/>
      </c>
      <c r="S882" s="38">
        <f>IFERROR(N882/P882,0)</f>
        <v/>
      </c>
      <c r="T882" s="31">
        <f>IFERROR(IF(N882&gt;0,(N882/K882),MIN(1,M882/J882)),0)</f>
        <v/>
      </c>
      <c r="U882" s="33" t="n"/>
    </row>
    <row r="883" hidden="1" s="40">
      <c r="A883" s="23" t="inlineStr">
        <is>
          <t>Semana 3 - Maio</t>
        </is>
      </c>
      <c r="B883" s="27">
        <f>YEAR(E883)</f>
        <v/>
      </c>
      <c r="C883" s="18">
        <f>INDEX({"Janeiro";"Fevereiro";"Março";"Abril";"Maio";"Junho";"Julho";"Agosto";"Setembro";"Outubro";"Novembro";"Dezembro"},Q883)</f>
        <v/>
      </c>
      <c r="D883" s="24" t="n">
        <v>3</v>
      </c>
      <c r="E883" s="25" t="n">
        <v>46160</v>
      </c>
      <c r="F883" s="23" t="inlineStr">
        <is>
          <t>Doce de Leite 400g</t>
        </is>
      </c>
      <c r="G883" s="23" t="inlineStr">
        <is>
          <t>DOCE</t>
        </is>
      </c>
      <c r="H883" s="26" t="n">
        <v>0.4</v>
      </c>
      <c r="I883" s="36" t="n">
        <v>12000</v>
      </c>
      <c r="J883" s="21">
        <f>I883*H883</f>
        <v/>
      </c>
      <c r="K883" s="21">
        <f>IFERROR(IF(J883/P883&gt;1,P883,J883),0)</f>
        <v/>
      </c>
      <c r="L883" s="36" t="n">
        <v>12244</v>
      </c>
      <c r="M883" s="21">
        <f>L883*H883</f>
        <v/>
      </c>
      <c r="N883" s="21">
        <f>IFERROR(IF(M883/K883&gt;1,K883,M883),0)</f>
        <v/>
      </c>
      <c r="O883" s="36" t="n">
        <v>24000</v>
      </c>
      <c r="P883" s="21">
        <f>O883*H883</f>
        <v/>
      </c>
      <c r="Q883" s="30">
        <f>IF(MONTH(E883+1)=MONTH(E883+6),MONTH(E883+1),IF(MIN(EOMONTH(E883+1,0),E883+6)-(E883+1)+1&gt;=3,MONTH(E883+1),MONTH(E883+6)))</f>
        <v/>
      </c>
      <c r="R883" s="22">
        <f>IFERROR(K883/P883, 0)</f>
        <v/>
      </c>
      <c r="S883" s="38">
        <f>IFERROR(N883/P883,0)</f>
        <v/>
      </c>
      <c r="T883" s="31">
        <f>IFERROR(IF(N883&gt;0,(N883/K883),MIN(1,M883/J883)),0)</f>
        <v/>
      </c>
      <c r="U883" s="33" t="inlineStr">
        <is>
          <t>Não foi produzido Iog. Abacaxi com coco pois Michele abriu mão dessa produção para suprir a demanda de Vida Leve, devido feriado na semana</t>
        </is>
      </c>
    </row>
    <row r="884" hidden="1" s="40">
      <c r="A884" s="18" t="inlineStr">
        <is>
          <t>Semana 3 - Maio</t>
        </is>
      </c>
      <c r="B884" s="27">
        <f>YEAR(E884)</f>
        <v/>
      </c>
      <c r="C884" s="18">
        <f>INDEX({"Janeiro";"Fevereiro";"Março";"Abril";"Maio";"Junho";"Julho";"Agosto";"Setembro";"Outubro";"Novembro";"Dezembro"},Q884)</f>
        <v/>
      </c>
      <c r="D884" s="19" t="n">
        <v>3</v>
      </c>
      <c r="E884" s="20" t="n">
        <v>46160</v>
      </c>
      <c r="F884" s="18" t="inlineStr">
        <is>
          <t>Doce de Leite 5kg</t>
        </is>
      </c>
      <c r="G884" s="18" t="inlineStr">
        <is>
          <t>DOCE</t>
        </is>
      </c>
      <c r="H884" s="21" t="n">
        <v>5</v>
      </c>
      <c r="I884" s="36" t="n">
        <v>2790</v>
      </c>
      <c r="J884" s="21">
        <f>I884*H884</f>
        <v/>
      </c>
      <c r="K884" s="21">
        <f>IFERROR(IF(J884/P884&gt;1,P884,J884),0)</f>
        <v/>
      </c>
      <c r="L884" s="36" t="n">
        <v>2364</v>
      </c>
      <c r="M884" s="21">
        <f>L884*H884</f>
        <v/>
      </c>
      <c r="N884" s="21">
        <f>IFERROR(IF(M884/K884&gt;1,K884,M884),0)</f>
        <v/>
      </c>
      <c r="O884" s="36" t="n">
        <v>2325</v>
      </c>
      <c r="P884" s="21">
        <f>O884*H884</f>
        <v/>
      </c>
      <c r="Q884" s="30">
        <f>IF(MONTH(E884+1)=MONTH(E884+6),MONTH(E884+1),IF(MIN(EOMONTH(E884+1,0),E884+6)-(E884+1)+1&gt;=3,MONTH(E884+1),MONTH(E884+6)))</f>
        <v/>
      </c>
      <c r="R884" s="22">
        <f>IFERROR(K884/P884, 0)</f>
        <v/>
      </c>
      <c r="S884" s="38">
        <f>IFERROR(N884/P884,0)</f>
        <v/>
      </c>
      <c r="T884" s="31">
        <f>IFERROR(IF(N884&gt;0,(N884/K884),MIN(1,M884/J884)),0)</f>
        <v/>
      </c>
      <c r="U884" s="33" t="inlineStr">
        <is>
          <t>Não foi produzido req. 200g devido alto estoque na Câmara fria e capacidade da linha devido ao feriado. Comercial abriu mão dessa produção</t>
        </is>
      </c>
    </row>
    <row r="885" hidden="1" s="40">
      <c r="A885" s="23" t="inlineStr">
        <is>
          <t>Semana 3 - Maio</t>
        </is>
      </c>
      <c r="B885" s="27">
        <f>YEAR(E885)</f>
        <v/>
      </c>
      <c r="C885" s="18">
        <f>INDEX({"Janeiro";"Fevereiro";"Março";"Abril";"Maio";"Junho";"Julho";"Agosto";"Setembro";"Outubro";"Novembro";"Dezembro"},Q885)</f>
        <v/>
      </c>
      <c r="D885" s="24" t="n">
        <v>3</v>
      </c>
      <c r="E885" s="25" t="n">
        <v>46160</v>
      </c>
      <c r="F885" s="23" t="inlineStr">
        <is>
          <t>Doce de Leite 5kg - Bombeável</t>
        </is>
      </c>
      <c r="G885" s="23" t="inlineStr">
        <is>
          <t>DOCE</t>
        </is>
      </c>
      <c r="H885" s="26" t="n">
        <v>5</v>
      </c>
      <c r="I885" s="36" t="n">
        <v>0</v>
      </c>
      <c r="J885" s="21">
        <f>I885*H885</f>
        <v/>
      </c>
      <c r="K885" s="21">
        <f>IFERROR(IF(J885/P885&gt;1,P885,J885),0)</f>
        <v/>
      </c>
      <c r="L885" s="36" t="n">
        <v>0</v>
      </c>
      <c r="M885" s="21">
        <f>L885*H885</f>
        <v/>
      </c>
      <c r="N885" s="21">
        <f>IFERROR(IF(M885/K885&gt;1,K885,M885),0)</f>
        <v/>
      </c>
      <c r="O885" s="36" t="n">
        <v>0</v>
      </c>
      <c r="P885" s="21">
        <f>O885*H885</f>
        <v/>
      </c>
      <c r="Q885" s="30">
        <f>IF(MONTH(E885+1)=MONTH(E885+6),MONTH(E885+1),IF(MIN(EOMONTH(E885+1,0),E885+6)-(E885+1)+1&gt;=3,MONTH(E885+1),MONTH(E885+6)))</f>
        <v/>
      </c>
      <c r="R885" s="22">
        <f>IFERROR(K885/P885, 0)</f>
        <v/>
      </c>
      <c r="S885" s="38">
        <f>IFERROR(N885/P885,0)</f>
        <v/>
      </c>
      <c r="T885" s="31">
        <f>IFERROR(IF(N885&gt;0,(N885/K885),MIN(1,M885/J885)),0)</f>
        <v/>
      </c>
      <c r="U885" s="33" t="inlineStr">
        <is>
          <t>A pedido do comercial, foi cancelada produção de meia cura fracionado e aumentado produção de Minas padrão fracionado</t>
        </is>
      </c>
    </row>
    <row r="886" hidden="1" s="40">
      <c r="A886" s="18" t="inlineStr">
        <is>
          <t>Semana 3 - Maio</t>
        </is>
      </c>
      <c r="B886" s="27">
        <f>YEAR(E886)</f>
        <v/>
      </c>
      <c r="C886" s="18">
        <f>INDEX({"Janeiro";"Fevereiro";"Março";"Abril";"Maio";"Junho";"Julho";"Agosto";"Setembro";"Outubro";"Novembro";"Dezembro"},Q886)</f>
        <v/>
      </c>
      <c r="D886" s="19" t="n">
        <v>3</v>
      </c>
      <c r="E886" s="20" t="n">
        <v>46160</v>
      </c>
      <c r="F886" s="18" t="inlineStr">
        <is>
          <t>Doce de Leite 5kg - Forneável</t>
        </is>
      </c>
      <c r="G886" s="18" t="inlineStr">
        <is>
          <t>DOCE</t>
        </is>
      </c>
      <c r="H886" s="21" t="n">
        <v>5</v>
      </c>
      <c r="I886" s="36" t="n">
        <v>0</v>
      </c>
      <c r="J886" s="21">
        <f>I886*H886</f>
        <v/>
      </c>
      <c r="K886" s="21">
        <f>IFERROR(IF(J886/P886&gt;1,P886,J886),0)</f>
        <v/>
      </c>
      <c r="L886" s="36" t="n">
        <v>0</v>
      </c>
      <c r="M886" s="21">
        <f>L886*H886</f>
        <v/>
      </c>
      <c r="N886" s="21">
        <f>IFERROR(IF(M886/K886&gt;1,K886,M886),0)</f>
        <v/>
      </c>
      <c r="O886" s="36" t="n">
        <v>0</v>
      </c>
      <c r="P886" s="21">
        <f>O886*H886</f>
        <v/>
      </c>
      <c r="Q886" s="30">
        <f>IF(MONTH(E886+1)=MONTH(E886+6),MONTH(E886+1),IF(MIN(EOMONTH(E886+1,0),E886+6)-(E886+1)+1&gt;=3,MONTH(E886+1),MONTH(E886+6)))</f>
        <v/>
      </c>
      <c r="R886" s="22">
        <f>IFERROR(K886/P886, 0)</f>
        <v/>
      </c>
      <c r="S886" s="38">
        <f>IFERROR(N886/P886,0)</f>
        <v/>
      </c>
      <c r="T886" s="31">
        <f>IFERROR(IF(N886&gt;0,(N886/K886),MIN(1,M886/J886)),0)</f>
        <v/>
      </c>
      <c r="U886" s="33" t="inlineStr">
        <is>
          <t>Feriado de Santa Rita na sexta-feira</t>
        </is>
      </c>
    </row>
    <row r="887" hidden="1" s="40">
      <c r="A887" s="23" t="inlineStr">
        <is>
          <t>Semana 3 - Maio</t>
        </is>
      </c>
      <c r="B887" s="27">
        <f>YEAR(E887)</f>
        <v/>
      </c>
      <c r="C887" s="18">
        <f>INDEX({"Janeiro";"Fevereiro";"Março";"Abril";"Maio";"Junho";"Julho";"Agosto";"Setembro";"Outubro";"Novembro";"Dezembro"},Q887)</f>
        <v/>
      </c>
      <c r="D887" s="24" t="n">
        <v>3</v>
      </c>
      <c r="E887" s="25" t="n">
        <v>46160</v>
      </c>
      <c r="F887" s="23" t="inlineStr">
        <is>
          <t>Doce de Leite 800g</t>
        </is>
      </c>
      <c r="G887" s="23" t="inlineStr">
        <is>
          <t>DOCE</t>
        </is>
      </c>
      <c r="H887" s="26" t="n">
        <v>0.8</v>
      </c>
      <c r="I887" s="36" t="n">
        <v>0</v>
      </c>
      <c r="J887" s="21">
        <f>I887*H887</f>
        <v/>
      </c>
      <c r="K887" s="21">
        <f>IFERROR(IF(J887/P887&gt;1,P887,J887),0)</f>
        <v/>
      </c>
      <c r="L887" s="36" t="n">
        <v>0</v>
      </c>
      <c r="M887" s="21">
        <f>L887*H887</f>
        <v/>
      </c>
      <c r="N887" s="21">
        <f>IFERROR(IF(M887/K887&gt;1,K887,M887),0)</f>
        <v/>
      </c>
      <c r="O887" s="36" t="n">
        <v>15000</v>
      </c>
      <c r="P887" s="21">
        <f>O887*H887</f>
        <v/>
      </c>
      <c r="Q887" s="30">
        <f>IF(MONTH(E887+1)=MONTH(E887+6),MONTH(E887+1),IF(MIN(EOMONTH(E887+1,0),E887+6)-(E887+1)+1&gt;=3,MONTH(E887+1),MONTH(E887+6)))</f>
        <v/>
      </c>
      <c r="R887" s="22">
        <f>IFERROR(K887/P887, 0)</f>
        <v/>
      </c>
      <c r="S887" s="38">
        <f>IFERROR(N887/P887,0)</f>
        <v/>
      </c>
      <c r="T887" s="31">
        <f>IFERROR(IF(N887&gt;0,(N887/K887),MIN(1,M887/J887)),0)</f>
        <v/>
      </c>
      <c r="U887" s="33" t="n"/>
    </row>
    <row r="888" hidden="1" s="40">
      <c r="A888" s="18" t="inlineStr">
        <is>
          <t>Semana 3 - Maio</t>
        </is>
      </c>
      <c r="B888" s="27">
        <f>YEAR(E888)</f>
        <v/>
      </c>
      <c r="C888" s="18">
        <f>INDEX({"Janeiro";"Fevereiro";"Março";"Abril";"Maio";"Junho";"Julho";"Agosto";"Setembro";"Outubro";"Novembro";"Dezembro"},Q888)</f>
        <v/>
      </c>
      <c r="D888" s="19" t="n">
        <v>3</v>
      </c>
      <c r="E888" s="20" t="n">
        <v>46160</v>
      </c>
      <c r="F888" s="18" t="inlineStr">
        <is>
          <t>Doce de Leite Cacau 400g</t>
        </is>
      </c>
      <c r="G888" s="18" t="inlineStr">
        <is>
          <t>DOCE</t>
        </is>
      </c>
      <c r="H888" s="21" t="n">
        <v>0.4</v>
      </c>
      <c r="I888" s="36" t="n">
        <v>6000</v>
      </c>
      <c r="J888" s="21">
        <f>I888*H888</f>
        <v/>
      </c>
      <c r="K888" s="21">
        <f>IFERROR(IF(J888/P888&gt;1,P888,J888),0)</f>
        <v/>
      </c>
      <c r="L888" s="36" t="n">
        <v>6627</v>
      </c>
      <c r="M888" s="21">
        <f>L888*H888</f>
        <v/>
      </c>
      <c r="N888" s="21">
        <f>IFERROR(IF(M888/K888&gt;1,K888,M888),0)</f>
        <v/>
      </c>
      <c r="O888" s="36" t="n">
        <v>6000</v>
      </c>
      <c r="P888" s="21">
        <f>O888*H888</f>
        <v/>
      </c>
      <c r="Q888" s="30">
        <f>IF(MONTH(E888+1)=MONTH(E888+6),MONTH(E888+1),IF(MIN(EOMONTH(E888+1,0),E888+6)-(E888+1)+1&gt;=3,MONTH(E888+1),MONTH(E888+6)))</f>
        <v/>
      </c>
      <c r="R888" s="22">
        <f>IFERROR(K888/P888, 0)</f>
        <v/>
      </c>
      <c r="S888" s="38">
        <f>IFERROR(N888/P888,0)</f>
        <v/>
      </c>
      <c r="T888" s="31">
        <f>IFERROR(IF(N888&gt;0,(N888/K888),MIN(1,M888/J888)),0)</f>
        <v/>
      </c>
      <c r="U888" s="33" t="n"/>
    </row>
    <row r="889" hidden="1" s="40">
      <c r="A889" s="23" t="inlineStr">
        <is>
          <t>Semana 3 - Maio</t>
        </is>
      </c>
      <c r="B889" s="27">
        <f>YEAR(E889)</f>
        <v/>
      </c>
      <c r="C889" s="18">
        <f>INDEX({"Janeiro";"Fevereiro";"Março";"Abril";"Maio";"Junho";"Julho";"Agosto";"Setembro";"Outubro";"Novembro";"Dezembro"},Q889)</f>
        <v/>
      </c>
      <c r="D889" s="24" t="n">
        <v>3</v>
      </c>
      <c r="E889" s="25" t="n">
        <v>46160</v>
      </c>
      <c r="F889" s="23" t="inlineStr">
        <is>
          <t>Doce de Leite Cacau 5kg - Bombeável</t>
        </is>
      </c>
      <c r="G889" s="23" t="inlineStr">
        <is>
          <t>DOCE</t>
        </is>
      </c>
      <c r="H889" s="26" t="n">
        <v>5</v>
      </c>
      <c r="I889" s="36" t="n">
        <v>0</v>
      </c>
      <c r="J889" s="21">
        <f>I889*H889</f>
        <v/>
      </c>
      <c r="K889" s="21">
        <f>IFERROR(IF(J889/P889&gt;1,P889,J889),0)</f>
        <v/>
      </c>
      <c r="L889" s="36" t="n">
        <v>0</v>
      </c>
      <c r="M889" s="21">
        <f>L889*H889</f>
        <v/>
      </c>
      <c r="N889" s="21">
        <f>IFERROR(IF(M889/K889&gt;1,K889,M889),0)</f>
        <v/>
      </c>
      <c r="O889" s="36" t="n">
        <v>0</v>
      </c>
      <c r="P889" s="21">
        <f>O889*H889</f>
        <v/>
      </c>
      <c r="Q889" s="30">
        <f>IF(MONTH(E889+1)=MONTH(E889+6),MONTH(E889+1),IF(MIN(EOMONTH(E889+1,0),E889+6)-(E889+1)+1&gt;=3,MONTH(E889+1),MONTH(E889+6)))</f>
        <v/>
      </c>
      <c r="R889" s="22">
        <f>IFERROR(K889/P889, 0)</f>
        <v/>
      </c>
      <c r="S889" s="38">
        <f>IFERROR(N889/P889,0)</f>
        <v/>
      </c>
      <c r="T889" s="31">
        <f>IFERROR(IF(N889&gt;0,(N889/K889),MIN(1,M889/J889)),0)</f>
        <v/>
      </c>
      <c r="U889" s="33" t="n"/>
    </row>
    <row r="890" hidden="1" s="40">
      <c r="A890" s="18" t="inlineStr">
        <is>
          <t>Semana 3 - Maio</t>
        </is>
      </c>
      <c r="B890" s="27">
        <f>YEAR(E890)</f>
        <v/>
      </c>
      <c r="C890" s="18">
        <f>INDEX({"Janeiro";"Fevereiro";"Março";"Abril";"Maio";"Junho";"Julho";"Agosto";"Setembro";"Outubro";"Novembro";"Dezembro"},Q890)</f>
        <v/>
      </c>
      <c r="D890" s="19" t="n">
        <v>3</v>
      </c>
      <c r="E890" s="20" t="n">
        <v>46160</v>
      </c>
      <c r="F890" s="18" t="inlineStr">
        <is>
          <t>Doce de Leite Cacau 5kg - FOOD</t>
        </is>
      </c>
      <c r="G890" s="18" t="inlineStr">
        <is>
          <t>DOCE</t>
        </is>
      </c>
      <c r="H890" s="21" t="n">
        <v>5</v>
      </c>
      <c r="I890" s="36" t="n">
        <v>0</v>
      </c>
      <c r="J890" s="21">
        <f>I890*H890</f>
        <v/>
      </c>
      <c r="K890" s="21">
        <f>IFERROR(IF(J890/P890&gt;1,P890,J890),0)</f>
        <v/>
      </c>
      <c r="L890" s="36" t="n">
        <v>0</v>
      </c>
      <c r="M890" s="21">
        <f>L890*H890</f>
        <v/>
      </c>
      <c r="N890" s="21">
        <f>IFERROR(IF(M890/K890&gt;1,K890,M890),0)</f>
        <v/>
      </c>
      <c r="O890" s="36" t="n">
        <v>0</v>
      </c>
      <c r="P890" s="21">
        <f>O890*H890</f>
        <v/>
      </c>
      <c r="Q890" s="30">
        <f>IF(MONTH(E890+1)=MONTH(E890+6),MONTH(E890+1),IF(MIN(EOMONTH(E890+1,0),E890+6)-(E890+1)+1&gt;=3,MONTH(E890+1),MONTH(E890+6)))</f>
        <v/>
      </c>
      <c r="R890" s="22">
        <f>IFERROR(K890/P890, 0)</f>
        <v/>
      </c>
      <c r="S890" s="38">
        <f>IFERROR(N890/P890,0)</f>
        <v/>
      </c>
      <c r="T890" s="31">
        <f>IFERROR(IF(N890&gt;0,(N890/K890),MIN(1,M890/J890)),0)</f>
        <v/>
      </c>
      <c r="U890" s="33" t="n"/>
    </row>
    <row r="891" hidden="1" s="40">
      <c r="A891" s="23" t="inlineStr">
        <is>
          <t>Semana 3 - Maio</t>
        </is>
      </c>
      <c r="B891" s="27">
        <f>YEAR(E891)</f>
        <v/>
      </c>
      <c r="C891" s="18">
        <f>INDEX({"Janeiro";"Fevereiro";"Março";"Abril";"Maio";"Junho";"Julho";"Agosto";"Setembro";"Outubro";"Novembro";"Dezembro"},Q891)</f>
        <v/>
      </c>
      <c r="D891" s="24" t="n">
        <v>3</v>
      </c>
      <c r="E891" s="25" t="n">
        <v>46160</v>
      </c>
      <c r="F891" s="23" t="inlineStr">
        <is>
          <t>Doce de Leite Zero Açúcar e Lactose 400g</t>
        </is>
      </c>
      <c r="G891" s="23" t="inlineStr">
        <is>
          <t>DOCE</t>
        </is>
      </c>
      <c r="H891" s="26" t="n">
        <v>0.4</v>
      </c>
      <c r="I891" s="36" t="n">
        <v>34000</v>
      </c>
      <c r="J891" s="21">
        <f>I891*H891</f>
        <v/>
      </c>
      <c r="K891" s="21">
        <f>IFERROR(IF(J891/P891&gt;1,P891,J891),0)</f>
        <v/>
      </c>
      <c r="L891" s="36" t="n">
        <v>33343</v>
      </c>
      <c r="M891" s="21">
        <f>L891*H891</f>
        <v/>
      </c>
      <c r="N891" s="21">
        <f>IFERROR(IF(M891/K891&gt;1,K891,M891),0)</f>
        <v/>
      </c>
      <c r="O891" s="36" t="n">
        <v>24000</v>
      </c>
      <c r="P891" s="21">
        <f>O891*H891</f>
        <v/>
      </c>
      <c r="Q891" s="30">
        <f>IF(MONTH(E891+1)=MONTH(E891+6),MONTH(E891+1),IF(MIN(EOMONTH(E891+1,0),E891+6)-(E891+1)+1&gt;=3,MONTH(E891+1),MONTH(E891+6)))</f>
        <v/>
      </c>
      <c r="R891" s="22">
        <f>IFERROR(K891/P891, 0)</f>
        <v/>
      </c>
      <c r="S891" s="38">
        <f>IFERROR(N891/P891,0)</f>
        <v/>
      </c>
      <c r="T891" s="31">
        <f>IFERROR(IF(N891&gt;0,(N891/K891),MIN(1,M891/J891)),0)</f>
        <v/>
      </c>
      <c r="U891" s="33" t="n"/>
    </row>
    <row r="892" hidden="1" s="40">
      <c r="A892" s="18" t="inlineStr">
        <is>
          <t>Semana 3 - Maio</t>
        </is>
      </c>
      <c r="B892" s="27">
        <f>YEAR(E892)</f>
        <v/>
      </c>
      <c r="C892" s="18">
        <f>INDEX({"Janeiro";"Fevereiro";"Março";"Abril";"Maio";"Junho";"Julho";"Agosto";"Setembro";"Outubro";"Novembro";"Dezembro"},Q892)</f>
        <v/>
      </c>
      <c r="D892" s="19" t="n">
        <v>3</v>
      </c>
      <c r="E892" s="20" t="n">
        <v>46160</v>
      </c>
      <c r="F892" s="18" t="inlineStr">
        <is>
          <t>Doce de Leite c/ Café 400</t>
        </is>
      </c>
      <c r="G892" s="18" t="inlineStr">
        <is>
          <t>DOCE</t>
        </is>
      </c>
      <c r="H892" s="21" t="n">
        <v>0.4</v>
      </c>
      <c r="I892" s="36" t="n">
        <v>0</v>
      </c>
      <c r="J892" s="21">
        <f>I892*H892</f>
        <v/>
      </c>
      <c r="K892" s="21">
        <f>IFERROR(IF(J892/P892&gt;1,P892,J892),0)</f>
        <v/>
      </c>
      <c r="L892" s="36" t="n">
        <v>0</v>
      </c>
      <c r="M892" s="21">
        <f>L892*H892</f>
        <v/>
      </c>
      <c r="N892" s="21">
        <f>IFERROR(IF(M892/K892&gt;1,K892,M892),0)</f>
        <v/>
      </c>
      <c r="O892" s="36" t="n">
        <v>0</v>
      </c>
      <c r="P892" s="21">
        <f>O892*H892</f>
        <v/>
      </c>
      <c r="Q892" s="30">
        <f>IF(MONTH(E892+1)=MONTH(E892+6),MONTH(E892+1),IF(MIN(EOMONTH(E892+1,0),E892+6)-(E892+1)+1&gt;=3,MONTH(E892+1),MONTH(E892+6)))</f>
        <v/>
      </c>
      <c r="R892" s="22">
        <f>IFERROR(K892/P892, 0)</f>
        <v/>
      </c>
      <c r="S892" s="38">
        <f>IFERROR(N892/P892,0)</f>
        <v/>
      </c>
      <c r="T892" s="31">
        <f>IFERROR(IF(N892&gt;0,(N892/K892),MIN(1,M892/J892)),0)</f>
        <v/>
      </c>
      <c r="U892" s="33" t="n"/>
    </row>
    <row r="893" hidden="1" s="40">
      <c r="A893" s="23" t="inlineStr">
        <is>
          <t>Semana 3 - Maio</t>
        </is>
      </c>
      <c r="B893" s="27">
        <f>YEAR(E893)</f>
        <v/>
      </c>
      <c r="C893" s="18">
        <f>INDEX({"Janeiro";"Fevereiro";"Março";"Abril";"Maio";"Junho";"Julho";"Agosto";"Setembro";"Outubro";"Novembro";"Dezembro"},Q893)</f>
        <v/>
      </c>
      <c r="D893" s="24" t="n">
        <v>3</v>
      </c>
      <c r="E893" s="25" t="n">
        <v>46160</v>
      </c>
      <c r="F893" s="23" t="inlineStr">
        <is>
          <t>Doce de Leite c/ Café 5kg</t>
        </is>
      </c>
      <c r="G893" s="23" t="inlineStr">
        <is>
          <t>DOCE</t>
        </is>
      </c>
      <c r="H893" s="26" t="n">
        <v>5</v>
      </c>
      <c r="I893" s="36" t="n">
        <v>0</v>
      </c>
      <c r="J893" s="21">
        <f>I893*H893</f>
        <v/>
      </c>
      <c r="K893" s="21">
        <f>IFERROR(IF(J893/P893&gt;1,P893,J893),0)</f>
        <v/>
      </c>
      <c r="L893" s="36" t="n">
        <v>0</v>
      </c>
      <c r="M893" s="21">
        <f>L893*H893</f>
        <v/>
      </c>
      <c r="N893" s="21">
        <f>IFERROR(IF(M893/K893&gt;1,K893,M893),0)</f>
        <v/>
      </c>
      <c r="O893" s="36" t="n">
        <v>0</v>
      </c>
      <c r="P893" s="21">
        <f>O893*H893</f>
        <v/>
      </c>
      <c r="Q893" s="30">
        <f>IF(MONTH(E893+1)=MONTH(E893+6),MONTH(E893+1),IF(MIN(EOMONTH(E893+1,0),E893+6)-(E893+1)+1&gt;=3,MONTH(E893+1),MONTH(E893+6)))</f>
        <v/>
      </c>
      <c r="R893" s="22">
        <f>IFERROR(K893/P893, 0)</f>
        <v/>
      </c>
      <c r="S893" s="38">
        <f>IFERROR(N893/P893,0)</f>
        <v/>
      </c>
      <c r="T893" s="31">
        <f>IFERROR(IF(N893&gt;0,(N893/K893),MIN(1,M893/J893)),0)</f>
        <v/>
      </c>
      <c r="U893" s="33" t="n"/>
    </row>
    <row r="894" hidden="1" s="40">
      <c r="A894" s="18" t="inlineStr">
        <is>
          <t>Semana 3 - Maio</t>
        </is>
      </c>
      <c r="B894" s="27">
        <f>YEAR(E894)</f>
        <v/>
      </c>
      <c r="C894" s="18">
        <f>INDEX({"Janeiro";"Fevereiro";"Março";"Abril";"Maio";"Junho";"Julho";"Agosto";"Setembro";"Outubro";"Novembro";"Dezembro"},Q894)</f>
        <v/>
      </c>
      <c r="D894" s="19" t="n">
        <v>3</v>
      </c>
      <c r="E894" s="20" t="n">
        <v>46160</v>
      </c>
      <c r="F894" s="18" t="inlineStr">
        <is>
          <t>Doce de Leite c/ coco 400</t>
        </is>
      </c>
      <c r="G894" s="18" t="inlineStr">
        <is>
          <t>DOCE</t>
        </is>
      </c>
      <c r="H894" s="21" t="n">
        <v>0.4</v>
      </c>
      <c r="I894" s="36" t="n">
        <v>6000</v>
      </c>
      <c r="J894" s="21">
        <f>I894*H894</f>
        <v/>
      </c>
      <c r="K894" s="21">
        <f>IFERROR(IF(J894/P894&gt;1,P894,J894),0)</f>
        <v/>
      </c>
      <c r="L894" s="36" t="n">
        <v>7008</v>
      </c>
      <c r="M894" s="21">
        <f>L894*H894</f>
        <v/>
      </c>
      <c r="N894" s="21">
        <f>IFERROR(IF(M894/K894&gt;1,K894,M894),0)</f>
        <v/>
      </c>
      <c r="O894" s="36" t="n">
        <v>6000</v>
      </c>
      <c r="P894" s="21">
        <f>O894*H894</f>
        <v/>
      </c>
      <c r="Q894" s="30">
        <f>IF(MONTH(E894+1)=MONTH(E894+6),MONTH(E894+1),IF(MIN(EOMONTH(E894+1,0),E894+6)-(E894+1)+1&gt;=3,MONTH(E894+1),MONTH(E894+6)))</f>
        <v/>
      </c>
      <c r="R894" s="22">
        <f>IFERROR(K894/P894, 0)</f>
        <v/>
      </c>
      <c r="S894" s="38">
        <f>IFERROR(N894/P894,0)</f>
        <v/>
      </c>
      <c r="T894" s="31">
        <f>IFERROR(IF(N894&gt;0,(N894/K894),MIN(1,M894/J894)),0)</f>
        <v/>
      </c>
      <c r="U894" s="33" t="n"/>
    </row>
    <row r="895" hidden="1" s="40">
      <c r="A895" s="23" t="inlineStr">
        <is>
          <t>Semana 3 - Maio</t>
        </is>
      </c>
      <c r="B895" s="27">
        <f>YEAR(E895)</f>
        <v/>
      </c>
      <c r="C895" s="18">
        <f>INDEX({"Janeiro";"Fevereiro";"Março";"Abril";"Maio";"Junho";"Julho";"Agosto";"Setembro";"Outubro";"Novembro";"Dezembro"},Q895)</f>
        <v/>
      </c>
      <c r="D895" s="24" t="n">
        <v>3</v>
      </c>
      <c r="E895" s="25" t="n">
        <v>46160</v>
      </c>
      <c r="F895" s="23" t="inlineStr">
        <is>
          <t>IOGURTE VIÇOSA MORANGO LIGHT 180g</t>
        </is>
      </c>
      <c r="G895" s="23" t="inlineStr">
        <is>
          <t>IOGURTE</t>
        </is>
      </c>
      <c r="H895" s="26" t="n">
        <v>0.18</v>
      </c>
      <c r="I895" s="36" t="n">
        <v>0</v>
      </c>
      <c r="J895" s="21">
        <f>I895*H895</f>
        <v/>
      </c>
      <c r="K895" s="21">
        <f>IFERROR(IF(J895/P895&gt;1,P895,J895),0)</f>
        <v/>
      </c>
      <c r="L895" s="36" t="n">
        <v>0</v>
      </c>
      <c r="M895" s="21">
        <f>L895*H895</f>
        <v/>
      </c>
      <c r="N895" s="21">
        <f>IFERROR(IF(M895/K895&gt;1,K895,M895),0)</f>
        <v/>
      </c>
      <c r="O895" s="36" t="n">
        <v>0</v>
      </c>
      <c r="P895" s="21">
        <f>O895*H895</f>
        <v/>
      </c>
      <c r="Q895" s="30">
        <f>IF(MONTH(E895+1)=MONTH(E895+6),MONTH(E895+1),IF(MIN(EOMONTH(E895+1,0),E895+6)-(E895+1)+1&gt;=3,MONTH(E895+1),MONTH(E895+6)))</f>
        <v/>
      </c>
      <c r="R895" s="22">
        <f>IFERROR(K895/P895, 0)</f>
        <v/>
      </c>
      <c r="S895" s="38">
        <f>IFERROR(N895/P895,0)</f>
        <v/>
      </c>
      <c r="T895" s="31">
        <f>IFERROR(IF(N895&gt;0,(N895/K895),MIN(1,M895/J895)),0)</f>
        <v/>
      </c>
      <c r="U895" s="33" t="n"/>
    </row>
    <row r="896" hidden="1" s="40">
      <c r="A896" s="18" t="inlineStr">
        <is>
          <t>Semana 3 - Maio</t>
        </is>
      </c>
      <c r="B896" s="27">
        <f>YEAR(E896)</f>
        <v/>
      </c>
      <c r="C896" s="18">
        <f>INDEX({"Janeiro";"Fevereiro";"Março";"Abril";"Maio";"Junho";"Julho";"Agosto";"Setembro";"Outubro";"Novembro";"Dezembro"},Q896)</f>
        <v/>
      </c>
      <c r="D896" s="19" t="n">
        <v>3</v>
      </c>
      <c r="E896" s="20" t="n">
        <v>46160</v>
      </c>
      <c r="F896" s="18" t="inlineStr">
        <is>
          <t>IOGURTE VIÇOSA MORANGO LIGHT 800g</t>
        </is>
      </c>
      <c r="G896" s="18" t="inlineStr">
        <is>
          <t>IOGURTE</t>
        </is>
      </c>
      <c r="H896" s="21" t="n">
        <v>0.8</v>
      </c>
      <c r="I896" s="36" t="n">
        <v>0</v>
      </c>
      <c r="J896" s="21">
        <f>I896*H896</f>
        <v/>
      </c>
      <c r="K896" s="21">
        <f>IFERROR(IF(J896/P896&gt;1,P896,J896),0)</f>
        <v/>
      </c>
      <c r="L896" s="36" t="n">
        <v>0</v>
      </c>
      <c r="M896" s="21">
        <f>L896*H896</f>
        <v/>
      </c>
      <c r="N896" s="21">
        <f>IFERROR(IF(M896/K896&gt;1,K896,M896),0)</f>
        <v/>
      </c>
      <c r="O896" s="36" t="n">
        <v>0</v>
      </c>
      <c r="P896" s="21">
        <f>O896*H896</f>
        <v/>
      </c>
      <c r="Q896" s="30">
        <f>IF(MONTH(E896+1)=MONTH(E896+6),MONTH(E896+1),IF(MIN(EOMONTH(E896+1,0),E896+6)-(E896+1)+1&gt;=3,MONTH(E896+1),MONTH(E896+6)))</f>
        <v/>
      </c>
      <c r="R896" s="22">
        <f>IFERROR(K896/P896, 0)</f>
        <v/>
      </c>
      <c r="S896" s="38">
        <f>IFERROR(N896/P896,0)</f>
        <v/>
      </c>
      <c r="T896" s="31">
        <f>IFERROR(IF(N896&gt;0,(N896/K896),MIN(1,M896/J896)),0)</f>
        <v/>
      </c>
      <c r="U896" s="33" t="n"/>
    </row>
    <row r="897" hidden="1" s="40">
      <c r="A897" s="18" t="inlineStr">
        <is>
          <t>Semana 3 - Maio</t>
        </is>
      </c>
      <c r="B897" s="27">
        <f>YEAR(E897)</f>
        <v/>
      </c>
      <c r="C897" s="18">
        <f>INDEX({"Janeiro";"Fevereiro";"Março";"Abril";"Maio";"Junho";"Julho";"Agosto";"Setembro";"Outubro";"Novembro";"Dezembro"},Q897)</f>
        <v/>
      </c>
      <c r="D897" s="19" t="n">
        <v>3</v>
      </c>
      <c r="E897" s="20" t="n">
        <v>46160</v>
      </c>
      <c r="F897" s="18" t="inlineStr">
        <is>
          <t>Iogurte Abacaxi c/ Coco 120g</t>
        </is>
      </c>
      <c r="G897" s="18" t="inlineStr">
        <is>
          <t>IOGURTE</t>
        </is>
      </c>
      <c r="H897" s="21" t="n">
        <v>0.12</v>
      </c>
      <c r="I897" s="36" t="n">
        <v>0</v>
      </c>
      <c r="J897" s="21">
        <f>I897*H897</f>
        <v/>
      </c>
      <c r="K897" s="21">
        <f>IFERROR(IF(J897/P897&gt;1,P897,J897),0)</f>
        <v/>
      </c>
      <c r="L897" s="36" t="n">
        <v>0</v>
      </c>
      <c r="M897" s="21">
        <f>L897*H897</f>
        <v/>
      </c>
      <c r="N897" s="21">
        <f>IFERROR(IF(M897/K897&gt;1,K897,M897),0)</f>
        <v/>
      </c>
      <c r="O897" s="36" t="n">
        <v>2000</v>
      </c>
      <c r="P897" s="21">
        <f>O897*H897</f>
        <v/>
      </c>
      <c r="Q897" s="30">
        <f>IF(MONTH(E897+1)=MONTH(E897+6),MONTH(E897+1),IF(MIN(EOMONTH(E897+1,0),E897+6)-(E897+1)+1&gt;=3,MONTH(E897+1),MONTH(E897+6)))</f>
        <v/>
      </c>
      <c r="R897" s="22">
        <f>IFERROR(K897/P897, 0)</f>
        <v/>
      </c>
      <c r="S897" s="38">
        <f>IFERROR(N897/P897,0)</f>
        <v/>
      </c>
      <c r="T897" s="31">
        <f>IFERROR(IF(N897&gt;0,(N897/K897),MIN(1,M897/J897)),0)</f>
        <v/>
      </c>
      <c r="U897" s="33" t="n"/>
    </row>
    <row r="898" hidden="1" s="40">
      <c r="A898" s="23" t="inlineStr">
        <is>
          <t>Semana 3 - Maio</t>
        </is>
      </c>
      <c r="B898" s="27">
        <f>YEAR(E898)</f>
        <v/>
      </c>
      <c r="C898" s="18">
        <f>INDEX({"Janeiro";"Fevereiro";"Março";"Abril";"Maio";"Junho";"Julho";"Agosto";"Setembro";"Outubro";"Novembro";"Dezembro"},Q898)</f>
        <v/>
      </c>
      <c r="D898" s="24" t="n">
        <v>3</v>
      </c>
      <c r="E898" s="25" t="n">
        <v>46160</v>
      </c>
      <c r="F898" s="23" t="inlineStr">
        <is>
          <t>Iogurte Abacaxi c/ Coco 185g</t>
        </is>
      </c>
      <c r="G898" s="23" t="inlineStr">
        <is>
          <t>IOGURTE</t>
        </is>
      </c>
      <c r="H898" s="26" t="n">
        <v>0.185</v>
      </c>
      <c r="I898" s="36" t="n">
        <v>0</v>
      </c>
      <c r="J898" s="21">
        <f>I898*H898</f>
        <v/>
      </c>
      <c r="K898" s="21">
        <f>IFERROR(IF(J898/P898&gt;1,P898,J898),0)</f>
        <v/>
      </c>
      <c r="L898" s="36" t="n">
        <v>0</v>
      </c>
      <c r="M898" s="21">
        <f>L898*H898</f>
        <v/>
      </c>
      <c r="N898" s="21">
        <f>IFERROR(IF(M898/K898&gt;1,K898,M898),0)</f>
        <v/>
      </c>
      <c r="O898" s="36" t="n">
        <v>520</v>
      </c>
      <c r="P898" s="21">
        <f>O898*H898</f>
        <v/>
      </c>
      <c r="Q898" s="30">
        <f>IF(MONTH(E898+1)=MONTH(E898+6),MONTH(E898+1),IF(MIN(EOMONTH(E898+1,0),E898+6)-(E898+1)+1&gt;=3,MONTH(E898+1),MONTH(E898+6)))</f>
        <v/>
      </c>
      <c r="R898" s="22">
        <f>IFERROR(K898/P898, 0)</f>
        <v/>
      </c>
      <c r="S898" s="38">
        <f>IFERROR(N898/P898,0)</f>
        <v/>
      </c>
      <c r="T898" s="31">
        <f>IFERROR(IF(N898&gt;0,(N898/K898),MIN(1,M898/J898)),0)</f>
        <v/>
      </c>
      <c r="U898" s="33" t="n"/>
    </row>
    <row r="899" hidden="1" s="40">
      <c r="A899" s="18" t="inlineStr">
        <is>
          <t>Semana 3 - Maio</t>
        </is>
      </c>
      <c r="B899" s="27">
        <f>YEAR(E899)</f>
        <v/>
      </c>
      <c r="C899" s="18">
        <f>INDEX({"Janeiro";"Fevereiro";"Março";"Abril";"Maio";"Junho";"Julho";"Agosto";"Setembro";"Outubro";"Novembro";"Dezembro"},Q899)</f>
        <v/>
      </c>
      <c r="D899" s="19" t="n">
        <v>3</v>
      </c>
      <c r="E899" s="20" t="n">
        <v>46160</v>
      </c>
      <c r="F899" s="18" t="inlineStr">
        <is>
          <t>Iogurte Abacaxi c/ Coco 900g</t>
        </is>
      </c>
      <c r="G899" s="18" t="inlineStr">
        <is>
          <t>IOGURTE</t>
        </is>
      </c>
      <c r="H899" s="21" t="n">
        <v>0.9</v>
      </c>
      <c r="I899" s="36" t="n">
        <v>0</v>
      </c>
      <c r="J899" s="21">
        <f>I899*H899</f>
        <v/>
      </c>
      <c r="K899" s="21">
        <f>IFERROR(IF(J899/P899&gt;1,P899,J899),0)</f>
        <v/>
      </c>
      <c r="L899" s="36" t="n">
        <v>0</v>
      </c>
      <c r="M899" s="21">
        <f>L899*H899</f>
        <v/>
      </c>
      <c r="N899" s="21">
        <f>IFERROR(IF(M899/K899&gt;1,K899,M899),0)</f>
        <v/>
      </c>
      <c r="O899" s="36" t="n">
        <v>900</v>
      </c>
      <c r="P899" s="21">
        <f>O899*H899</f>
        <v/>
      </c>
      <c r="Q899" s="30">
        <f>IF(MONTH(E899+1)=MONTH(E899+6),MONTH(E899+1),IF(MIN(EOMONTH(E899+1,0),E899+6)-(E899+1)+1&gt;=3,MONTH(E899+1),MONTH(E899+6)))</f>
        <v/>
      </c>
      <c r="R899" s="22">
        <f>IFERROR(K899/P899, 0)</f>
        <v/>
      </c>
      <c r="S899" s="38">
        <f>IFERROR(N899/P899,0)</f>
        <v/>
      </c>
      <c r="T899" s="31">
        <f>IFERROR(IF(N899&gt;0,(N899/K899),MIN(1,M899/J899)),0)</f>
        <v/>
      </c>
      <c r="U899" s="33" t="n"/>
    </row>
    <row r="900" hidden="1" s="40">
      <c r="A900" s="18" t="inlineStr">
        <is>
          <t>Semana 3 - Maio</t>
        </is>
      </c>
      <c r="B900" s="27">
        <f>YEAR(E900)</f>
        <v/>
      </c>
      <c r="C900" s="18">
        <f>INDEX({"Janeiro";"Fevereiro";"Março";"Abril";"Maio";"Junho";"Julho";"Agosto";"Setembro";"Outubro";"Novembro";"Dezembro"},Q900)</f>
        <v/>
      </c>
      <c r="D900" s="19" t="n">
        <v>3</v>
      </c>
      <c r="E900" s="20" t="n">
        <v>46160</v>
      </c>
      <c r="F900" s="18" t="inlineStr">
        <is>
          <t>Iogurte Coco 120g</t>
        </is>
      </c>
      <c r="G900" s="18" t="inlineStr">
        <is>
          <t>IOGURTE</t>
        </is>
      </c>
      <c r="H900" s="21" t="n">
        <v>0.12</v>
      </c>
      <c r="I900" s="36" t="n">
        <v>4000</v>
      </c>
      <c r="J900" s="21">
        <f>I900*H900</f>
        <v/>
      </c>
      <c r="K900" s="21">
        <f>IFERROR(IF(J900/P900&gt;1,P900,J900),0)</f>
        <v/>
      </c>
      <c r="L900" s="36" t="n">
        <v>4340</v>
      </c>
      <c r="M900" s="21">
        <f>L900*H900</f>
        <v/>
      </c>
      <c r="N900" s="21">
        <f>IFERROR(IF(M900/K900&gt;1,K900,M900),0)</f>
        <v/>
      </c>
      <c r="O900" s="36" t="n">
        <v>4000</v>
      </c>
      <c r="P900" s="21">
        <f>O900*H900</f>
        <v/>
      </c>
      <c r="Q900" s="30">
        <f>IF(MONTH(E900+1)=MONTH(E900+6),MONTH(E900+1),IF(MIN(EOMONTH(E900+1,0),E900+6)-(E900+1)+1&gt;=3,MONTH(E900+1),MONTH(E900+6)))</f>
        <v/>
      </c>
      <c r="R900" s="22">
        <f>IFERROR(K900/P900, 0)</f>
        <v/>
      </c>
      <c r="S900" s="38">
        <f>IFERROR(N900/P900,0)</f>
        <v/>
      </c>
      <c r="T900" s="31">
        <f>IFERROR(IF(N900&gt;0,(N900/K900),MIN(1,M900/J900)),0)</f>
        <v/>
      </c>
      <c r="U900" s="33" t="n"/>
    </row>
    <row r="901" hidden="1" s="40">
      <c r="A901" s="23" t="inlineStr">
        <is>
          <t>Semana 3 - Maio</t>
        </is>
      </c>
      <c r="B901" s="27">
        <f>YEAR(E901)</f>
        <v/>
      </c>
      <c r="C901" s="18">
        <f>INDEX({"Janeiro";"Fevereiro";"Março";"Abril";"Maio";"Junho";"Julho";"Agosto";"Setembro";"Outubro";"Novembro";"Dezembro"},Q901)</f>
        <v/>
      </c>
      <c r="D901" s="24" t="n">
        <v>3</v>
      </c>
      <c r="E901" s="25" t="n">
        <v>46160</v>
      </c>
      <c r="F901" s="23" t="inlineStr">
        <is>
          <t>Iogurte Coco 185g</t>
        </is>
      </c>
      <c r="G901" s="23" t="inlineStr">
        <is>
          <t>IOGURTE</t>
        </is>
      </c>
      <c r="H901" s="26" t="n">
        <v>0.185</v>
      </c>
      <c r="I901" s="36" t="n">
        <v>520</v>
      </c>
      <c r="J901" s="21">
        <f>I901*H901</f>
        <v/>
      </c>
      <c r="K901" s="21">
        <f>IFERROR(IF(J901/P901&gt;1,P901,J901),0)</f>
        <v/>
      </c>
      <c r="L901" s="36" t="n">
        <v>485</v>
      </c>
      <c r="M901" s="21">
        <f>L901*H901</f>
        <v/>
      </c>
      <c r="N901" s="21">
        <f>IFERROR(IF(M901/K901&gt;1,K901,M901),0)</f>
        <v/>
      </c>
      <c r="O901" s="36" t="n">
        <v>520</v>
      </c>
      <c r="P901" s="21">
        <f>O901*H901</f>
        <v/>
      </c>
      <c r="Q901" s="30">
        <f>IF(MONTH(E901+1)=MONTH(E901+6),MONTH(E901+1),IF(MIN(EOMONTH(E901+1,0),E901+6)-(E901+1)+1&gt;=3,MONTH(E901+1),MONTH(E901+6)))</f>
        <v/>
      </c>
      <c r="R901" s="22">
        <f>IFERROR(K901/P901, 0)</f>
        <v/>
      </c>
      <c r="S901" s="38">
        <f>IFERROR(N901/P901,0)</f>
        <v/>
      </c>
      <c r="T901" s="31">
        <f>IFERROR(IF(N901&gt;0,(N901/K901),MIN(1,M901/J901)),0)</f>
        <v/>
      </c>
      <c r="U901" s="33" t="n"/>
    </row>
    <row r="902" hidden="1" s="40">
      <c r="A902" s="18" t="inlineStr">
        <is>
          <t>Semana 3 - Maio</t>
        </is>
      </c>
      <c r="B902" s="27">
        <f>YEAR(E902)</f>
        <v/>
      </c>
      <c r="C902" s="18">
        <f>INDEX({"Janeiro";"Fevereiro";"Março";"Abril";"Maio";"Junho";"Julho";"Agosto";"Setembro";"Outubro";"Novembro";"Dezembro"},Q902)</f>
        <v/>
      </c>
      <c r="D902" s="19" t="n">
        <v>3</v>
      </c>
      <c r="E902" s="20" t="n">
        <v>46160</v>
      </c>
      <c r="F902" s="18" t="inlineStr">
        <is>
          <t>Iogurte Coco 900g</t>
        </is>
      </c>
      <c r="G902" s="18" t="inlineStr">
        <is>
          <t>IOGURTE</t>
        </is>
      </c>
      <c r="H902" s="21" t="n">
        <v>0.9</v>
      </c>
      <c r="I902" s="36" t="n">
        <v>1535</v>
      </c>
      <c r="J902" s="21">
        <f>I902*H902</f>
        <v/>
      </c>
      <c r="K902" s="21">
        <f>IFERROR(IF(J902/P902&gt;1,P902,J902),0)</f>
        <v/>
      </c>
      <c r="L902" s="36" t="n">
        <v>1888</v>
      </c>
      <c r="M902" s="21">
        <f>L902*H902</f>
        <v/>
      </c>
      <c r="N902" s="21">
        <f>IFERROR(IF(M902/K902&gt;1,K902,M902),0)</f>
        <v/>
      </c>
      <c r="O902" s="36" t="n">
        <v>1532</v>
      </c>
      <c r="P902" s="21">
        <f>O902*H902</f>
        <v/>
      </c>
      <c r="Q902" s="30">
        <f>IF(MONTH(E902+1)=MONTH(E902+6),MONTH(E902+1),IF(MIN(EOMONTH(E902+1,0),E902+6)-(E902+1)+1&gt;=3,MONTH(E902+1),MONTH(E902+6)))</f>
        <v/>
      </c>
      <c r="R902" s="22">
        <f>IFERROR(K902/P902, 0)</f>
        <v/>
      </c>
      <c r="S902" s="38">
        <f>IFERROR(N902/P902,0)</f>
        <v/>
      </c>
      <c r="T902" s="31">
        <f>IFERROR(IF(N902&gt;0,(N902/K902),MIN(1,M902/J902)),0)</f>
        <v/>
      </c>
      <c r="U902" s="33" t="n"/>
    </row>
    <row r="903" hidden="1" s="40">
      <c r="A903" s="23" t="inlineStr">
        <is>
          <t>Semana 3 - Maio</t>
        </is>
      </c>
      <c r="B903" s="27">
        <f>YEAR(E903)</f>
        <v/>
      </c>
      <c r="C903" s="18">
        <f>INDEX({"Janeiro";"Fevereiro";"Março";"Abril";"Maio";"Junho";"Julho";"Agosto";"Setembro";"Outubro";"Novembro";"Dezembro"},Q903)</f>
        <v/>
      </c>
      <c r="D903" s="24" t="n">
        <v>3</v>
      </c>
      <c r="E903" s="25" t="n">
        <v>46160</v>
      </c>
      <c r="F903" s="23" t="inlineStr">
        <is>
          <t>Iogurte Grego Frutas vermelhas 120g</t>
        </is>
      </c>
      <c r="G903" s="23" t="inlineStr">
        <is>
          <t>IOGURTE</t>
        </is>
      </c>
      <c r="H903" s="26" t="n">
        <v>0.17</v>
      </c>
      <c r="I903" s="36" t="n">
        <v>1400</v>
      </c>
      <c r="J903" s="21">
        <f>I903*H903</f>
        <v/>
      </c>
      <c r="K903" s="21">
        <f>IFERROR(IF(J903/P903&gt;1,P903,J903),0)</f>
        <v/>
      </c>
      <c r="L903" s="36" t="n">
        <v>1217</v>
      </c>
      <c r="M903" s="21">
        <f>L903*H903</f>
        <v/>
      </c>
      <c r="N903" s="21">
        <f>IFERROR(IF(M903/K903&gt;1,K903,M903),0)</f>
        <v/>
      </c>
      <c r="O903" s="36" t="n">
        <v>1400</v>
      </c>
      <c r="P903" s="21">
        <f>O903*H903</f>
        <v/>
      </c>
      <c r="Q903" s="30">
        <f>IF(MONTH(E903+1)=MONTH(E903+6),MONTH(E903+1),IF(MIN(EOMONTH(E903+1,0),E903+6)-(E903+1)+1&gt;=3,MONTH(E903+1),MONTH(E903+6)))</f>
        <v/>
      </c>
      <c r="R903" s="22">
        <f>IFERROR(K903/P903, 0)</f>
        <v/>
      </c>
      <c r="S903" s="38">
        <f>IFERROR(N903/P903,0)</f>
        <v/>
      </c>
      <c r="T903" s="31">
        <f>IFERROR(IF(N903&gt;0,(N903/K903),MIN(1,M903/J903)),0)</f>
        <v/>
      </c>
      <c r="U903" s="33" t="n"/>
    </row>
    <row r="904" hidden="1" s="40">
      <c r="A904" s="23" t="inlineStr">
        <is>
          <t>Semana 3 - Maio</t>
        </is>
      </c>
      <c r="B904" s="27">
        <f>YEAR(E904)</f>
        <v/>
      </c>
      <c r="C904" s="18">
        <f>INDEX({"Janeiro";"Fevereiro";"Março";"Abril";"Maio";"Junho";"Julho";"Agosto";"Setembro";"Outubro";"Novembro";"Dezembro"},Q904)</f>
        <v/>
      </c>
      <c r="D904" s="24" t="n">
        <v>3</v>
      </c>
      <c r="E904" s="25" t="n">
        <v>46160</v>
      </c>
      <c r="F904" s="23" t="inlineStr">
        <is>
          <t>Iogurte Morango 120g</t>
        </is>
      </c>
      <c r="G904" s="23" t="inlineStr">
        <is>
          <t>IOGURTE</t>
        </is>
      </c>
      <c r="H904" s="26" t="n">
        <v>0.12</v>
      </c>
      <c r="I904" s="36" t="n">
        <v>13000</v>
      </c>
      <c r="J904" s="21">
        <f>I904*H904</f>
        <v/>
      </c>
      <c r="K904" s="21">
        <f>IFERROR(IF(J904/P904&gt;1,P904,J904),0)</f>
        <v/>
      </c>
      <c r="L904" s="36" t="n">
        <v>12426</v>
      </c>
      <c r="M904" s="21">
        <f>L904*H904</f>
        <v/>
      </c>
      <c r="N904" s="21">
        <f>IFERROR(IF(M904/K904&gt;1,K904,M904),0)</f>
        <v/>
      </c>
      <c r="O904" s="36" t="n">
        <v>20000</v>
      </c>
      <c r="P904" s="21">
        <f>O904*H904</f>
        <v/>
      </c>
      <c r="Q904" s="30">
        <f>IF(MONTH(E904+1)=MONTH(E904+6),MONTH(E904+1),IF(MIN(EOMONTH(E904+1,0),E904+6)-(E904+1)+1&gt;=3,MONTH(E904+1),MONTH(E904+6)))</f>
        <v/>
      </c>
      <c r="R904" s="22">
        <f>IFERROR(K904/P904, 0)</f>
        <v/>
      </c>
      <c r="S904" s="38">
        <f>IFERROR(N904/P904,0)</f>
        <v/>
      </c>
      <c r="T904" s="31">
        <f>IFERROR(IF(N904&gt;0,(N904/K904),MIN(1,M904/J904)),0)</f>
        <v/>
      </c>
      <c r="U904" s="33" t="n"/>
    </row>
    <row r="905" hidden="1" s="40">
      <c r="A905" s="18" t="inlineStr">
        <is>
          <t>Semana 3 - Maio</t>
        </is>
      </c>
      <c r="B905" s="27">
        <f>YEAR(E905)</f>
        <v/>
      </c>
      <c r="C905" s="18">
        <f>INDEX({"Janeiro";"Fevereiro";"Março";"Abril";"Maio";"Junho";"Julho";"Agosto";"Setembro";"Outubro";"Novembro";"Dezembro"},Q905)</f>
        <v/>
      </c>
      <c r="D905" s="19" t="n">
        <v>3</v>
      </c>
      <c r="E905" s="20" t="n">
        <v>46160</v>
      </c>
      <c r="F905" s="18" t="inlineStr">
        <is>
          <t>Iogurte Morango 185g</t>
        </is>
      </c>
      <c r="G905" s="18" t="inlineStr">
        <is>
          <t>IOGURTE</t>
        </is>
      </c>
      <c r="H905" s="21" t="n">
        <v>0.185</v>
      </c>
      <c r="I905" s="36" t="n">
        <v>1300</v>
      </c>
      <c r="J905" s="21">
        <f>I905*H905</f>
        <v/>
      </c>
      <c r="K905" s="21">
        <f>IFERROR(IF(J905/P905&gt;1,P905,J905),0)</f>
        <v/>
      </c>
      <c r="L905" s="36" t="n">
        <v>1270</v>
      </c>
      <c r="M905" s="21">
        <f>L905*H905</f>
        <v/>
      </c>
      <c r="N905" s="21">
        <f>IFERROR(IF(M905/K905&gt;1,K905,M905),0)</f>
        <v/>
      </c>
      <c r="O905" s="36" t="n">
        <v>1300</v>
      </c>
      <c r="P905" s="21">
        <f>O905*H905</f>
        <v/>
      </c>
      <c r="Q905" s="30">
        <f>IF(MONTH(E905+1)=MONTH(E905+6),MONTH(E905+1),IF(MIN(EOMONTH(E905+1,0),E905+6)-(E905+1)+1&gt;=3,MONTH(E905+1),MONTH(E905+6)))</f>
        <v/>
      </c>
      <c r="R905" s="22">
        <f>IFERROR(K905/P905, 0)</f>
        <v/>
      </c>
      <c r="S905" s="38">
        <f>IFERROR(N905/P905,0)</f>
        <v/>
      </c>
      <c r="T905" s="31">
        <f>IFERROR(IF(N905&gt;0,(N905/K905),MIN(1,M905/J905)),0)</f>
        <v/>
      </c>
      <c r="U905" s="33" t="n"/>
    </row>
    <row r="906" hidden="1" s="40">
      <c r="A906" s="23" t="inlineStr">
        <is>
          <t>Semana 3 - Maio</t>
        </is>
      </c>
      <c r="B906" s="27">
        <f>YEAR(E906)</f>
        <v/>
      </c>
      <c r="C906" s="18">
        <f>INDEX({"Janeiro";"Fevereiro";"Março";"Abril";"Maio";"Junho";"Julho";"Agosto";"Setembro";"Outubro";"Novembro";"Dezembro"},Q906)</f>
        <v/>
      </c>
      <c r="D906" s="24" t="n">
        <v>3</v>
      </c>
      <c r="E906" s="25" t="n">
        <v>46160</v>
      </c>
      <c r="F906" s="23" t="inlineStr">
        <is>
          <t>Iogurte Morango 900G</t>
        </is>
      </c>
      <c r="G906" s="23" t="inlineStr">
        <is>
          <t>IOGURTE</t>
        </is>
      </c>
      <c r="H906" s="26" t="n">
        <v>0.9</v>
      </c>
      <c r="I906" s="36" t="n">
        <v>2250</v>
      </c>
      <c r="J906" s="21">
        <f>I906*H906</f>
        <v/>
      </c>
      <c r="K906" s="21">
        <f>IFERROR(IF(J906/P906&gt;1,P906,J906),0)</f>
        <v/>
      </c>
      <c r="L906" s="36" t="n">
        <v>2316</v>
      </c>
      <c r="M906" s="21">
        <f>L906*H906</f>
        <v/>
      </c>
      <c r="N906" s="21">
        <f>IFERROR(IF(M906/K906&gt;1,K906,M906),0)</f>
        <v/>
      </c>
      <c r="O906" s="36" t="n">
        <v>4783</v>
      </c>
      <c r="P906" s="21">
        <f>O906*H906</f>
        <v/>
      </c>
      <c r="Q906" s="30">
        <f>IF(MONTH(E906+1)=MONTH(E906+6),MONTH(E906+1),IF(MIN(EOMONTH(E906+1,0),E906+6)-(E906+1)+1&gt;=3,MONTH(E906+1),MONTH(E906+6)))</f>
        <v/>
      </c>
      <c r="R906" s="22">
        <f>IFERROR(K906/P906, 0)</f>
        <v/>
      </c>
      <c r="S906" s="38">
        <f>IFERROR(N906/P906,0)</f>
        <v/>
      </c>
      <c r="T906" s="31">
        <f>IFERROR(IF(N906&gt;0,(N906/K906),MIN(1,M906/J906)),0)</f>
        <v/>
      </c>
      <c r="U906" s="33" t="n"/>
    </row>
    <row r="907" hidden="1" s="40">
      <c r="A907" s="18" t="inlineStr">
        <is>
          <t>Semana 3 - Maio</t>
        </is>
      </c>
      <c r="B907" s="27">
        <f>YEAR(E907)</f>
        <v/>
      </c>
      <c r="C907" s="18">
        <f>INDEX({"Janeiro";"Fevereiro";"Março";"Abril";"Maio";"Junho";"Julho";"Agosto";"Setembro";"Outubro";"Novembro";"Dezembro"},Q907)</f>
        <v/>
      </c>
      <c r="D907" s="19" t="n">
        <v>3</v>
      </c>
      <c r="E907" s="20" t="n">
        <v>46160</v>
      </c>
      <c r="F907" s="18" t="inlineStr">
        <is>
          <t>Iogurte Natural Integral 170g</t>
        </is>
      </c>
      <c r="G907" s="18" t="inlineStr">
        <is>
          <t>IOGURTE</t>
        </is>
      </c>
      <c r="H907" s="21" t="n">
        <v>0.17</v>
      </c>
      <c r="I907" s="36" t="n">
        <v>0</v>
      </c>
      <c r="J907" s="21">
        <f>I907*H907</f>
        <v/>
      </c>
      <c r="K907" s="21">
        <f>IFERROR(IF(J907/P907&gt;1,P907,J907),0)</f>
        <v/>
      </c>
      <c r="L907" s="36" t="n">
        <v>0</v>
      </c>
      <c r="M907" s="21">
        <f>L907*H907</f>
        <v/>
      </c>
      <c r="N907" s="21">
        <f>IFERROR(IF(M907/K907&gt;1,K907,M907),0)</f>
        <v/>
      </c>
      <c r="O907" s="36" t="n">
        <v>3800</v>
      </c>
      <c r="P907" s="21">
        <f>O907*H907</f>
        <v/>
      </c>
      <c r="Q907" s="30">
        <f>IF(MONTH(E907+1)=MONTH(E907+6),MONTH(E907+1),IF(MIN(EOMONTH(E907+1,0),E907+6)-(E907+1)+1&gt;=3,MONTH(E907+1),MONTH(E907+6)))</f>
        <v/>
      </c>
      <c r="R907" s="22">
        <f>IFERROR(K907/P907, 0)</f>
        <v/>
      </c>
      <c r="S907" s="38">
        <f>IFERROR(N907/P907,0)</f>
        <v/>
      </c>
      <c r="T907" s="31">
        <f>IFERROR(IF(N907&gt;0,(N907/K907),MIN(1,M907/J907)),0)</f>
        <v/>
      </c>
      <c r="U907" s="33" t="n"/>
    </row>
    <row r="908" hidden="1" s="40">
      <c r="A908" s="23" t="inlineStr">
        <is>
          <t>Semana 3 - Maio</t>
        </is>
      </c>
      <c r="B908" s="27">
        <f>YEAR(E908)</f>
        <v/>
      </c>
      <c r="C908" s="18">
        <f>INDEX({"Janeiro";"Fevereiro";"Março";"Abril";"Maio";"Junho";"Julho";"Agosto";"Setembro";"Outubro";"Novembro";"Dezembro"},Q908)</f>
        <v/>
      </c>
      <c r="D908" s="24" t="n">
        <v>3</v>
      </c>
      <c r="E908" s="25" t="n">
        <v>46160</v>
      </c>
      <c r="F908" s="23" t="inlineStr">
        <is>
          <t>Iogurte Natural Triplo Zero 170g</t>
        </is>
      </c>
      <c r="G908" s="23" t="inlineStr">
        <is>
          <t>IOGURTE</t>
        </is>
      </c>
      <c r="H908" s="26" t="n">
        <v>0.17</v>
      </c>
      <c r="I908" s="36" t="n">
        <v>3820</v>
      </c>
      <c r="J908" s="21">
        <f>I908*H908</f>
        <v/>
      </c>
      <c r="K908" s="21">
        <f>IFERROR(IF(J908/P908&gt;1,P908,J908),0)</f>
        <v/>
      </c>
      <c r="L908" s="36" t="n">
        <v>3674</v>
      </c>
      <c r="M908" s="21">
        <f>L908*H908</f>
        <v/>
      </c>
      <c r="N908" s="21">
        <f>IFERROR(IF(M908/K908&gt;1,K908,M908),0)</f>
        <v/>
      </c>
      <c r="O908" s="36" t="n">
        <v>1400</v>
      </c>
      <c r="P908" s="21">
        <f>O908*H908</f>
        <v/>
      </c>
      <c r="Q908" s="30">
        <f>IF(MONTH(E908+1)=MONTH(E908+6),MONTH(E908+1),IF(MIN(EOMONTH(E908+1,0),E908+6)-(E908+1)+1&gt;=3,MONTH(E908+1),MONTH(E908+6)))</f>
        <v/>
      </c>
      <c r="R908" s="22">
        <f>IFERROR(K908/P908, 0)</f>
        <v/>
      </c>
      <c r="S908" s="38">
        <f>IFERROR(N908/P908,0)</f>
        <v/>
      </c>
      <c r="T908" s="31">
        <f>IFERROR(IF(N908&gt;0,(N908/K908),MIN(1,M908/J908)),0)</f>
        <v/>
      </c>
      <c r="U908" s="33" t="n"/>
    </row>
    <row r="909" hidden="1" s="40">
      <c r="A909" s="23" t="inlineStr">
        <is>
          <t>Semana 3 - Maio</t>
        </is>
      </c>
      <c r="B909" s="27">
        <f>YEAR(E909)</f>
        <v/>
      </c>
      <c r="C909" s="18">
        <f>INDEX({"Janeiro";"Fevereiro";"Março";"Abril";"Maio";"Junho";"Julho";"Agosto";"Setembro";"Outubro";"Novembro";"Dezembro"},Q909)</f>
        <v/>
      </c>
      <c r="D909" s="24" t="n">
        <v>3</v>
      </c>
      <c r="E909" s="25" t="n">
        <v>46160</v>
      </c>
      <c r="F909" s="23" t="inlineStr">
        <is>
          <t>Iogurte Salada 120g</t>
        </is>
      </c>
      <c r="G909" s="23" t="inlineStr">
        <is>
          <t>IOGURTE</t>
        </is>
      </c>
      <c r="H909" s="26" t="n">
        <v>0.12</v>
      </c>
      <c r="I909" s="36" t="n">
        <v>2000</v>
      </c>
      <c r="J909" s="21">
        <f>I909*H909</f>
        <v/>
      </c>
      <c r="K909" s="21">
        <f>IFERROR(IF(J909/P909&gt;1,P909,J909),0)</f>
        <v/>
      </c>
      <c r="L909" s="36" t="n">
        <v>2182</v>
      </c>
      <c r="M909" s="21">
        <f>L909*H909</f>
        <v/>
      </c>
      <c r="N909" s="21">
        <f>IFERROR(IF(M909/K909&gt;1,K909,M909),0)</f>
        <v/>
      </c>
      <c r="O909" s="36" t="n">
        <v>2000</v>
      </c>
      <c r="P909" s="21">
        <f>O909*H909</f>
        <v/>
      </c>
      <c r="Q909" s="30">
        <f>IF(MONTH(E909+1)=MONTH(E909+6),MONTH(E909+1),IF(MIN(EOMONTH(E909+1,0),E909+6)-(E909+1)+1&gt;=3,MONTH(E909+1),MONTH(E909+6)))</f>
        <v/>
      </c>
      <c r="R909" s="22">
        <f>IFERROR(K909/P909, 0)</f>
        <v/>
      </c>
      <c r="S909" s="38">
        <f>IFERROR(N909/P909,0)</f>
        <v/>
      </c>
      <c r="T909" s="31">
        <f>IFERROR(IF(N909&gt;0,(N909/K909),MIN(1,M909/J909)),0)</f>
        <v/>
      </c>
      <c r="U909" s="33" t="n"/>
    </row>
    <row r="910" hidden="1" s="40">
      <c r="A910" s="18" t="inlineStr">
        <is>
          <t>Semana 3 - Maio</t>
        </is>
      </c>
      <c r="B910" s="27">
        <f>YEAR(E910)</f>
        <v/>
      </c>
      <c r="C910" s="18">
        <f>INDEX({"Janeiro";"Fevereiro";"Março";"Abril";"Maio";"Junho";"Julho";"Agosto";"Setembro";"Outubro";"Novembro";"Dezembro"},Q910)</f>
        <v/>
      </c>
      <c r="D910" s="19" t="n">
        <v>3</v>
      </c>
      <c r="E910" s="20" t="n">
        <v>46160</v>
      </c>
      <c r="F910" s="18" t="inlineStr">
        <is>
          <t>Iogurte Salada 185g</t>
        </is>
      </c>
      <c r="G910" s="18" t="inlineStr">
        <is>
          <t>IOGURTE</t>
        </is>
      </c>
      <c r="H910" s="21" t="n">
        <v>0.185</v>
      </c>
      <c r="I910" s="36" t="n">
        <v>520</v>
      </c>
      <c r="J910" s="21">
        <f>I910*H910</f>
        <v/>
      </c>
      <c r="K910" s="21">
        <f>IFERROR(IF(J910/P910&gt;1,P910,J910),0)</f>
        <v/>
      </c>
      <c r="L910" s="36" t="n">
        <v>514</v>
      </c>
      <c r="M910" s="21">
        <f>L910*H910</f>
        <v/>
      </c>
      <c r="N910" s="21">
        <f>IFERROR(IF(M910/K910&gt;1,K910,M910),0)</f>
        <v/>
      </c>
      <c r="O910" s="36" t="n">
        <v>520</v>
      </c>
      <c r="P910" s="21">
        <f>O910*H910</f>
        <v/>
      </c>
      <c r="Q910" s="30">
        <f>IF(MONTH(E910+1)=MONTH(E910+6),MONTH(E910+1),IF(MIN(EOMONTH(E910+1,0),E910+6)-(E910+1)+1&gt;=3,MONTH(E910+1),MONTH(E910+6)))</f>
        <v/>
      </c>
      <c r="R910" s="22">
        <f>IFERROR(K910/P910, 0)</f>
        <v/>
      </c>
      <c r="S910" s="38">
        <f>IFERROR(N910/P910,0)</f>
        <v/>
      </c>
      <c r="T910" s="31">
        <f>IFERROR(IF(N910&gt;0,(N910/K910),MIN(1,M910/J910)),0)</f>
        <v/>
      </c>
      <c r="U910" s="33" t="n"/>
    </row>
    <row r="911" hidden="1" s="40">
      <c r="A911" s="23" t="inlineStr">
        <is>
          <t>Semana 3 - Maio</t>
        </is>
      </c>
      <c r="B911" s="27">
        <f>YEAR(E911)</f>
        <v/>
      </c>
      <c r="C911" s="18">
        <f>INDEX({"Janeiro";"Fevereiro";"Março";"Abril";"Maio";"Junho";"Julho";"Agosto";"Setembro";"Outubro";"Novembro";"Dezembro"},Q911)</f>
        <v/>
      </c>
      <c r="D911" s="24" t="n">
        <v>3</v>
      </c>
      <c r="E911" s="25" t="n">
        <v>46160</v>
      </c>
      <c r="F911" s="23" t="inlineStr">
        <is>
          <t>Iogurte Salada 900g</t>
        </is>
      </c>
      <c r="G911" s="23" t="inlineStr">
        <is>
          <t>IOGURTE</t>
        </is>
      </c>
      <c r="H911" s="26" t="n">
        <v>0.9</v>
      </c>
      <c r="I911" s="36" t="n">
        <v>900</v>
      </c>
      <c r="J911" s="21">
        <f>I911*H911</f>
        <v/>
      </c>
      <c r="K911" s="21">
        <f>IFERROR(IF(J911/P911&gt;1,P911,J911),0)</f>
        <v/>
      </c>
      <c r="L911" s="36" t="n">
        <v>1168</v>
      </c>
      <c r="M911" s="21">
        <f>L911*H911</f>
        <v/>
      </c>
      <c r="N911" s="21">
        <f>IFERROR(IF(M911/K911&gt;1,K911,M911),0)</f>
        <v/>
      </c>
      <c r="O911" s="36" t="n">
        <v>9000</v>
      </c>
      <c r="P911" s="21">
        <f>O911*H911</f>
        <v/>
      </c>
      <c r="Q911" s="30">
        <f>IF(MONTH(E911+1)=MONTH(E911+6),MONTH(E911+1),IF(MIN(EOMONTH(E911+1,0),E911+6)-(E911+1)+1&gt;=3,MONTH(E911+1),MONTH(E911+6)))</f>
        <v/>
      </c>
      <c r="R911" s="22">
        <f>IFERROR(K911/P911, 0)</f>
        <v/>
      </c>
      <c r="S911" s="38">
        <f>IFERROR(N911/P911,0)</f>
        <v/>
      </c>
      <c r="T911" s="31">
        <f>IFERROR(IF(N911&gt;0,(N911/K911),MIN(1,M911/J911)),0)</f>
        <v/>
      </c>
      <c r="U911" s="33" t="n"/>
    </row>
    <row r="912" hidden="1" s="40">
      <c r="A912" s="18" t="inlineStr">
        <is>
          <t>Semana 3 - Maio</t>
        </is>
      </c>
      <c r="B912" s="27">
        <f>YEAR(E912)</f>
        <v/>
      </c>
      <c r="C912" s="18">
        <f>INDEX({"Janeiro";"Fevereiro";"Março";"Abril";"Maio";"Junho";"Julho";"Agosto";"Setembro";"Outubro";"Novembro";"Dezembro"},Q912)</f>
        <v/>
      </c>
      <c r="D912" s="19" t="n">
        <v>3</v>
      </c>
      <c r="E912" s="20" t="n">
        <v>46160</v>
      </c>
      <c r="F912" s="18" t="inlineStr">
        <is>
          <t>Iogurte Vida Leve Ameixa c/ Grãos 180g</t>
        </is>
      </c>
      <c r="G912" s="18" t="inlineStr">
        <is>
          <t>IOGURTE</t>
        </is>
      </c>
      <c r="H912" s="21" t="n">
        <v>0.18</v>
      </c>
      <c r="I912" s="36" t="n">
        <v>780</v>
      </c>
      <c r="J912" s="21">
        <f>I912*H912</f>
        <v/>
      </c>
      <c r="K912" s="21">
        <f>IFERROR(IF(J912/P912&gt;1,P912,J912),0)</f>
        <v/>
      </c>
      <c r="L912" s="36" t="n">
        <v>776</v>
      </c>
      <c r="M912" s="21">
        <f>L912*H912</f>
        <v/>
      </c>
      <c r="N912" s="21">
        <f>IFERROR(IF(M912/K912&gt;1,K912,M912),0)</f>
        <v/>
      </c>
      <c r="O912" s="36" t="n">
        <v>780</v>
      </c>
      <c r="P912" s="21">
        <f>O912*H912</f>
        <v/>
      </c>
      <c r="Q912" s="30">
        <f>IF(MONTH(E912+1)=MONTH(E912+6),MONTH(E912+1),IF(MIN(EOMONTH(E912+1,0),E912+6)-(E912+1)+1&gt;=3,MONTH(E912+1),MONTH(E912+6)))</f>
        <v/>
      </c>
      <c r="R912" s="22">
        <f>IFERROR(K912/P912, 0)</f>
        <v/>
      </c>
      <c r="S912" s="38">
        <f>IFERROR(N912/P912,0)</f>
        <v/>
      </c>
      <c r="T912" s="31">
        <f>IFERROR(IF(N912&gt;0,(N912/K912),MIN(1,M912/J912)),0)</f>
        <v/>
      </c>
      <c r="U912" s="33" t="n"/>
    </row>
    <row r="913" hidden="1" s="40">
      <c r="A913" s="23" t="inlineStr">
        <is>
          <t>Semana 3 - Maio</t>
        </is>
      </c>
      <c r="B913" s="27">
        <f>YEAR(E913)</f>
        <v/>
      </c>
      <c r="C913" s="18">
        <f>INDEX({"Janeiro";"Fevereiro";"Março";"Abril";"Maio";"Junho";"Julho";"Agosto";"Setembro";"Outubro";"Novembro";"Dezembro"},Q913)</f>
        <v/>
      </c>
      <c r="D913" s="24" t="n">
        <v>3</v>
      </c>
      <c r="E913" s="25" t="n">
        <v>46160</v>
      </c>
      <c r="F913" s="23" t="inlineStr">
        <is>
          <t>Iogurte Vida Leve Ameixa c/ Grãos 500g</t>
        </is>
      </c>
      <c r="G913" s="23" t="inlineStr">
        <is>
          <t>IOGURTE</t>
        </is>
      </c>
      <c r="H913" s="26" t="n">
        <v>0.5</v>
      </c>
      <c r="I913" s="36" t="n">
        <v>2000</v>
      </c>
      <c r="J913" s="21">
        <f>I913*H913</f>
        <v/>
      </c>
      <c r="K913" s="21">
        <f>IFERROR(IF(J913/P913&gt;1,P913,J913),0)</f>
        <v/>
      </c>
      <c r="L913" s="36" t="n">
        <v>1531</v>
      </c>
      <c r="M913" s="21">
        <f>L913*H913</f>
        <v/>
      </c>
      <c r="N913" s="21">
        <f>IFERROR(IF(M913/K913&gt;1,K913,M913),0)</f>
        <v/>
      </c>
      <c r="O913" s="36" t="n">
        <v>1100</v>
      </c>
      <c r="P913" s="21">
        <f>O913*H913</f>
        <v/>
      </c>
      <c r="Q913" s="30">
        <f>IF(MONTH(E913+1)=MONTH(E913+6),MONTH(E913+1),IF(MIN(EOMONTH(E913+1,0),E913+6)-(E913+1)+1&gt;=3,MONTH(E913+1),MONTH(E913+6)))</f>
        <v/>
      </c>
      <c r="R913" s="22">
        <f>IFERROR(K913/P913, 0)</f>
        <v/>
      </c>
      <c r="S913" s="38">
        <f>IFERROR(N913/P913,0)</f>
        <v/>
      </c>
      <c r="T913" s="31">
        <f>IFERROR(IF(N913&gt;0,(N913/K913),MIN(1,M913/J913)),0)</f>
        <v/>
      </c>
      <c r="U913" s="33" t="n"/>
    </row>
    <row r="914" hidden="1" s="40">
      <c r="A914" s="18" t="inlineStr">
        <is>
          <t>Semana 3 - Maio</t>
        </is>
      </c>
      <c r="B914" s="27">
        <f>YEAR(E914)</f>
        <v/>
      </c>
      <c r="C914" s="18">
        <f>INDEX({"Janeiro";"Fevereiro";"Março";"Abril";"Maio";"Junho";"Julho";"Agosto";"Setembro";"Outubro";"Novembro";"Dezembro"},Q914)</f>
        <v/>
      </c>
      <c r="D914" s="19" t="n">
        <v>3</v>
      </c>
      <c r="E914" s="20" t="n">
        <v>46160</v>
      </c>
      <c r="F914" s="18" t="inlineStr">
        <is>
          <t>Iogurte Vida Leve Morango 180g</t>
        </is>
      </c>
      <c r="G914" s="18" t="inlineStr">
        <is>
          <t>IOGURTE</t>
        </is>
      </c>
      <c r="H914" s="21" t="n">
        <v>0.185</v>
      </c>
      <c r="I914" s="36" t="n">
        <v>1200</v>
      </c>
      <c r="J914" s="21">
        <f>I914*H914</f>
        <v/>
      </c>
      <c r="K914" s="21">
        <f>IFERROR(IF(J914/P914&gt;1,P914,J914),0)</f>
        <v/>
      </c>
      <c r="L914" s="36" t="n">
        <v>1505</v>
      </c>
      <c r="M914" s="21">
        <f>L914*H914</f>
        <v/>
      </c>
      <c r="N914" s="21">
        <f>IFERROR(IF(M914/K914&gt;1,K914,M914),0)</f>
        <v/>
      </c>
      <c r="O914" s="36" t="n">
        <v>1200</v>
      </c>
      <c r="P914" s="21">
        <f>O914*H914</f>
        <v/>
      </c>
      <c r="Q914" s="30">
        <f>IF(MONTH(E914+1)=MONTH(E914+6),MONTH(E914+1),IF(MIN(EOMONTH(E914+1,0),E914+6)-(E914+1)+1&gt;=3,MONTH(E914+1),MONTH(E914+6)))</f>
        <v/>
      </c>
      <c r="R914" s="22">
        <f>IFERROR(K914/P914, 0)</f>
        <v/>
      </c>
      <c r="S914" s="38">
        <f>IFERROR(N914/P914,0)</f>
        <v/>
      </c>
      <c r="T914" s="31">
        <f>IFERROR(IF(N914&gt;0,(N914/K914),MIN(1,M914/J914)),0)</f>
        <v/>
      </c>
      <c r="U914" s="33" t="n"/>
    </row>
    <row r="915" hidden="1" s="40">
      <c r="A915" s="23" t="inlineStr">
        <is>
          <t>Semana 3 - Maio</t>
        </is>
      </c>
      <c r="B915" s="27">
        <f>YEAR(E915)</f>
        <v/>
      </c>
      <c r="C915" s="18">
        <f>INDEX({"Janeiro";"Fevereiro";"Março";"Abril";"Maio";"Junho";"Julho";"Agosto";"Setembro";"Outubro";"Novembro";"Dezembro"},Q915)</f>
        <v/>
      </c>
      <c r="D915" s="24" t="n">
        <v>3</v>
      </c>
      <c r="E915" s="25" t="n">
        <v>46160</v>
      </c>
      <c r="F915" s="23" t="inlineStr">
        <is>
          <t>Iogurte Vida Leve Morango 500g</t>
        </is>
      </c>
      <c r="G915" s="23" t="inlineStr">
        <is>
          <t>IOGURTE</t>
        </is>
      </c>
      <c r="H915" s="26" t="n">
        <v>0.5</v>
      </c>
      <c r="I915" s="36" t="n">
        <v>1800</v>
      </c>
      <c r="J915" s="21">
        <f>I915*H915</f>
        <v/>
      </c>
      <c r="K915" s="21">
        <f>IFERROR(IF(J915/P915&gt;1,P915,J915),0)</f>
        <v/>
      </c>
      <c r="L915" s="36" t="n">
        <v>2276</v>
      </c>
      <c r="M915" s="21">
        <f>L915*H915</f>
        <v/>
      </c>
      <c r="N915" s="21">
        <f>IFERROR(IF(M915/K915&gt;1,K915,M915),0)</f>
        <v/>
      </c>
      <c r="O915" s="36" t="n">
        <v>1800</v>
      </c>
      <c r="P915" s="21">
        <f>O915*H915</f>
        <v/>
      </c>
      <c r="Q915" s="30">
        <f>IF(MONTH(E915+1)=MONTH(E915+6),MONTH(E915+1),IF(MIN(EOMONTH(E915+1,0),E915+6)-(E915+1)+1&gt;=3,MONTH(E915+1),MONTH(E915+6)))</f>
        <v/>
      </c>
      <c r="R915" s="22">
        <f>IFERROR(K915/P915, 0)</f>
        <v/>
      </c>
      <c r="S915" s="38">
        <f>IFERROR(N915/P915,0)</f>
        <v/>
      </c>
      <c r="T915" s="31">
        <f>IFERROR(IF(N915&gt;0,(N915/K915),MIN(1,M915/J915)),0)</f>
        <v/>
      </c>
      <c r="U915" s="33" t="n"/>
    </row>
    <row r="916" hidden="1" s="40">
      <c r="A916" s="18" t="inlineStr">
        <is>
          <t>Semana 3 - Maio</t>
        </is>
      </c>
      <c r="B916" s="27">
        <f>YEAR(E916)</f>
        <v/>
      </c>
      <c r="C916" s="18">
        <f>INDEX({"Janeiro";"Fevereiro";"Março";"Abril";"Maio";"Junho";"Julho";"Agosto";"Setembro";"Outubro";"Novembro";"Dezembro"},Q916)</f>
        <v/>
      </c>
      <c r="D916" s="19" t="n">
        <v>3</v>
      </c>
      <c r="E916" s="20" t="n">
        <v>46160</v>
      </c>
      <c r="F916" s="18" t="inlineStr">
        <is>
          <t>LEITE PASTEURIZADO VIÇOSA DESNATADO</t>
        </is>
      </c>
      <c r="G916" s="18" t="inlineStr">
        <is>
          <t>LEITE PAST.</t>
        </is>
      </c>
      <c r="H916" s="21" t="n">
        <v>1</v>
      </c>
      <c r="I916" s="36" t="n">
        <v>550</v>
      </c>
      <c r="J916" s="21">
        <f>I916*H916</f>
        <v/>
      </c>
      <c r="K916" s="21">
        <f>IFERROR(IF(J916/P916&gt;1,P916,J916),0)</f>
        <v/>
      </c>
      <c r="L916" s="36" t="n">
        <v>589</v>
      </c>
      <c r="M916" s="21">
        <f>L916*H916</f>
        <v/>
      </c>
      <c r="N916" s="21">
        <f>IFERROR(IF(M916/K916&gt;1,K916,M916),0)</f>
        <v/>
      </c>
      <c r="O916" s="36" t="n">
        <v>550</v>
      </c>
      <c r="P916" s="21">
        <f>O916*H916</f>
        <v/>
      </c>
      <c r="Q916" s="30">
        <f>IF(MONTH(E916+1)=MONTH(E916+6),MONTH(E916+1),IF(MIN(EOMONTH(E916+1,0),E916+6)-(E916+1)+1&gt;=3,MONTH(E916+1),MONTH(E916+6)))</f>
        <v/>
      </c>
      <c r="R916" s="22">
        <f>IFERROR(K916/P916, 0)</f>
        <v/>
      </c>
      <c r="S916" s="38">
        <f>IFERROR(N916/P916,0)</f>
        <v/>
      </c>
      <c r="T916" s="31">
        <f>IFERROR(IF(N916&gt;0,(N916/K916),MIN(1,M916/J916)),0)</f>
        <v/>
      </c>
      <c r="U916" s="33" t="n"/>
    </row>
    <row r="917" hidden="1" s="40">
      <c r="A917" s="23" t="inlineStr">
        <is>
          <t>Semana 3 - Maio</t>
        </is>
      </c>
      <c r="B917" s="27">
        <f>YEAR(E917)</f>
        <v/>
      </c>
      <c r="C917" s="18">
        <f>INDEX({"Janeiro";"Fevereiro";"Março";"Abril";"Maio";"Junho";"Julho";"Agosto";"Setembro";"Outubro";"Novembro";"Dezembro"},Q917)</f>
        <v/>
      </c>
      <c r="D917" s="24" t="n">
        <v>3</v>
      </c>
      <c r="E917" s="25" t="n">
        <v>46160</v>
      </c>
      <c r="F917" s="23" t="inlineStr">
        <is>
          <t>LEITE PASTEURIZADO VIÇOSA INTEGRAL</t>
        </is>
      </c>
      <c r="G917" s="23" t="inlineStr">
        <is>
          <t>LEITE PAST.</t>
        </is>
      </c>
      <c r="H917" s="26" t="n">
        <v>1</v>
      </c>
      <c r="I917" s="36" t="n">
        <v>16600</v>
      </c>
      <c r="J917" s="21">
        <f>I917*H917</f>
        <v/>
      </c>
      <c r="K917" s="21">
        <f>IFERROR(IF(J917/P917&gt;1,P917,J917),0)</f>
        <v/>
      </c>
      <c r="L917" s="36" t="n">
        <v>17744</v>
      </c>
      <c r="M917" s="21">
        <f>L917*H917</f>
        <v/>
      </c>
      <c r="N917" s="21">
        <f>IFERROR(IF(M917/K917&gt;1,K917,M917),0)</f>
        <v/>
      </c>
      <c r="O917" s="36" t="n">
        <v>16600</v>
      </c>
      <c r="P917" s="21">
        <f>O917*H917</f>
        <v/>
      </c>
      <c r="Q917" s="30">
        <f>IF(MONTH(E917+1)=MONTH(E917+6),MONTH(E917+1),IF(MIN(EOMONTH(E917+1,0),E917+6)-(E917+1)+1&gt;=3,MONTH(E917+1),MONTH(E917+6)))</f>
        <v/>
      </c>
      <c r="R917" s="22">
        <f>IFERROR(K917/P917, 0)</f>
        <v/>
      </c>
      <c r="S917" s="38">
        <f>IFERROR(N917/P917,0)</f>
        <v/>
      </c>
      <c r="T917" s="31">
        <f>IFERROR(IF(N917&gt;0,(N917/K917),MIN(1,M917/J917)),0)</f>
        <v/>
      </c>
      <c r="U917" s="33" t="n"/>
    </row>
    <row r="918" hidden="1" s="40">
      <c r="A918" s="18" t="inlineStr">
        <is>
          <t>Semana 3 - Maio</t>
        </is>
      </c>
      <c r="B918" s="27">
        <f>YEAR(E918)</f>
        <v/>
      </c>
      <c r="C918" s="18">
        <f>INDEX({"Janeiro";"Fevereiro";"Março";"Abril";"Maio";"Junho";"Julho";"Agosto";"Setembro";"Outubro";"Novembro";"Dezembro"},Q918)</f>
        <v/>
      </c>
      <c r="D918" s="19" t="n">
        <v>3</v>
      </c>
      <c r="E918" s="20" t="n">
        <v>46160</v>
      </c>
      <c r="F918" s="18" t="inlineStr">
        <is>
          <t>LEITE PASTEURIZADO VIÇOSA ZERO LACTOSE INTEGRAL 1 L</t>
        </is>
      </c>
      <c r="G918" s="18" t="inlineStr">
        <is>
          <t>LEITE PAST.</t>
        </is>
      </c>
      <c r="H918" s="21" t="n">
        <v>1</v>
      </c>
      <c r="I918" s="36" t="n">
        <v>650</v>
      </c>
      <c r="J918" s="21">
        <f>I918*H918</f>
        <v/>
      </c>
      <c r="K918" s="21">
        <f>IFERROR(IF(J918/P918&gt;1,P918,J918),0)</f>
        <v/>
      </c>
      <c r="L918" s="36" t="n">
        <v>695</v>
      </c>
      <c r="M918" s="21">
        <f>L918*H918</f>
        <v/>
      </c>
      <c r="N918" s="21">
        <f>IFERROR(IF(M918/K918&gt;1,K918,M918),0)</f>
        <v/>
      </c>
      <c r="O918" s="36" t="n">
        <v>650</v>
      </c>
      <c r="P918" s="21">
        <f>O918*H918</f>
        <v/>
      </c>
      <c r="Q918" s="30">
        <f>IF(MONTH(E918+1)=MONTH(E918+6),MONTH(E918+1),IF(MIN(EOMONTH(E918+1,0),E918+6)-(E918+1)+1&gt;=3,MONTH(E918+1),MONTH(E918+6)))</f>
        <v/>
      </c>
      <c r="R918" s="22">
        <f>IFERROR(K918/P918, 0)</f>
        <v/>
      </c>
      <c r="S918" s="38">
        <f>IFERROR(N918/P918,0)</f>
        <v/>
      </c>
      <c r="T918" s="31">
        <f>IFERROR(IF(N918&gt;0,(N918/K918),MIN(1,M918/J918)),0)</f>
        <v/>
      </c>
      <c r="U918" s="33" t="n"/>
    </row>
    <row r="919" hidden="1" s="40">
      <c r="A919" s="23" t="inlineStr">
        <is>
          <t>Semana 3 - Maio</t>
        </is>
      </c>
      <c r="B919" s="27">
        <f>YEAR(E919)</f>
        <v/>
      </c>
      <c r="C919" s="18">
        <f>INDEX({"Janeiro";"Fevereiro";"Março";"Abril";"Maio";"Junho";"Julho";"Agosto";"Setembro";"Outubro";"Novembro";"Dezembro"},Q919)</f>
        <v/>
      </c>
      <c r="D919" s="24" t="n">
        <v>3</v>
      </c>
      <c r="E919" s="25" t="n">
        <v>46160</v>
      </c>
      <c r="F919" s="23" t="inlineStr">
        <is>
          <t>Manteiga 200g</t>
        </is>
      </c>
      <c r="G919" s="23" t="inlineStr">
        <is>
          <t>MANTEIGA</t>
        </is>
      </c>
      <c r="H919" s="26" t="n">
        <v>0.2</v>
      </c>
      <c r="I919" s="36" t="n">
        <v>2300</v>
      </c>
      <c r="J919" s="21">
        <f>I919*H919</f>
        <v/>
      </c>
      <c r="K919" s="21">
        <f>IFERROR(IF(J919/P919&gt;1,P919,J919),0)</f>
        <v/>
      </c>
      <c r="L919" s="36" t="n">
        <v>1164</v>
      </c>
      <c r="M919" s="21">
        <f>L919*H919</f>
        <v/>
      </c>
      <c r="N919" s="21">
        <f>IFERROR(IF(M919/K919&gt;1,K919,M919),0)</f>
        <v/>
      </c>
      <c r="O919" s="36" t="n">
        <v>2304</v>
      </c>
      <c r="P919" s="21">
        <f>O919*H919</f>
        <v/>
      </c>
      <c r="Q919" s="30">
        <f>IF(MONTH(E919+1)=MONTH(E919+6),MONTH(E919+1),IF(MIN(EOMONTH(E919+1,0),E919+6)-(E919+1)+1&gt;=3,MONTH(E919+1),MONTH(E919+6)))</f>
        <v/>
      </c>
      <c r="R919" s="22">
        <f>IFERROR(K919/P919, 0)</f>
        <v/>
      </c>
      <c r="S919" s="38">
        <f>IFERROR(N919/P919,0)</f>
        <v/>
      </c>
      <c r="T919" s="31">
        <f>IFERROR(IF(N919&gt;0,(N919/K919),MIN(1,M919/J919)),0)</f>
        <v/>
      </c>
      <c r="U919" s="33" t="n"/>
    </row>
    <row r="920" hidden="1" s="40">
      <c r="A920" s="18" t="inlineStr">
        <is>
          <t>Semana 3 - Maio</t>
        </is>
      </c>
      <c r="B920" s="27">
        <f>YEAR(E920)</f>
        <v/>
      </c>
      <c r="C920" s="18">
        <f>INDEX({"Janeiro";"Fevereiro";"Março";"Abril";"Maio";"Junho";"Julho";"Agosto";"Setembro";"Outubro";"Novembro";"Dezembro"},Q920)</f>
        <v/>
      </c>
      <c r="D920" s="19" t="n">
        <v>3</v>
      </c>
      <c r="E920" s="20" t="n">
        <v>46160</v>
      </c>
      <c r="F920" s="18" t="inlineStr">
        <is>
          <t>Manteiga 500g</t>
        </is>
      </c>
      <c r="G920" s="18" t="inlineStr">
        <is>
          <t>MANTEIGA</t>
        </is>
      </c>
      <c r="H920" s="21" t="n">
        <v>0.5</v>
      </c>
      <c r="I920" s="36" t="n">
        <v>370</v>
      </c>
      <c r="J920" s="21">
        <f>I920*H920</f>
        <v/>
      </c>
      <c r="K920" s="21">
        <f>IFERROR(IF(J920/P920&gt;1,P920,J920),0)</f>
        <v/>
      </c>
      <c r="L920" s="36" t="n">
        <v>567</v>
      </c>
      <c r="M920" s="21">
        <f>L920*H920</f>
        <v/>
      </c>
      <c r="N920" s="21">
        <f>IFERROR(IF(M920/K920&gt;1,K920,M920),0)</f>
        <v/>
      </c>
      <c r="O920" s="36" t="n">
        <v>370</v>
      </c>
      <c r="P920" s="21">
        <f>O920*H920</f>
        <v/>
      </c>
      <c r="Q920" s="30">
        <f>IF(MONTH(E920+1)=MONTH(E920+6),MONTH(E920+1),IF(MIN(EOMONTH(E920+1,0),E920+6)-(E920+1)+1&gt;=3,MONTH(E920+1),MONTH(E920+6)))</f>
        <v/>
      </c>
      <c r="R920" s="22">
        <f>IFERROR(K920/P920, 0)</f>
        <v/>
      </c>
      <c r="S920" s="38">
        <f>IFERROR(N920/P920,0)</f>
        <v/>
      </c>
      <c r="T920" s="31">
        <f>IFERROR(IF(N920&gt;0,(N920/K920),MIN(1,M920/J920)),0)</f>
        <v/>
      </c>
      <c r="U920" s="33" t="n"/>
    </row>
    <row r="921" hidden="1" s="40">
      <c r="A921" s="23" t="inlineStr">
        <is>
          <t>Semana 3 - Maio</t>
        </is>
      </c>
      <c r="B921" s="27">
        <f>YEAR(E921)</f>
        <v/>
      </c>
      <c r="C921" s="18">
        <f>INDEX({"Janeiro";"Fevereiro";"Março";"Abril";"Maio";"Junho";"Julho";"Agosto";"Setembro";"Outubro";"Novembro";"Dezembro"},Q921)</f>
        <v/>
      </c>
      <c r="D921" s="24" t="n">
        <v>3</v>
      </c>
      <c r="E921" s="25" t="n">
        <v>46160</v>
      </c>
      <c r="F921" s="23" t="inlineStr">
        <is>
          <t>QUEIJO MINAS MEIA CURA (FRACIONADO)</t>
        </is>
      </c>
      <c r="G921" s="23" t="inlineStr">
        <is>
          <t>QUEIJO</t>
        </is>
      </c>
      <c r="H921" s="26" t="n">
        <v>1</v>
      </c>
      <c r="I921" s="36" t="n">
        <v>0</v>
      </c>
      <c r="J921" s="21">
        <f>I921*H921</f>
        <v/>
      </c>
      <c r="K921" s="21">
        <f>IFERROR(IF(J921/P921&gt;1,P921,J921),0)</f>
        <v/>
      </c>
      <c r="L921" s="36" t="n">
        <v>0</v>
      </c>
      <c r="M921" s="21">
        <f>L921*H921</f>
        <v/>
      </c>
      <c r="N921" s="21">
        <f>IFERROR(IF(M921/K921&gt;1,K921,M921),0)</f>
        <v/>
      </c>
      <c r="O921" s="36" t="n">
        <v>0</v>
      </c>
      <c r="P921" s="21">
        <f>O921*H921</f>
        <v/>
      </c>
      <c r="Q921" s="30">
        <f>IF(MONTH(E921+1)=MONTH(E921+6),MONTH(E921+1),IF(MIN(EOMONTH(E921+1,0),E921+6)-(E921+1)+1&gt;=3,MONTH(E921+1),MONTH(E921+6)))</f>
        <v/>
      </c>
      <c r="R921" s="22">
        <f>IFERROR(K921/P921, 0)</f>
        <v/>
      </c>
      <c r="S921" s="38">
        <f>IFERROR(N921/P921,0)</f>
        <v/>
      </c>
      <c r="T921" s="31">
        <f>IFERROR(IF(N921&gt;0,(N921/K921),MIN(1,M921/J921)),0)</f>
        <v/>
      </c>
      <c r="U921" s="33" t="n"/>
    </row>
    <row r="922" hidden="1" s="40">
      <c r="A922" s="18" t="inlineStr">
        <is>
          <t>Semana 3 - Maio</t>
        </is>
      </c>
      <c r="B922" s="27">
        <f>YEAR(E922)</f>
        <v/>
      </c>
      <c r="C922" s="18">
        <f>INDEX({"Janeiro";"Fevereiro";"Março";"Abril";"Maio";"Junho";"Julho";"Agosto";"Setembro";"Outubro";"Novembro";"Dezembro"},Q922)</f>
        <v/>
      </c>
      <c r="D922" s="19" t="n">
        <v>3</v>
      </c>
      <c r="E922" s="20" t="n">
        <v>46160</v>
      </c>
      <c r="F922" s="18" t="inlineStr">
        <is>
          <t>QUEIJO MINAS MEIA CURA (INTEIRO)</t>
        </is>
      </c>
      <c r="G922" s="18" t="inlineStr">
        <is>
          <t>QUEIJO</t>
        </is>
      </c>
      <c r="H922" s="21" t="n">
        <v>1</v>
      </c>
      <c r="I922" s="36" t="n">
        <v>0</v>
      </c>
      <c r="J922" s="21">
        <f>I922*H922</f>
        <v/>
      </c>
      <c r="K922" s="21">
        <f>IFERROR(IF(J922/P922&gt;1,P922,J922),0)</f>
        <v/>
      </c>
      <c r="L922" s="36" t="n">
        <v>0</v>
      </c>
      <c r="M922" s="21">
        <f>L922*H922</f>
        <v/>
      </c>
      <c r="N922" s="21">
        <f>IFERROR(IF(M922/K922&gt;1,K922,M922),0)</f>
        <v/>
      </c>
      <c r="O922" s="36" t="n">
        <v>200</v>
      </c>
      <c r="P922" s="21">
        <f>O922*H922</f>
        <v/>
      </c>
      <c r="Q922" s="30">
        <f>IF(MONTH(E922+1)=MONTH(E922+6),MONTH(E922+1),IF(MIN(EOMONTH(E922+1,0),E922+6)-(E922+1)+1&gt;=3,MONTH(E922+1),MONTH(E922+6)))</f>
        <v/>
      </c>
      <c r="R922" s="22">
        <f>IFERROR(K922/P922, 0)</f>
        <v/>
      </c>
      <c r="S922" s="38">
        <f>IFERROR(N922/P922,0)</f>
        <v/>
      </c>
      <c r="T922" s="31">
        <f>IFERROR(IF(N922&gt;0,(N922/K922),MIN(1,M922/J922)),0)</f>
        <v/>
      </c>
      <c r="U922" s="33" t="n"/>
    </row>
    <row r="923" hidden="1" s="40">
      <c r="A923" s="23" t="inlineStr">
        <is>
          <t>Semana 3 - Maio</t>
        </is>
      </c>
      <c r="B923" s="27">
        <f>YEAR(E923)</f>
        <v/>
      </c>
      <c r="C923" s="18">
        <f>INDEX({"Janeiro";"Fevereiro";"Março";"Abril";"Maio";"Junho";"Julho";"Agosto";"Setembro";"Outubro";"Novembro";"Dezembro"},Q923)</f>
        <v/>
      </c>
      <c r="D923" s="24" t="n">
        <v>3</v>
      </c>
      <c r="E923" s="25" t="n">
        <v>46160</v>
      </c>
      <c r="F923" s="23" t="inlineStr">
        <is>
          <t xml:space="preserve">QUEIJO MINAS PADRÃO VIÇOSA FRACIONADO </t>
        </is>
      </c>
      <c r="G923" s="23" t="inlineStr">
        <is>
          <t>QUEIJO</t>
        </is>
      </c>
      <c r="H923" s="26" t="n">
        <v>1</v>
      </c>
      <c r="I923" s="36" t="n">
        <v>400</v>
      </c>
      <c r="J923" s="21">
        <f>I923*H923</f>
        <v/>
      </c>
      <c r="K923" s="21">
        <f>IFERROR(IF(J923/P923&gt;1,P923,J923),0)</f>
        <v/>
      </c>
      <c r="L923" s="36" t="n">
        <v>400</v>
      </c>
      <c r="M923" s="21">
        <f>L923*H923</f>
        <v/>
      </c>
      <c r="N923" s="21">
        <f>IFERROR(IF(M923/K923&gt;1,K923,M923),0)</f>
        <v/>
      </c>
      <c r="O923" s="36" t="n">
        <v>200</v>
      </c>
      <c r="P923" s="21">
        <f>O923*H923</f>
        <v/>
      </c>
      <c r="Q923" s="30">
        <f>IF(MONTH(E923+1)=MONTH(E923+6),MONTH(E923+1),IF(MIN(EOMONTH(E923+1,0),E923+6)-(E923+1)+1&gt;=3,MONTH(E923+1),MONTH(E923+6)))</f>
        <v/>
      </c>
      <c r="R923" s="22">
        <f>IFERROR(K923/P923, 0)</f>
        <v/>
      </c>
      <c r="S923" s="38">
        <f>IFERROR(N923/P923,0)</f>
        <v/>
      </c>
      <c r="T923" s="31">
        <f>IFERROR(IF(N923&gt;0,(N923/K923),MIN(1,M923/J923)),0)</f>
        <v/>
      </c>
      <c r="U923" s="33" t="n"/>
    </row>
    <row r="924" hidden="1" s="40">
      <c r="A924" s="18" t="inlineStr">
        <is>
          <t>Semana 3 - Maio</t>
        </is>
      </c>
      <c r="B924" s="27">
        <f>YEAR(E924)</f>
        <v/>
      </c>
      <c r="C924" s="18">
        <f>INDEX({"Janeiro";"Fevereiro";"Março";"Abril";"Maio";"Junho";"Julho";"Agosto";"Setembro";"Outubro";"Novembro";"Dezembro"},Q924)</f>
        <v/>
      </c>
      <c r="D924" s="19" t="n">
        <v>3</v>
      </c>
      <c r="E924" s="20" t="n">
        <v>46160</v>
      </c>
      <c r="F924" s="18" t="inlineStr">
        <is>
          <t>QUEIJO MUSSARELA 3KG</t>
        </is>
      </c>
      <c r="G924" s="18" t="inlineStr">
        <is>
          <t>QUEIJO</t>
        </is>
      </c>
      <c r="H924" s="21" t="n">
        <v>1</v>
      </c>
      <c r="I924" s="36" t="n">
        <v>800</v>
      </c>
      <c r="J924" s="21">
        <f>I924*H924</f>
        <v/>
      </c>
      <c r="K924" s="21">
        <f>IFERROR(IF(J924/P924&gt;1,P924,J924),0)</f>
        <v/>
      </c>
      <c r="L924" s="36" t="n">
        <v>800</v>
      </c>
      <c r="M924" s="21">
        <f>L924*H924</f>
        <v/>
      </c>
      <c r="N924" s="21">
        <f>IFERROR(IF(M924/K924&gt;1,K924,M924),0)</f>
        <v/>
      </c>
      <c r="O924" s="36" t="n">
        <v>800</v>
      </c>
      <c r="P924" s="21">
        <f>O924*H924</f>
        <v/>
      </c>
      <c r="Q924" s="30">
        <f>IF(MONTH(E924+1)=MONTH(E924+6),MONTH(E924+1),IF(MIN(EOMONTH(E924+1,0),E924+6)-(E924+1)+1&gt;=3,MONTH(E924+1),MONTH(E924+6)))</f>
        <v/>
      </c>
      <c r="R924" s="22">
        <f>IFERROR(K924/P924, 0)</f>
        <v/>
      </c>
      <c r="S924" s="38">
        <f>IFERROR(N924/P924,0)</f>
        <v/>
      </c>
      <c r="T924" s="31">
        <f>IFERROR(IF(N924&gt;0,(N924/K924),MIN(1,M924/J924)),0)</f>
        <v/>
      </c>
      <c r="U924" s="33" t="n"/>
    </row>
    <row r="925" hidden="1" s="40">
      <c r="A925" s="23" t="inlineStr">
        <is>
          <t>Semana 3 - Maio</t>
        </is>
      </c>
      <c r="B925" s="27">
        <f>YEAR(E925)</f>
        <v/>
      </c>
      <c r="C925" s="18">
        <f>INDEX({"Janeiro";"Fevereiro";"Março";"Abril";"Maio";"Junho";"Julho";"Agosto";"Setembro";"Outubro";"Novembro";"Dezembro"},Q925)</f>
        <v/>
      </c>
      <c r="D925" s="24" t="n">
        <v>3</v>
      </c>
      <c r="E925" s="25" t="n">
        <v>46160</v>
      </c>
      <c r="F925" s="23" t="inlineStr">
        <is>
          <t>QUEIJO MUSSARELA LANCHE</t>
        </is>
      </c>
      <c r="G925" s="23" t="inlineStr">
        <is>
          <t>QUEIJO</t>
        </is>
      </c>
      <c r="H925" s="26" t="n">
        <v>1</v>
      </c>
      <c r="I925" s="36" t="n">
        <v>200</v>
      </c>
      <c r="J925" s="21">
        <f>I925*H925</f>
        <v/>
      </c>
      <c r="K925" s="21">
        <f>IFERROR(IF(J925/P925&gt;1,P925,J925),0)</f>
        <v/>
      </c>
      <c r="L925" s="36" t="n">
        <v>200</v>
      </c>
      <c r="M925" s="21">
        <f>L925*H925</f>
        <v/>
      </c>
      <c r="N925" s="21">
        <f>IFERROR(IF(M925/K925&gt;1,K925,M925),0)</f>
        <v/>
      </c>
      <c r="O925" s="36" t="n">
        <v>200</v>
      </c>
      <c r="P925" s="21">
        <f>O925*H925</f>
        <v/>
      </c>
      <c r="Q925" s="30">
        <f>IF(MONTH(E925+1)=MONTH(E925+6),MONTH(E925+1),IF(MIN(EOMONTH(E925+1,0),E925+6)-(E925+1)+1&gt;=3,MONTH(E925+1),MONTH(E925+6)))</f>
        <v/>
      </c>
      <c r="R925" s="22">
        <f>IFERROR(K925/P925, 0)</f>
        <v/>
      </c>
      <c r="S925" s="38">
        <f>IFERROR(N925/P925,0)</f>
        <v/>
      </c>
      <c r="T925" s="31">
        <f>IFERROR(IF(N925&gt;0,(N925/K925),MIN(1,M925/J925)),0)</f>
        <v/>
      </c>
      <c r="U925" s="33" t="n"/>
    </row>
    <row r="926" hidden="1" s="40">
      <c r="A926" s="18" t="inlineStr">
        <is>
          <t>Semana 3 - Maio</t>
        </is>
      </c>
      <c r="B926" s="27">
        <f>YEAR(E926)</f>
        <v/>
      </c>
      <c r="C926" s="18">
        <f>INDEX({"Janeiro";"Fevereiro";"Março";"Abril";"Maio";"Junho";"Julho";"Agosto";"Setembro";"Outubro";"Novembro";"Dezembro"},Q926)</f>
        <v/>
      </c>
      <c r="D926" s="19" t="n">
        <v>3</v>
      </c>
      <c r="E926" s="20" t="n">
        <v>46160</v>
      </c>
      <c r="F926" s="18" t="inlineStr">
        <is>
          <t>REQUEIJÃO VIÇOSA 200g</t>
        </is>
      </c>
      <c r="G926" s="18" t="inlineStr">
        <is>
          <t>REQUEIJÃO</t>
        </is>
      </c>
      <c r="H926" s="21" t="n">
        <v>0.2</v>
      </c>
      <c r="I926" s="36" t="n">
        <v>0</v>
      </c>
      <c r="J926" s="21">
        <f>I926*H926</f>
        <v/>
      </c>
      <c r="K926" s="21">
        <f>IFERROR(IF(J926/P926&gt;1,P926,J926),0)</f>
        <v/>
      </c>
      <c r="L926" s="36" t="n">
        <v>0</v>
      </c>
      <c r="M926" s="21">
        <f>L926*H926</f>
        <v/>
      </c>
      <c r="N926" s="21">
        <f>IFERROR(IF(M926/K926&gt;1,K926,M926),0)</f>
        <v/>
      </c>
      <c r="O926" s="36" t="n">
        <v>3215</v>
      </c>
      <c r="P926" s="21">
        <f>O926*H926</f>
        <v/>
      </c>
      <c r="Q926" s="30">
        <f>IF(MONTH(E926+1)=MONTH(E926+6),MONTH(E926+1),IF(MIN(EOMONTH(E926+1,0),E926+6)-(E926+1)+1&gt;=3,MONTH(E926+1),MONTH(E926+6)))</f>
        <v/>
      </c>
      <c r="R926" s="22">
        <f>IFERROR(K926/P926, 0)</f>
        <v/>
      </c>
      <c r="S926" s="38">
        <f>IFERROR(N926/P926,0)</f>
        <v/>
      </c>
      <c r="T926" s="31">
        <f>IFERROR(IF(N926&gt;0,(N926/K926),MIN(1,M926/J926)),0)</f>
        <v/>
      </c>
      <c r="U926" s="33" t="n"/>
    </row>
    <row r="927" hidden="1" s="40">
      <c r="A927" s="23" t="inlineStr">
        <is>
          <t>Semana 3 - Maio</t>
        </is>
      </c>
      <c r="B927" s="27">
        <f>YEAR(E927)</f>
        <v/>
      </c>
      <c r="C927" s="18">
        <f>INDEX({"Janeiro";"Fevereiro";"Março";"Abril";"Maio";"Junho";"Julho";"Agosto";"Setembro";"Outubro";"Novembro";"Dezembro"},Q927)</f>
        <v/>
      </c>
      <c r="D927" s="24" t="n">
        <v>3</v>
      </c>
      <c r="E927" s="25" t="n">
        <v>46160</v>
      </c>
      <c r="F927" s="23" t="inlineStr">
        <is>
          <t>REQUEIJÃO VIÇOSA 400g</t>
        </is>
      </c>
      <c r="G927" s="23" t="inlineStr">
        <is>
          <t>REQUEIJÃO</t>
        </is>
      </c>
      <c r="H927" s="26" t="n">
        <v>0.4</v>
      </c>
      <c r="I927" s="36" t="n">
        <v>2100</v>
      </c>
      <c r="J927" s="21">
        <f>I927*H927</f>
        <v/>
      </c>
      <c r="K927" s="21">
        <f>IFERROR(IF(J927/P927&gt;1,P927,J927),0)</f>
        <v/>
      </c>
      <c r="L927" s="36" t="n">
        <v>2660</v>
      </c>
      <c r="M927" s="21">
        <f>L927*H927</f>
        <v/>
      </c>
      <c r="N927" s="21">
        <f>IFERROR(IF(M927/K927&gt;1,K927,M927),0)</f>
        <v/>
      </c>
      <c r="O927" s="36" t="n">
        <v>2100</v>
      </c>
      <c r="P927" s="21">
        <f>O927*H927</f>
        <v/>
      </c>
      <c r="Q927" s="30">
        <f>IF(MONTH(E927+1)=MONTH(E927+6),MONTH(E927+1),IF(MIN(EOMONTH(E927+1,0),E927+6)-(E927+1)+1&gt;=3,MONTH(E927+1),MONTH(E927+6)))</f>
        <v/>
      </c>
      <c r="R927" s="22">
        <f>IFERROR(K927/P927, 0)</f>
        <v/>
      </c>
      <c r="S927" s="38">
        <f>IFERROR(N927/P927,0)</f>
        <v/>
      </c>
      <c r="T927" s="31">
        <f>IFERROR(IF(N927&gt;0,(N927/K927),MIN(1,M927/J927)),0)</f>
        <v/>
      </c>
      <c r="U927" s="33" t="n"/>
    </row>
    <row r="928" hidden="1" s="40">
      <c r="A928" s="18" t="inlineStr">
        <is>
          <t>Semana 3 - Maio</t>
        </is>
      </c>
      <c r="B928" s="27">
        <f>YEAR(E928)</f>
        <v/>
      </c>
      <c r="C928" s="18">
        <f>INDEX({"Janeiro";"Fevereiro";"Março";"Abril";"Maio";"Junho";"Julho";"Agosto";"Setembro";"Outubro";"Novembro";"Dezembro"},Q928)</f>
        <v/>
      </c>
      <c r="D928" s="19" t="n">
        <v>3</v>
      </c>
      <c r="E928" s="20" t="n">
        <v>46160</v>
      </c>
      <c r="F928" s="18" t="inlineStr">
        <is>
          <t>Requeijão Light 200g</t>
        </is>
      </c>
      <c r="G928" s="18" t="inlineStr">
        <is>
          <t>REQUEIJÃO</t>
        </is>
      </c>
      <c r="H928" s="21" t="n">
        <v>0.2</v>
      </c>
      <c r="I928" s="36" t="n">
        <v>600</v>
      </c>
      <c r="J928" s="21">
        <f>I928*H928</f>
        <v/>
      </c>
      <c r="K928" s="21">
        <f>IFERROR(IF(J928/P928&gt;1,P928,J928),0)</f>
        <v/>
      </c>
      <c r="L928" s="36" t="n">
        <v>629</v>
      </c>
      <c r="M928" s="21">
        <f>L928*H928</f>
        <v/>
      </c>
      <c r="N928" s="21">
        <f>IFERROR(IF(M928/K928&gt;1,K928,M928),0)</f>
        <v/>
      </c>
      <c r="O928" s="36" t="n">
        <v>600</v>
      </c>
      <c r="P928" s="21">
        <f>O928*H928</f>
        <v/>
      </c>
      <c r="Q928" s="30">
        <f>IF(MONTH(E928+1)=MONTH(E928+6),MONTH(E928+1),IF(MIN(EOMONTH(E928+1,0),E928+6)-(E928+1)+1&gt;=3,MONTH(E928+1),MONTH(E928+6)))</f>
        <v/>
      </c>
      <c r="R928" s="22">
        <f>IFERROR(K928/P928, 0)</f>
        <v/>
      </c>
      <c r="S928" s="38">
        <f>IFERROR(N928/P928,0)</f>
        <v/>
      </c>
      <c r="T928" s="31">
        <f>IFERROR(IF(N928&gt;0,(N928/K928),MIN(1,M928/J928)),0)</f>
        <v/>
      </c>
      <c r="U928" s="33" t="n"/>
    </row>
    <row r="929" hidden="1" s="40">
      <c r="A929" s="23" t="inlineStr">
        <is>
          <t>Semana 3 - Maio</t>
        </is>
      </c>
      <c r="B929" s="27">
        <f>YEAR(E929)</f>
        <v/>
      </c>
      <c r="C929" s="18">
        <f>INDEX({"Janeiro";"Fevereiro";"Março";"Abril";"Maio";"Junho";"Julho";"Agosto";"Setembro";"Outubro";"Novembro";"Dezembro"},Q929)</f>
        <v/>
      </c>
      <c r="D929" s="24" t="n">
        <v>3</v>
      </c>
      <c r="E929" s="25" t="n">
        <v>46160</v>
      </c>
      <c r="F929" s="23" t="inlineStr">
        <is>
          <t>Creme de Ricota 200g</t>
        </is>
      </c>
      <c r="G929" s="23" t="inlineStr">
        <is>
          <t>RICOTA</t>
        </is>
      </c>
      <c r="H929" s="26" t="n">
        <v>0.2</v>
      </c>
      <c r="I929" s="36" t="n">
        <v>1000</v>
      </c>
      <c r="J929" s="21">
        <f>I929*H929</f>
        <v/>
      </c>
      <c r="K929" s="21">
        <f>IFERROR(IF(J929/P929&gt;1,P929,J929),0)</f>
        <v/>
      </c>
      <c r="L929" s="36" t="n">
        <v>900</v>
      </c>
      <c r="M929" s="21">
        <f>L929*H929</f>
        <v/>
      </c>
      <c r="N929" s="21">
        <f>IFERROR(IF(M929/K929&gt;1,K929,M929),0)</f>
        <v/>
      </c>
      <c r="O929" s="36" t="n">
        <v>600</v>
      </c>
      <c r="P929" s="21">
        <f>O929*H929</f>
        <v/>
      </c>
      <c r="Q929" s="30">
        <f>IF(MONTH(E929+1)=MONTH(E929+6),MONTH(E929+1),IF(MIN(EOMONTH(E929+1,0),E929+6)-(E929+1)+1&gt;=3,MONTH(E929+1),MONTH(E929+6)))</f>
        <v/>
      </c>
      <c r="R929" s="22">
        <f>IFERROR(K929/P929, 0)</f>
        <v/>
      </c>
      <c r="S929" s="38">
        <f>IFERROR(N929/P929,0)</f>
        <v/>
      </c>
      <c r="T929" s="31">
        <f>IFERROR(IF(N929&gt;0,(N929/K929),MIN(1,M929/J929)),0)</f>
        <v/>
      </c>
      <c r="U929" s="33" t="n"/>
    </row>
    <row r="930" hidden="1" s="40">
      <c r="A930" s="18" t="inlineStr">
        <is>
          <t>Semana 4 - Maio</t>
        </is>
      </c>
      <c r="B930" s="27">
        <f>YEAR(E930)</f>
        <v/>
      </c>
      <c r="C930" s="18">
        <f>INDEX({"Janeiro";"Fevereiro";"Março";"Abril";"Maio";"Junho";"Julho";"Agosto";"Setembro";"Outubro";"Novembro";"Dezembro"},Q930)</f>
        <v/>
      </c>
      <c r="D930" s="19" t="n">
        <v>4</v>
      </c>
      <c r="E930" s="20" t="n">
        <v>46167</v>
      </c>
      <c r="F930" s="18" t="inlineStr">
        <is>
          <t>Doce de Leite 400g</t>
        </is>
      </c>
      <c r="G930" s="18" t="inlineStr">
        <is>
          <t>DOCE</t>
        </is>
      </c>
      <c r="H930" s="21" t="n">
        <v>0.4</v>
      </c>
      <c r="I930" s="36" t="n">
        <v>12000</v>
      </c>
      <c r="J930" s="21">
        <f>I930*H930</f>
        <v/>
      </c>
      <c r="K930" s="21">
        <f>IFERROR(IF(J930/P930&gt;1,P930,J930),0)</f>
        <v/>
      </c>
      <c r="L930" s="36" t="n">
        <v>12784</v>
      </c>
      <c r="M930" s="21">
        <f>L930*H930</f>
        <v/>
      </c>
      <c r="N930" s="21">
        <f>IFERROR(IF(M930/K930&gt;1,K930,M930),0)</f>
        <v/>
      </c>
      <c r="O930" s="36" t="n">
        <v>12000</v>
      </c>
      <c r="P930" s="21">
        <f>O930*H930</f>
        <v/>
      </c>
      <c r="Q930" s="30">
        <f>IF(MONTH(E930+1)=MONTH(E930+6),MONTH(E930+1),IF(MIN(EOMONTH(E930+1,0),E930+6)-(E930+1)+1&gt;=3,MONTH(E930+1),MONTH(E930+6)))</f>
        <v/>
      </c>
      <c r="R930" s="22">
        <f>IFERROR(K930/P930, 0)</f>
        <v/>
      </c>
      <c r="S930" s="38">
        <f>IFERROR(N930/P930,0)</f>
        <v/>
      </c>
      <c r="T930" s="31">
        <f>IFERROR(IF(N930&gt;0,(N930/K930),MIN(1,M930/J930)),0)</f>
        <v/>
      </c>
      <c r="U930" s="33" t="inlineStr">
        <is>
          <t>Produção de manteiga foi programada além da demanda do comercial para aproveitar creme em estoque.</t>
        </is>
      </c>
    </row>
    <row r="931" hidden="1" s="40">
      <c r="A931" s="23" t="inlineStr">
        <is>
          <t>Semana 4 - Maio</t>
        </is>
      </c>
      <c r="B931" s="27">
        <f>YEAR(E931)</f>
        <v/>
      </c>
      <c r="C931" s="18">
        <f>INDEX({"Janeiro";"Fevereiro";"Março";"Abril";"Maio";"Junho";"Julho";"Agosto";"Setembro";"Outubro";"Novembro";"Dezembro"},Q931)</f>
        <v/>
      </c>
      <c r="D931" s="24" t="n">
        <v>4</v>
      </c>
      <c r="E931" s="25" t="n">
        <v>46167</v>
      </c>
      <c r="F931" s="23" t="inlineStr">
        <is>
          <t>Doce de Leite 5kg</t>
        </is>
      </c>
      <c r="G931" s="23" t="inlineStr">
        <is>
          <t>DOCE</t>
        </is>
      </c>
      <c r="H931" s="26" t="n">
        <v>5</v>
      </c>
      <c r="I931" s="36" t="n">
        <v>1395</v>
      </c>
      <c r="J931" s="21">
        <f>I931*H931</f>
        <v/>
      </c>
      <c r="K931" s="21">
        <f>IFERROR(IF(J931/P931&gt;1,P931,J931),0)</f>
        <v/>
      </c>
      <c r="L931" s="36" t="n">
        <v>1265</v>
      </c>
      <c r="M931" s="21">
        <f>L931*H931</f>
        <v/>
      </c>
      <c r="N931" s="21">
        <f>IFERROR(IF(M931/K931&gt;1,K931,M931),0)</f>
        <v/>
      </c>
      <c r="O931" s="36" t="n">
        <v>1860</v>
      </c>
      <c r="P931" s="21">
        <f>O931*H931</f>
        <v/>
      </c>
      <c r="Q931" s="30">
        <f>IF(MONTH(E931+1)=MONTH(E931+6),MONTH(E931+1),IF(MIN(EOMONTH(E931+1,0),E931+6)-(E931+1)+1&gt;=3,MONTH(E931+1),MONTH(E931+6)))</f>
        <v/>
      </c>
      <c r="R931" s="22">
        <f>IFERROR(K931/P931, 0)</f>
        <v/>
      </c>
      <c r="S931" s="38">
        <f>IFERROR(N931/P931,0)</f>
        <v/>
      </c>
      <c r="T931" s="31">
        <f>IFERROR(IF(N931&gt;0,(N931/K931),MIN(1,M931/J931)),0)</f>
        <v/>
      </c>
      <c r="U931" s="33" t="n"/>
    </row>
    <row r="932" hidden="1" s="40">
      <c r="A932" s="18" t="inlineStr">
        <is>
          <t>Semana 4 - Maio</t>
        </is>
      </c>
      <c r="B932" s="27">
        <f>YEAR(E932)</f>
        <v/>
      </c>
      <c r="C932" s="18">
        <f>INDEX({"Janeiro";"Fevereiro";"Março";"Abril";"Maio";"Junho";"Julho";"Agosto";"Setembro";"Outubro";"Novembro";"Dezembro"},Q932)</f>
        <v/>
      </c>
      <c r="D932" s="19" t="n">
        <v>4</v>
      </c>
      <c r="E932" s="20" t="n">
        <v>46167</v>
      </c>
      <c r="F932" s="18" t="inlineStr">
        <is>
          <t>Doce de Leite 5kg - Bombeável</t>
        </is>
      </c>
      <c r="G932" s="18" t="inlineStr">
        <is>
          <t>DOCE</t>
        </is>
      </c>
      <c r="H932" s="21" t="n">
        <v>5</v>
      </c>
      <c r="I932" s="36" t="n">
        <v>100</v>
      </c>
      <c r="J932" s="21">
        <f>I932*H932</f>
        <v/>
      </c>
      <c r="K932" s="21">
        <f>IFERROR(IF(J932/P932&gt;1,P932,J932),0)</f>
        <v/>
      </c>
      <c r="L932" s="36" t="n">
        <v>100</v>
      </c>
      <c r="M932" s="21">
        <f>L932*H932</f>
        <v/>
      </c>
      <c r="N932" s="21">
        <f>IFERROR(IF(M932/K932&gt;1,K932,M932),0)</f>
        <v/>
      </c>
      <c r="O932" s="36" t="n">
        <v>100</v>
      </c>
      <c r="P932" s="21">
        <f>O932*H932</f>
        <v/>
      </c>
      <c r="Q932" s="30">
        <f>IF(MONTH(E932+1)=MONTH(E932+6),MONTH(E932+1),IF(MIN(EOMONTH(E932+1,0),E932+6)-(E932+1)+1&gt;=3,MONTH(E932+1),MONTH(E932+6)))</f>
        <v/>
      </c>
      <c r="R932" s="22">
        <f>IFERROR(K932/P932, 0)</f>
        <v/>
      </c>
      <c r="S932" s="38">
        <f>IFERROR(N932/P932,0)</f>
        <v/>
      </c>
      <c r="T932" s="31">
        <f>IFERROR(IF(N932&gt;0,(N932/K932),MIN(1,M932/J932)),0)</f>
        <v/>
      </c>
      <c r="U932" s="33" t="n"/>
    </row>
    <row r="933" hidden="1" s="40">
      <c r="A933" s="23" t="inlineStr">
        <is>
          <t>Semana 4 - Maio</t>
        </is>
      </c>
      <c r="B933" s="27">
        <f>YEAR(E933)</f>
        <v/>
      </c>
      <c r="C933" s="18">
        <f>INDEX({"Janeiro";"Fevereiro";"Março";"Abril";"Maio";"Junho";"Julho";"Agosto";"Setembro";"Outubro";"Novembro";"Dezembro"},Q933)</f>
        <v/>
      </c>
      <c r="D933" s="24" t="n">
        <v>4</v>
      </c>
      <c r="E933" s="25" t="n">
        <v>46167</v>
      </c>
      <c r="F933" s="23" t="inlineStr">
        <is>
          <t>Doce de Leite 5kg - Forneável</t>
        </is>
      </c>
      <c r="G933" s="23" t="inlineStr">
        <is>
          <t>DOCE</t>
        </is>
      </c>
      <c r="H933" s="26" t="n">
        <v>5</v>
      </c>
      <c r="I933" s="36" t="n">
        <v>0</v>
      </c>
      <c r="J933" s="21">
        <f>I933*H933</f>
        <v/>
      </c>
      <c r="K933" s="21">
        <f>IFERROR(IF(J933/P933&gt;1,P933,J933),0)</f>
        <v/>
      </c>
      <c r="L933" s="36" t="n">
        <v>0</v>
      </c>
      <c r="M933" s="21">
        <f>L933*H933</f>
        <v/>
      </c>
      <c r="N933" s="21">
        <f>IFERROR(IF(M933/K933&gt;1,K933,M933),0)</f>
        <v/>
      </c>
      <c r="O933" s="36" t="n">
        <v>320</v>
      </c>
      <c r="P933" s="21">
        <f>O933*H933</f>
        <v/>
      </c>
      <c r="Q933" s="30">
        <f>IF(MONTH(E933+1)=MONTH(E933+6),MONTH(E933+1),IF(MIN(EOMONTH(E933+1,0),E933+6)-(E933+1)+1&gt;=3,MONTH(E933+1),MONTH(E933+6)))</f>
        <v/>
      </c>
      <c r="R933" s="22">
        <f>IFERROR(K933/P933, 0)</f>
        <v/>
      </c>
      <c r="S933" s="38">
        <f>IFERROR(N933/P933,0)</f>
        <v/>
      </c>
      <c r="T933" s="31">
        <f>IFERROR(IF(N933&gt;0,(N933/K933),MIN(1,M933/J933)),0)</f>
        <v/>
      </c>
      <c r="U933" s="33" t="n"/>
    </row>
    <row r="934" hidden="1" s="40">
      <c r="A934" s="18" t="inlineStr">
        <is>
          <t>Semana 4 - Maio</t>
        </is>
      </c>
      <c r="B934" s="27">
        <f>YEAR(E934)</f>
        <v/>
      </c>
      <c r="C934" s="18">
        <f>INDEX({"Janeiro";"Fevereiro";"Março";"Abril";"Maio";"Junho";"Julho";"Agosto";"Setembro";"Outubro";"Novembro";"Dezembro"},Q934)</f>
        <v/>
      </c>
      <c r="D934" s="19" t="n">
        <v>4</v>
      </c>
      <c r="E934" s="20" t="n">
        <v>46167</v>
      </c>
      <c r="F934" s="18" t="inlineStr">
        <is>
          <t>Doce de Leite 800g</t>
        </is>
      </c>
      <c r="G934" s="18" t="inlineStr">
        <is>
          <t>DOCE</t>
        </is>
      </c>
      <c r="H934" s="21" t="n">
        <v>0.8</v>
      </c>
      <c r="I934" s="36" t="n">
        <v>23375</v>
      </c>
      <c r="J934" s="21">
        <f>I934*H934</f>
        <v/>
      </c>
      <c r="K934" s="21">
        <f>IFERROR(IF(J934/P934&gt;1,P934,J934),0)</f>
        <v/>
      </c>
      <c r="L934" s="36" t="n">
        <v>26945</v>
      </c>
      <c r="M934" s="21">
        <f>L934*H934</f>
        <v/>
      </c>
      <c r="N934" s="21">
        <f>IFERROR(IF(M934/K934&gt;1,K934,M934),0)</f>
        <v/>
      </c>
      <c r="O934" s="36" t="n">
        <v>24000</v>
      </c>
      <c r="P934" s="21">
        <f>O934*H934</f>
        <v/>
      </c>
      <c r="Q934" s="30">
        <f>IF(MONTH(E934+1)=MONTH(E934+6),MONTH(E934+1),IF(MIN(EOMONTH(E934+1,0),E934+6)-(E934+1)+1&gt;=3,MONTH(E934+1),MONTH(E934+6)))</f>
        <v/>
      </c>
      <c r="R934" s="22">
        <f>IFERROR(K934/P934, 0)</f>
        <v/>
      </c>
      <c r="S934" s="38">
        <f>IFERROR(N934/P934,0)</f>
        <v/>
      </c>
      <c r="T934" s="31">
        <f>IFERROR(IF(N934&gt;0,(N934/K934),MIN(1,M934/J934)),0)</f>
        <v/>
      </c>
      <c r="U934" s="33" t="n"/>
    </row>
    <row r="935" hidden="1" s="40">
      <c r="A935" s="23" t="inlineStr">
        <is>
          <t>Semana 4 - Maio</t>
        </is>
      </c>
      <c r="B935" s="27">
        <f>YEAR(E935)</f>
        <v/>
      </c>
      <c r="C935" s="18">
        <f>INDEX({"Janeiro";"Fevereiro";"Março";"Abril";"Maio";"Junho";"Julho";"Agosto";"Setembro";"Outubro";"Novembro";"Dezembro"},Q935)</f>
        <v/>
      </c>
      <c r="D935" s="24" t="n">
        <v>4</v>
      </c>
      <c r="E935" s="25" t="n">
        <v>46167</v>
      </c>
      <c r="F935" s="23" t="inlineStr">
        <is>
          <t>Doce de Leite Cacau 400g</t>
        </is>
      </c>
      <c r="G935" s="23" t="inlineStr">
        <is>
          <t>DOCE</t>
        </is>
      </c>
      <c r="H935" s="26" t="n">
        <v>0.4</v>
      </c>
      <c r="I935" s="36" t="n">
        <v>0</v>
      </c>
      <c r="J935" s="21">
        <f>I935*H935</f>
        <v/>
      </c>
      <c r="K935" s="21">
        <f>IFERROR(IF(J935/P935&gt;1,P935,J935),0)</f>
        <v/>
      </c>
      <c r="L935" s="36" t="n">
        <v>0</v>
      </c>
      <c r="M935" s="21">
        <f>L935*H935</f>
        <v/>
      </c>
      <c r="N935" s="21">
        <f>IFERROR(IF(M935/K935&gt;1,K935,M935),0)</f>
        <v/>
      </c>
      <c r="O935" s="36" t="n">
        <v>0</v>
      </c>
      <c r="P935" s="21">
        <f>O935*H935</f>
        <v/>
      </c>
      <c r="Q935" s="30">
        <f>IF(MONTH(E935+1)=MONTH(E935+6),MONTH(E935+1),IF(MIN(EOMONTH(E935+1,0),E935+6)-(E935+1)+1&gt;=3,MONTH(E935+1),MONTH(E935+6)))</f>
        <v/>
      </c>
      <c r="R935" s="22">
        <f>IFERROR(K935/P935, 0)</f>
        <v/>
      </c>
      <c r="S935" s="38">
        <f>IFERROR(N935/P935,0)</f>
        <v/>
      </c>
      <c r="T935" s="31">
        <f>IFERROR(IF(N935&gt;0,(N935/K935),MIN(1,M935/J935)),0)</f>
        <v/>
      </c>
      <c r="U935" s="33" t="n"/>
    </row>
    <row r="936" hidden="1" s="40">
      <c r="A936" s="18" t="inlineStr">
        <is>
          <t>Semana 4 - Maio</t>
        </is>
      </c>
      <c r="B936" s="27">
        <f>YEAR(E936)</f>
        <v/>
      </c>
      <c r="C936" s="18">
        <f>INDEX({"Janeiro";"Fevereiro";"Março";"Abril";"Maio";"Junho";"Julho";"Agosto";"Setembro";"Outubro";"Novembro";"Dezembro"},Q936)</f>
        <v/>
      </c>
      <c r="D936" s="19" t="n">
        <v>4</v>
      </c>
      <c r="E936" s="20" t="n">
        <v>46167</v>
      </c>
      <c r="F936" s="18" t="inlineStr">
        <is>
          <t>Doce de Leite Cacau 5kg - Bombeável</t>
        </is>
      </c>
      <c r="G936" s="18" t="inlineStr">
        <is>
          <t>DOCE</t>
        </is>
      </c>
      <c r="H936" s="21" t="n">
        <v>5</v>
      </c>
      <c r="I936" s="36" t="n">
        <v>0</v>
      </c>
      <c r="J936" s="21">
        <f>I936*H936</f>
        <v/>
      </c>
      <c r="K936" s="21">
        <f>IFERROR(IF(J936/P936&gt;1,P936,J936),0)</f>
        <v/>
      </c>
      <c r="L936" s="36" t="n">
        <v>0</v>
      </c>
      <c r="M936" s="21">
        <f>L936*H936</f>
        <v/>
      </c>
      <c r="N936" s="21">
        <f>IFERROR(IF(M936/K936&gt;1,K936,M936),0)</f>
        <v/>
      </c>
      <c r="O936" s="36" t="n">
        <v>0</v>
      </c>
      <c r="P936" s="21">
        <f>O936*H936</f>
        <v/>
      </c>
      <c r="Q936" s="30">
        <f>IF(MONTH(E936+1)=MONTH(E936+6),MONTH(E936+1),IF(MIN(EOMONTH(E936+1,0),E936+6)-(E936+1)+1&gt;=3,MONTH(E936+1),MONTH(E936+6)))</f>
        <v/>
      </c>
      <c r="R936" s="22">
        <f>IFERROR(K936/P936, 0)</f>
        <v/>
      </c>
      <c r="S936" s="38">
        <f>IFERROR(N936/P936,0)</f>
        <v/>
      </c>
      <c r="T936" s="31">
        <f>IFERROR(IF(N936&gt;0,(N936/K936),MIN(1,M936/J936)),0)</f>
        <v/>
      </c>
      <c r="U936" s="33" t="n"/>
    </row>
    <row r="937" hidden="1" s="40">
      <c r="A937" s="23" t="inlineStr">
        <is>
          <t>Semana 4 - Maio</t>
        </is>
      </c>
      <c r="B937" s="27">
        <f>YEAR(E937)</f>
        <v/>
      </c>
      <c r="C937" s="18">
        <f>INDEX({"Janeiro";"Fevereiro";"Março";"Abril";"Maio";"Junho";"Julho";"Agosto";"Setembro";"Outubro";"Novembro";"Dezembro"},Q937)</f>
        <v/>
      </c>
      <c r="D937" s="24" t="n">
        <v>4</v>
      </c>
      <c r="E937" s="25" t="n">
        <v>46167</v>
      </c>
      <c r="F937" s="23" t="inlineStr">
        <is>
          <t>Doce de Leite Cacau 5kg - FOOD</t>
        </is>
      </c>
      <c r="G937" s="23" t="inlineStr">
        <is>
          <t>DOCE</t>
        </is>
      </c>
      <c r="H937" s="26" t="n">
        <v>5</v>
      </c>
      <c r="I937" s="36" t="n">
        <v>0</v>
      </c>
      <c r="J937" s="21">
        <f>I937*H937</f>
        <v/>
      </c>
      <c r="K937" s="21">
        <f>IFERROR(IF(J937/P937&gt;1,P937,J937),0)</f>
        <v/>
      </c>
      <c r="L937" s="36" t="n">
        <v>0</v>
      </c>
      <c r="M937" s="21">
        <f>L937*H937</f>
        <v/>
      </c>
      <c r="N937" s="21">
        <f>IFERROR(IF(M937/K937&gt;1,K937,M937),0)</f>
        <v/>
      </c>
      <c r="O937" s="36" t="n">
        <v>0</v>
      </c>
      <c r="P937" s="21">
        <f>O937*H937</f>
        <v/>
      </c>
      <c r="Q937" s="30">
        <f>IF(MONTH(E937+1)=MONTH(E937+6),MONTH(E937+1),IF(MIN(EOMONTH(E937+1,0),E937+6)-(E937+1)+1&gt;=3,MONTH(E937+1),MONTH(E937+6)))</f>
        <v/>
      </c>
      <c r="R937" s="22">
        <f>IFERROR(K937/P937, 0)</f>
        <v/>
      </c>
      <c r="S937" s="38">
        <f>IFERROR(N937/P937,0)</f>
        <v/>
      </c>
      <c r="T937" s="31">
        <f>IFERROR(IF(N937&gt;0,(N937/K937),MIN(1,M937/J937)),0)</f>
        <v/>
      </c>
      <c r="U937" s="33" t="n"/>
    </row>
    <row r="938" hidden="1" s="40">
      <c r="A938" s="18" t="inlineStr">
        <is>
          <t>Semana 4 - Maio</t>
        </is>
      </c>
      <c r="B938" s="27">
        <f>YEAR(E938)</f>
        <v/>
      </c>
      <c r="C938" s="18">
        <f>INDEX({"Janeiro";"Fevereiro";"Março";"Abril";"Maio";"Junho";"Julho";"Agosto";"Setembro";"Outubro";"Novembro";"Dezembro"},Q938)</f>
        <v/>
      </c>
      <c r="D938" s="19" t="n">
        <v>4</v>
      </c>
      <c r="E938" s="20" t="n">
        <v>46167</v>
      </c>
      <c r="F938" s="18" t="inlineStr">
        <is>
          <t>Doce de Leite Zero Açúcar e Lactose 400g</t>
        </is>
      </c>
      <c r="G938" s="18" t="inlineStr">
        <is>
          <t>DOCE</t>
        </is>
      </c>
      <c r="H938" s="21" t="n">
        <v>0.4</v>
      </c>
      <c r="I938" s="36" t="n">
        <v>30000</v>
      </c>
      <c r="J938" s="21">
        <f>I938*H938</f>
        <v/>
      </c>
      <c r="K938" s="21">
        <f>IFERROR(IF(J938/P938&gt;1,P938,J938),0)</f>
        <v/>
      </c>
      <c r="L938" s="36" t="n">
        <v>28160</v>
      </c>
      <c r="M938" s="21">
        <f>L938*H938</f>
        <v/>
      </c>
      <c r="N938" s="21">
        <f>IFERROR(IF(M938/K938&gt;1,K938,M938),0)</f>
        <v/>
      </c>
      <c r="O938" s="36" t="n">
        <v>36000</v>
      </c>
      <c r="P938" s="21">
        <f>O938*H938</f>
        <v/>
      </c>
      <c r="Q938" s="30">
        <f>IF(MONTH(E938+1)=MONTH(E938+6),MONTH(E938+1),IF(MIN(EOMONTH(E938+1,0),E938+6)-(E938+1)+1&gt;=3,MONTH(E938+1),MONTH(E938+6)))</f>
        <v/>
      </c>
      <c r="R938" s="22">
        <f>IFERROR(K938/P938, 0)</f>
        <v/>
      </c>
      <c r="S938" s="38">
        <f>IFERROR(N938/P938,0)</f>
        <v/>
      </c>
      <c r="T938" s="31">
        <f>IFERROR(IF(N938&gt;0,(N938/K938),MIN(1,M938/J938)),0)</f>
        <v/>
      </c>
      <c r="U938" s="33" t="n"/>
    </row>
    <row r="939" hidden="1" s="40">
      <c r="A939" s="23" t="inlineStr">
        <is>
          <t>Semana 4 - Maio</t>
        </is>
      </c>
      <c r="B939" s="27">
        <f>YEAR(E939)</f>
        <v/>
      </c>
      <c r="C939" s="18">
        <f>INDEX({"Janeiro";"Fevereiro";"Março";"Abril";"Maio";"Junho";"Julho";"Agosto";"Setembro";"Outubro";"Novembro";"Dezembro"},Q939)</f>
        <v/>
      </c>
      <c r="D939" s="24" t="n">
        <v>4</v>
      </c>
      <c r="E939" s="25" t="n">
        <v>46167</v>
      </c>
      <c r="F939" s="23" t="inlineStr">
        <is>
          <t>Doce de Leite c/ Café 400</t>
        </is>
      </c>
      <c r="G939" s="23" t="inlineStr">
        <is>
          <t>DOCE</t>
        </is>
      </c>
      <c r="H939" s="26" t="n">
        <v>0.4</v>
      </c>
      <c r="I939" s="36" t="n">
        <v>0</v>
      </c>
      <c r="J939" s="21">
        <f>I939*H939</f>
        <v/>
      </c>
      <c r="K939" s="21">
        <f>IFERROR(IF(J939/P939&gt;1,P939,J939),0)</f>
        <v/>
      </c>
      <c r="L939" s="36" t="n">
        <v>0</v>
      </c>
      <c r="M939" s="21">
        <f>L939*H939</f>
        <v/>
      </c>
      <c r="N939" s="21">
        <f>IFERROR(IF(M939/K939&gt;1,K939,M939),0)</f>
        <v/>
      </c>
      <c r="O939" s="36" t="n">
        <v>0</v>
      </c>
      <c r="P939" s="21">
        <f>O939*H939</f>
        <v/>
      </c>
      <c r="Q939" s="30">
        <f>IF(MONTH(E939+1)=MONTH(E939+6),MONTH(E939+1),IF(MIN(EOMONTH(E939+1,0),E939+6)-(E939+1)+1&gt;=3,MONTH(E939+1),MONTH(E939+6)))</f>
        <v/>
      </c>
      <c r="R939" s="22">
        <f>IFERROR(K939/P939, 0)</f>
        <v/>
      </c>
      <c r="S939" s="38">
        <f>IFERROR(N939/P939,0)</f>
        <v/>
      </c>
      <c r="T939" s="31">
        <f>IFERROR(IF(N939&gt;0,(N939/K939),MIN(1,M939/J939)),0)</f>
        <v/>
      </c>
      <c r="U939" s="33" t="n"/>
    </row>
    <row r="940" hidden="1" s="40">
      <c r="A940" s="18" t="inlineStr">
        <is>
          <t>Semana 4 - Maio</t>
        </is>
      </c>
      <c r="B940" s="27">
        <f>YEAR(E940)</f>
        <v/>
      </c>
      <c r="C940" s="18">
        <f>INDEX({"Janeiro";"Fevereiro";"Março";"Abril";"Maio";"Junho";"Julho";"Agosto";"Setembro";"Outubro";"Novembro";"Dezembro"},Q940)</f>
        <v/>
      </c>
      <c r="D940" s="19" t="n">
        <v>4</v>
      </c>
      <c r="E940" s="20" t="n">
        <v>46167</v>
      </c>
      <c r="F940" s="18" t="inlineStr">
        <is>
          <t>Doce de Leite c/ Café 5kg</t>
        </is>
      </c>
      <c r="G940" s="18" t="inlineStr">
        <is>
          <t>DOCE</t>
        </is>
      </c>
      <c r="H940" s="21" t="n">
        <v>5</v>
      </c>
      <c r="I940" s="36" t="n">
        <v>0</v>
      </c>
      <c r="J940" s="21">
        <f>I940*H940</f>
        <v/>
      </c>
      <c r="K940" s="21">
        <f>IFERROR(IF(J940/P940&gt;1,P940,J940),0)</f>
        <v/>
      </c>
      <c r="L940" s="36" t="n">
        <v>0</v>
      </c>
      <c r="M940" s="21">
        <f>L940*H940</f>
        <v/>
      </c>
      <c r="N940" s="21">
        <f>IFERROR(IF(M940/K940&gt;1,K940,M940),0)</f>
        <v/>
      </c>
      <c r="O940" s="36" t="n">
        <v>0</v>
      </c>
      <c r="P940" s="21">
        <f>O940*H940</f>
        <v/>
      </c>
      <c r="Q940" s="30">
        <f>IF(MONTH(E940+1)=MONTH(E940+6),MONTH(E940+1),IF(MIN(EOMONTH(E940+1,0),E940+6)-(E940+1)+1&gt;=3,MONTH(E940+1),MONTH(E940+6)))</f>
        <v/>
      </c>
      <c r="R940" s="22">
        <f>IFERROR(K940/P940, 0)</f>
        <v/>
      </c>
      <c r="S940" s="38">
        <f>IFERROR(N940/P940,0)</f>
        <v/>
      </c>
      <c r="T940" s="31">
        <f>IFERROR(IF(N940&gt;0,(N940/K940),MIN(1,M940/J940)),0)</f>
        <v/>
      </c>
      <c r="U940" s="33" t="n"/>
    </row>
    <row r="941" hidden="1" s="40">
      <c r="A941" s="23" t="inlineStr">
        <is>
          <t>Semana 4 - Maio</t>
        </is>
      </c>
      <c r="B941" s="27">
        <f>YEAR(E941)</f>
        <v/>
      </c>
      <c r="C941" s="18">
        <f>INDEX({"Janeiro";"Fevereiro";"Março";"Abril";"Maio";"Junho";"Julho";"Agosto";"Setembro";"Outubro";"Novembro";"Dezembro"},Q941)</f>
        <v/>
      </c>
      <c r="D941" s="24" t="n">
        <v>4</v>
      </c>
      <c r="E941" s="25" t="n">
        <v>46167</v>
      </c>
      <c r="F941" s="23" t="inlineStr">
        <is>
          <t>Doce de Leite c/ coco 400</t>
        </is>
      </c>
      <c r="G941" s="23" t="inlineStr">
        <is>
          <t>DOCE</t>
        </is>
      </c>
      <c r="H941" s="26" t="n">
        <v>0.4</v>
      </c>
      <c r="I941" s="36" t="n">
        <v>6000</v>
      </c>
      <c r="J941" s="21">
        <f>I941*H941</f>
        <v/>
      </c>
      <c r="K941" s="21">
        <f>IFERROR(IF(J941/P941&gt;1,P941,J941),0)</f>
        <v/>
      </c>
      <c r="L941" s="36" t="n">
        <v>6737</v>
      </c>
      <c r="M941" s="21">
        <f>L941*H941</f>
        <v/>
      </c>
      <c r="N941" s="21">
        <f>IFERROR(IF(M941/K941&gt;1,K941,M941),0)</f>
        <v/>
      </c>
      <c r="O941" s="36" t="n">
        <v>6000</v>
      </c>
      <c r="P941" s="21">
        <f>O941*H941</f>
        <v/>
      </c>
      <c r="Q941" s="30">
        <f>IF(MONTH(E941+1)=MONTH(E941+6),MONTH(E941+1),IF(MIN(EOMONTH(E941+1,0),E941+6)-(E941+1)+1&gt;=3,MONTH(E941+1),MONTH(E941+6)))</f>
        <v/>
      </c>
      <c r="R941" s="22">
        <f>IFERROR(K941/P941, 0)</f>
        <v/>
      </c>
      <c r="S941" s="38">
        <f>IFERROR(N941/P941,0)</f>
        <v/>
      </c>
      <c r="T941" s="31">
        <f>IFERROR(IF(N941&gt;0,(N941/K941),MIN(1,M941/J941)),0)</f>
        <v/>
      </c>
      <c r="U941" s="33" t="n"/>
    </row>
    <row r="942" hidden="1" s="40">
      <c r="A942" s="18" t="inlineStr">
        <is>
          <t>Semana 4 - Maio</t>
        </is>
      </c>
      <c r="B942" s="27">
        <f>YEAR(E942)</f>
        <v/>
      </c>
      <c r="C942" s="18">
        <f>INDEX({"Janeiro";"Fevereiro";"Março";"Abril";"Maio";"Junho";"Julho";"Agosto";"Setembro";"Outubro";"Novembro";"Dezembro"},Q942)</f>
        <v/>
      </c>
      <c r="D942" s="19" t="n">
        <v>4</v>
      </c>
      <c r="E942" s="20" t="n">
        <v>46167</v>
      </c>
      <c r="F942" s="18" t="inlineStr">
        <is>
          <t>IOGURTE VIÇOSA MORANGO LIGHT 180g</t>
        </is>
      </c>
      <c r="G942" s="18" t="inlineStr">
        <is>
          <t>IOGURTE</t>
        </is>
      </c>
      <c r="H942" s="21" t="n">
        <v>0.18</v>
      </c>
      <c r="I942" s="36" t="n">
        <v>0</v>
      </c>
      <c r="J942" s="21">
        <f>I942*H942</f>
        <v/>
      </c>
      <c r="K942" s="21">
        <f>IFERROR(IF(J942/P942&gt;1,P942,J942),0)</f>
        <v/>
      </c>
      <c r="L942" s="36" t="n">
        <v>0</v>
      </c>
      <c r="M942" s="21">
        <f>L942*H942</f>
        <v/>
      </c>
      <c r="N942" s="21">
        <f>IFERROR(IF(M942/K942&gt;1,K942,M942),0)</f>
        <v/>
      </c>
      <c r="O942" s="36" t="n">
        <v>0</v>
      </c>
      <c r="P942" s="21">
        <f>O942*H942</f>
        <v/>
      </c>
      <c r="Q942" s="30">
        <f>IF(MONTH(E942+1)=MONTH(E942+6),MONTH(E942+1),IF(MIN(EOMONTH(E942+1,0),E942+6)-(E942+1)+1&gt;=3,MONTH(E942+1),MONTH(E942+6)))</f>
        <v/>
      </c>
      <c r="R942" s="22">
        <f>IFERROR(K942/P942, 0)</f>
        <v/>
      </c>
      <c r="S942" s="38">
        <f>IFERROR(N942/P942,0)</f>
        <v/>
      </c>
      <c r="T942" s="31">
        <f>IFERROR(IF(N942&gt;0,(N942/K942),MIN(1,M942/J942)),0)</f>
        <v/>
      </c>
      <c r="U942" s="33" t="n"/>
    </row>
    <row r="943" hidden="1" s="40">
      <c r="A943" s="23" t="inlineStr">
        <is>
          <t>Semana 4 - Maio</t>
        </is>
      </c>
      <c r="B943" s="27">
        <f>YEAR(E943)</f>
        <v/>
      </c>
      <c r="C943" s="18">
        <f>INDEX({"Janeiro";"Fevereiro";"Março";"Abril";"Maio";"Junho";"Julho";"Agosto";"Setembro";"Outubro";"Novembro";"Dezembro"},Q943)</f>
        <v/>
      </c>
      <c r="D943" s="24" t="n">
        <v>4</v>
      </c>
      <c r="E943" s="25" t="n">
        <v>46167</v>
      </c>
      <c r="F943" s="23" t="inlineStr">
        <is>
          <t>IOGURTE VIÇOSA MORANGO LIGHT 800g</t>
        </is>
      </c>
      <c r="G943" s="23" t="inlineStr">
        <is>
          <t>IOGURTE</t>
        </is>
      </c>
      <c r="H943" s="26" t="n">
        <v>0.8</v>
      </c>
      <c r="I943" s="36" t="n">
        <v>0</v>
      </c>
      <c r="J943" s="21">
        <f>I943*H943</f>
        <v/>
      </c>
      <c r="K943" s="21">
        <f>IFERROR(IF(J943/P943&gt;1,P943,J943),0)</f>
        <v/>
      </c>
      <c r="L943" s="36" t="n">
        <v>0</v>
      </c>
      <c r="M943" s="21">
        <f>L943*H943</f>
        <v/>
      </c>
      <c r="N943" s="21">
        <f>IFERROR(IF(M943/K943&gt;1,K943,M943),0)</f>
        <v/>
      </c>
      <c r="O943" s="36" t="n">
        <v>0</v>
      </c>
      <c r="P943" s="21">
        <f>O943*H943</f>
        <v/>
      </c>
      <c r="Q943" s="30">
        <f>IF(MONTH(E943+1)=MONTH(E943+6),MONTH(E943+1),IF(MIN(EOMONTH(E943+1,0),E943+6)-(E943+1)+1&gt;=3,MONTH(E943+1),MONTH(E943+6)))</f>
        <v/>
      </c>
      <c r="R943" s="22">
        <f>IFERROR(K943/P943, 0)</f>
        <v/>
      </c>
      <c r="S943" s="38">
        <f>IFERROR(N943/P943,0)</f>
        <v/>
      </c>
      <c r="T943" s="31">
        <f>IFERROR(IF(N943&gt;0,(N943/K943),MIN(1,M943/J943)),0)</f>
        <v/>
      </c>
      <c r="U943" s="33" t="n"/>
    </row>
    <row r="944" hidden="1" s="40">
      <c r="A944" s="23" t="inlineStr">
        <is>
          <t>Semana 4 - Maio</t>
        </is>
      </c>
      <c r="B944" s="27">
        <f>YEAR(E944)</f>
        <v/>
      </c>
      <c r="C944" s="18">
        <f>INDEX({"Janeiro";"Fevereiro";"Março";"Abril";"Maio";"Junho";"Julho";"Agosto";"Setembro";"Outubro";"Novembro";"Dezembro"},Q944)</f>
        <v/>
      </c>
      <c r="D944" s="24" t="n">
        <v>4</v>
      </c>
      <c r="E944" s="25" t="n">
        <v>46167</v>
      </c>
      <c r="F944" s="23" t="inlineStr">
        <is>
          <t>Iogurte Abacaxi c/ Coco 120g</t>
        </is>
      </c>
      <c r="G944" s="23" t="inlineStr">
        <is>
          <t>IOGURTE</t>
        </is>
      </c>
      <c r="H944" s="26" t="n">
        <v>0.12</v>
      </c>
      <c r="I944" s="36" t="n">
        <v>1200</v>
      </c>
      <c r="J944" s="21">
        <f>I944*H944</f>
        <v/>
      </c>
      <c r="K944" s="21">
        <f>IFERROR(IF(J944/P944&gt;1,P944,J944),0)</f>
        <v/>
      </c>
      <c r="L944" s="36" t="n">
        <v>3250</v>
      </c>
      <c r="M944" s="21">
        <f>L944*H944</f>
        <v/>
      </c>
      <c r="N944" s="21">
        <f>IFERROR(IF(M944/K944&gt;1,K944,M944),0)</f>
        <v/>
      </c>
      <c r="O944" s="36" t="n">
        <v>1000</v>
      </c>
      <c r="P944" s="21">
        <f>O944*H944</f>
        <v/>
      </c>
      <c r="Q944" s="30">
        <f>IF(MONTH(E944+1)=MONTH(E944+6),MONTH(E944+1),IF(MIN(EOMONTH(E944+1,0),E944+6)-(E944+1)+1&gt;=3,MONTH(E944+1),MONTH(E944+6)))</f>
        <v/>
      </c>
      <c r="R944" s="22">
        <f>IFERROR(K944/P944, 0)</f>
        <v/>
      </c>
      <c r="S944" s="38">
        <f>IFERROR(N944/P944,0)</f>
        <v/>
      </c>
      <c r="T944" s="31">
        <f>IFERROR(IF(N944&gt;0,(N944/K944),MIN(1,M944/J944)),0)</f>
        <v/>
      </c>
      <c r="U944" s="33" t="n"/>
    </row>
    <row r="945" hidden="1" s="40">
      <c r="A945" s="18" t="inlineStr">
        <is>
          <t>Semana 4 - Maio</t>
        </is>
      </c>
      <c r="B945" s="27">
        <f>YEAR(E945)</f>
        <v/>
      </c>
      <c r="C945" s="18">
        <f>INDEX({"Janeiro";"Fevereiro";"Março";"Abril";"Maio";"Junho";"Julho";"Agosto";"Setembro";"Outubro";"Novembro";"Dezembro"},Q945)</f>
        <v/>
      </c>
      <c r="D945" s="19" t="n">
        <v>4</v>
      </c>
      <c r="E945" s="20" t="n">
        <v>46167</v>
      </c>
      <c r="F945" s="18" t="inlineStr">
        <is>
          <t>Iogurte Abacaxi c/ Coco 185g</t>
        </is>
      </c>
      <c r="G945" s="18" t="inlineStr">
        <is>
          <t>IOGURTE</t>
        </is>
      </c>
      <c r="H945" s="21" t="n">
        <v>0.185</v>
      </c>
      <c r="I945" s="36" t="n">
        <v>260</v>
      </c>
      <c r="J945" s="21">
        <f>I945*H945</f>
        <v/>
      </c>
      <c r="K945" s="21">
        <f>IFERROR(IF(J945/P945&gt;1,P945,J945),0)</f>
        <v/>
      </c>
      <c r="L945" s="36" t="n">
        <v>257</v>
      </c>
      <c r="M945" s="21">
        <f>L945*H945</f>
        <v/>
      </c>
      <c r="N945" s="21">
        <f>IFERROR(IF(M945/K945&gt;1,K945,M945),0)</f>
        <v/>
      </c>
      <c r="O945" s="36" t="n">
        <v>260</v>
      </c>
      <c r="P945" s="21">
        <f>O945*H945</f>
        <v/>
      </c>
      <c r="Q945" s="30">
        <f>IF(MONTH(E945+1)=MONTH(E945+6),MONTH(E945+1),IF(MIN(EOMONTH(E945+1,0),E945+6)-(E945+1)+1&gt;=3,MONTH(E945+1),MONTH(E945+6)))</f>
        <v/>
      </c>
      <c r="R945" s="22">
        <f>IFERROR(K945/P945, 0)</f>
        <v/>
      </c>
      <c r="S945" s="38">
        <f>IFERROR(N945/P945,0)</f>
        <v/>
      </c>
      <c r="T945" s="31">
        <f>IFERROR(IF(N945&gt;0,(N945/K945),MIN(1,M945/J945)),0)</f>
        <v/>
      </c>
      <c r="U945" s="33" t="n"/>
    </row>
    <row r="946" hidden="1" s="40">
      <c r="A946" s="23" t="inlineStr">
        <is>
          <t>Semana 4 - Maio</t>
        </is>
      </c>
      <c r="B946" s="27">
        <f>YEAR(E946)</f>
        <v/>
      </c>
      <c r="C946" s="18">
        <f>INDEX({"Janeiro";"Fevereiro";"Março";"Abril";"Maio";"Junho";"Julho";"Agosto";"Setembro";"Outubro";"Novembro";"Dezembro"},Q946)</f>
        <v/>
      </c>
      <c r="D946" s="24" t="n">
        <v>4</v>
      </c>
      <c r="E946" s="25" t="n">
        <v>46167</v>
      </c>
      <c r="F946" s="23" t="inlineStr">
        <is>
          <t>Iogurte Abacaxi c/ Coco 900g</t>
        </is>
      </c>
      <c r="G946" s="23" t="inlineStr">
        <is>
          <t>IOGURTE</t>
        </is>
      </c>
      <c r="H946" s="26" t="n">
        <v>0.9</v>
      </c>
      <c r="I946" s="36" t="n">
        <v>1445</v>
      </c>
      <c r="J946" s="21">
        <f>I946*H946</f>
        <v/>
      </c>
      <c r="K946" s="21">
        <f>IFERROR(IF(J946/P946&gt;1,P946,J946),0)</f>
        <v/>
      </c>
      <c r="L946" s="36" t="n">
        <v>1087</v>
      </c>
      <c r="M946" s="21">
        <f>L946*H946</f>
        <v/>
      </c>
      <c r="N946" s="21">
        <f>IFERROR(IF(M946/K946&gt;1,K946,M946),0)</f>
        <v/>
      </c>
      <c r="O946" s="36" t="n">
        <v>1200</v>
      </c>
      <c r="P946" s="21">
        <f>O946*H946</f>
        <v/>
      </c>
      <c r="Q946" s="30">
        <f>IF(MONTH(E946+1)=MONTH(E946+6),MONTH(E946+1),IF(MIN(EOMONTH(E946+1,0),E946+6)-(E946+1)+1&gt;=3,MONTH(E946+1),MONTH(E946+6)))</f>
        <v/>
      </c>
      <c r="R946" s="22">
        <f>IFERROR(K946/P946, 0)</f>
        <v/>
      </c>
      <c r="S946" s="38">
        <f>IFERROR(N946/P946,0)</f>
        <v/>
      </c>
      <c r="T946" s="31">
        <f>IFERROR(IF(N946&gt;0,(N946/K946),MIN(1,M946/J946)),0)</f>
        <v/>
      </c>
      <c r="U946" s="33" t="n"/>
    </row>
    <row r="947" hidden="1" s="40">
      <c r="A947" s="23" t="inlineStr">
        <is>
          <t>Semana 4 - Maio</t>
        </is>
      </c>
      <c r="B947" s="27">
        <f>YEAR(E947)</f>
        <v/>
      </c>
      <c r="C947" s="18">
        <f>INDEX({"Janeiro";"Fevereiro";"Março";"Abril";"Maio";"Junho";"Julho";"Agosto";"Setembro";"Outubro";"Novembro";"Dezembro"},Q947)</f>
        <v/>
      </c>
      <c r="D947" s="24" t="n">
        <v>4</v>
      </c>
      <c r="E947" s="25" t="n">
        <v>46167</v>
      </c>
      <c r="F947" s="23" t="inlineStr">
        <is>
          <t>Iogurte Coco 120g</t>
        </is>
      </c>
      <c r="G947" s="23" t="inlineStr">
        <is>
          <t>IOGURTE</t>
        </is>
      </c>
      <c r="H947" s="26" t="n">
        <v>0.12</v>
      </c>
      <c r="I947" s="36" t="n">
        <v>3000</v>
      </c>
      <c r="J947" s="21">
        <f>I947*H947</f>
        <v/>
      </c>
      <c r="K947" s="21">
        <f>IFERROR(IF(J947/P947&gt;1,P947,J947),0)</f>
        <v/>
      </c>
      <c r="L947" s="36" t="n">
        <v>3250</v>
      </c>
      <c r="M947" s="21">
        <f>L947*H947</f>
        <v/>
      </c>
      <c r="N947" s="21">
        <f>IFERROR(IF(M947/K947&gt;1,K947,M947),0)</f>
        <v/>
      </c>
      <c r="O947" s="36" t="n">
        <v>3000</v>
      </c>
      <c r="P947" s="21">
        <f>O947*H947</f>
        <v/>
      </c>
      <c r="Q947" s="30">
        <f>IF(MONTH(E947+1)=MONTH(E947+6),MONTH(E947+1),IF(MIN(EOMONTH(E947+1,0),E947+6)-(E947+1)+1&gt;=3,MONTH(E947+1),MONTH(E947+6)))</f>
        <v/>
      </c>
      <c r="R947" s="22">
        <f>IFERROR(K947/P947, 0)</f>
        <v/>
      </c>
      <c r="S947" s="38">
        <f>IFERROR(N947/P947,0)</f>
        <v/>
      </c>
      <c r="T947" s="31">
        <f>IFERROR(IF(N947&gt;0,(N947/K947),MIN(1,M947/J947)),0)</f>
        <v/>
      </c>
      <c r="U947" s="33" t="n"/>
    </row>
    <row r="948" hidden="1" s="40">
      <c r="A948" s="18" t="inlineStr">
        <is>
          <t>Semana 4 - Maio</t>
        </is>
      </c>
      <c r="B948" s="27">
        <f>YEAR(E948)</f>
        <v/>
      </c>
      <c r="C948" s="18">
        <f>INDEX({"Janeiro";"Fevereiro";"Março";"Abril";"Maio";"Junho";"Julho";"Agosto";"Setembro";"Outubro";"Novembro";"Dezembro"},Q948)</f>
        <v/>
      </c>
      <c r="D948" s="19" t="n">
        <v>4</v>
      </c>
      <c r="E948" s="20" t="n">
        <v>46167</v>
      </c>
      <c r="F948" s="18" t="inlineStr">
        <is>
          <t>Iogurte Coco 185g</t>
        </is>
      </c>
      <c r="G948" s="18" t="inlineStr">
        <is>
          <t>IOGURTE</t>
        </is>
      </c>
      <c r="H948" s="21" t="n">
        <v>0.185</v>
      </c>
      <c r="I948" s="36" t="n">
        <v>260</v>
      </c>
      <c r="J948" s="21">
        <f>I948*H948</f>
        <v/>
      </c>
      <c r="K948" s="21">
        <f>IFERROR(IF(J948/P948&gt;1,P948,J948),0)</f>
        <v/>
      </c>
      <c r="L948" s="36" t="n">
        <v>257</v>
      </c>
      <c r="M948" s="21">
        <f>L948*H948</f>
        <v/>
      </c>
      <c r="N948" s="21">
        <f>IFERROR(IF(M948/K948&gt;1,K948,M948),0)</f>
        <v/>
      </c>
      <c r="O948" s="36" t="n">
        <v>260</v>
      </c>
      <c r="P948" s="21">
        <f>O948*H948</f>
        <v/>
      </c>
      <c r="Q948" s="30">
        <f>IF(MONTH(E948+1)=MONTH(E948+6),MONTH(E948+1),IF(MIN(EOMONTH(E948+1,0),E948+6)-(E948+1)+1&gt;=3,MONTH(E948+1),MONTH(E948+6)))</f>
        <v/>
      </c>
      <c r="R948" s="22">
        <f>IFERROR(K948/P948, 0)</f>
        <v/>
      </c>
      <c r="S948" s="38">
        <f>IFERROR(N948/P948,0)</f>
        <v/>
      </c>
      <c r="T948" s="31">
        <f>IFERROR(IF(N948&gt;0,(N948/K948),MIN(1,M948/J948)),0)</f>
        <v/>
      </c>
      <c r="U948" s="33" t="n"/>
    </row>
    <row r="949" hidden="1" s="40">
      <c r="A949" s="23" t="inlineStr">
        <is>
          <t>Semana 4 - Maio</t>
        </is>
      </c>
      <c r="B949" s="27">
        <f>YEAR(E949)</f>
        <v/>
      </c>
      <c r="C949" s="18">
        <f>INDEX({"Janeiro";"Fevereiro";"Março";"Abril";"Maio";"Junho";"Julho";"Agosto";"Setembro";"Outubro";"Novembro";"Dezembro"},Q949)</f>
        <v/>
      </c>
      <c r="D949" s="24" t="n">
        <v>4</v>
      </c>
      <c r="E949" s="25" t="n">
        <v>46167</v>
      </c>
      <c r="F949" s="23" t="inlineStr">
        <is>
          <t>Iogurte Coco 900g</t>
        </is>
      </c>
      <c r="G949" s="23" t="inlineStr">
        <is>
          <t>IOGURTE</t>
        </is>
      </c>
      <c r="H949" s="26" t="n">
        <v>0.9</v>
      </c>
      <c r="I949" s="36" t="n">
        <v>1260</v>
      </c>
      <c r="J949" s="21">
        <f>I949*H949</f>
        <v/>
      </c>
      <c r="K949" s="21">
        <f>IFERROR(IF(J949/P949&gt;1,P949,J949),0)</f>
        <v/>
      </c>
      <c r="L949" s="36" t="n">
        <v>1087</v>
      </c>
      <c r="M949" s="21">
        <f>L949*H949</f>
        <v/>
      </c>
      <c r="N949" s="21">
        <f>IFERROR(IF(M949/K949&gt;1,K949,M949),0)</f>
        <v/>
      </c>
      <c r="O949" s="36" t="n">
        <v>1500</v>
      </c>
      <c r="P949" s="21">
        <f>O949*H949</f>
        <v/>
      </c>
      <c r="Q949" s="30">
        <f>IF(MONTH(E949+1)=MONTH(E949+6),MONTH(E949+1),IF(MIN(EOMONTH(E949+1,0),E949+6)-(E949+1)+1&gt;=3,MONTH(E949+1),MONTH(E949+6)))</f>
        <v/>
      </c>
      <c r="R949" s="22">
        <f>IFERROR(K949/P949, 0)</f>
        <v/>
      </c>
      <c r="S949" s="38">
        <f>IFERROR(N949/P949,0)</f>
        <v/>
      </c>
      <c r="T949" s="31">
        <f>IFERROR(IF(N949&gt;0,(N949/K949),MIN(1,M949/J949)),0)</f>
        <v/>
      </c>
      <c r="U949" s="33" t="n"/>
    </row>
    <row r="950" hidden="1" s="40">
      <c r="A950" s="18" t="inlineStr">
        <is>
          <t>Semana 4 - Maio</t>
        </is>
      </c>
      <c r="B950" s="27">
        <f>YEAR(E950)</f>
        <v/>
      </c>
      <c r="C950" s="18">
        <f>INDEX({"Janeiro";"Fevereiro";"Março";"Abril";"Maio";"Junho";"Julho";"Agosto";"Setembro";"Outubro";"Novembro";"Dezembro"},Q950)</f>
        <v/>
      </c>
      <c r="D950" s="19" t="n">
        <v>4</v>
      </c>
      <c r="E950" s="20" t="n">
        <v>46167</v>
      </c>
      <c r="F950" s="18" t="inlineStr">
        <is>
          <t>Iogurte Grego Frutas vermelhas 120g</t>
        </is>
      </c>
      <c r="G950" s="18" t="inlineStr">
        <is>
          <t>IOGURTE</t>
        </is>
      </c>
      <c r="H950" s="21" t="n">
        <v>0.17</v>
      </c>
      <c r="I950" s="36" t="n">
        <v>0</v>
      </c>
      <c r="J950" s="21">
        <f>I950*H950</f>
        <v/>
      </c>
      <c r="K950" s="21">
        <f>IFERROR(IF(J950/P950&gt;1,P950,J950),0)</f>
        <v/>
      </c>
      <c r="L950" s="36" t="n">
        <v>0</v>
      </c>
      <c r="M950" s="21">
        <f>L950*H950</f>
        <v/>
      </c>
      <c r="N950" s="21">
        <f>IFERROR(IF(M950/K950&gt;1,K950,M950),0)</f>
        <v/>
      </c>
      <c r="O950" s="36" t="n">
        <v>0</v>
      </c>
      <c r="P950" s="21">
        <f>O950*H950</f>
        <v/>
      </c>
      <c r="Q950" s="30">
        <f>IF(MONTH(E950+1)=MONTH(E950+6),MONTH(E950+1),IF(MIN(EOMONTH(E950+1,0),E950+6)-(E950+1)+1&gt;=3,MONTH(E950+1),MONTH(E950+6)))</f>
        <v/>
      </c>
      <c r="R950" s="22">
        <f>IFERROR(K950/P950, 0)</f>
        <v/>
      </c>
      <c r="S950" s="38">
        <f>IFERROR(N950/P950,0)</f>
        <v/>
      </c>
      <c r="T950" s="31">
        <f>IFERROR(IF(N950&gt;0,(N950/K950),MIN(1,M950/J950)),0)</f>
        <v/>
      </c>
      <c r="U950" s="33" t="n"/>
    </row>
    <row r="951" hidden="1" s="40">
      <c r="A951" s="18" t="inlineStr">
        <is>
          <t>Semana 4 - Maio</t>
        </is>
      </c>
      <c r="B951" s="27">
        <f>YEAR(E951)</f>
        <v/>
      </c>
      <c r="C951" s="18">
        <f>INDEX({"Janeiro";"Fevereiro";"Março";"Abril";"Maio";"Junho";"Julho";"Agosto";"Setembro";"Outubro";"Novembro";"Dezembro"},Q951)</f>
        <v/>
      </c>
      <c r="D951" s="19" t="n">
        <v>4</v>
      </c>
      <c r="E951" s="20" t="n">
        <v>46167</v>
      </c>
      <c r="F951" s="18" t="inlineStr">
        <is>
          <t>Iogurte Morango 120g</t>
        </is>
      </c>
      <c r="G951" s="18" t="inlineStr">
        <is>
          <t>IOGURTE</t>
        </is>
      </c>
      <c r="H951" s="21" t="n">
        <v>0.12</v>
      </c>
      <c r="I951" s="36" t="n">
        <v>20000</v>
      </c>
      <c r="J951" s="21">
        <f>I951*H951</f>
        <v/>
      </c>
      <c r="K951" s="21">
        <f>IFERROR(IF(J951/P951&gt;1,P951,J951),0)</f>
        <v/>
      </c>
      <c r="L951" s="36" t="n">
        <v>20940</v>
      </c>
      <c r="M951" s="21">
        <f>L951*H951</f>
        <v/>
      </c>
      <c r="N951" s="21">
        <f>IFERROR(IF(M951/K951&gt;1,K951,M951),0)</f>
        <v/>
      </c>
      <c r="O951" s="36" t="n">
        <v>20000</v>
      </c>
      <c r="P951" s="21">
        <f>O951*H951</f>
        <v/>
      </c>
      <c r="Q951" s="30">
        <f>IF(MONTH(E951+1)=MONTH(E951+6),MONTH(E951+1),IF(MIN(EOMONTH(E951+1,0),E951+6)-(E951+1)+1&gt;=3,MONTH(E951+1),MONTH(E951+6)))</f>
        <v/>
      </c>
      <c r="R951" s="22">
        <f>IFERROR(K951/P951, 0)</f>
        <v/>
      </c>
      <c r="S951" s="38">
        <f>IFERROR(N951/P951,0)</f>
        <v/>
      </c>
      <c r="T951" s="31">
        <f>IFERROR(IF(N951&gt;0,(N951/K951),MIN(1,M951/J951)),0)</f>
        <v/>
      </c>
      <c r="U951" s="33" t="n"/>
    </row>
    <row r="952" hidden="1" s="40">
      <c r="A952" s="23" t="inlineStr">
        <is>
          <t>Semana 4 - Maio</t>
        </is>
      </c>
      <c r="B952" s="27">
        <f>YEAR(E952)</f>
        <v/>
      </c>
      <c r="C952" s="18">
        <f>INDEX({"Janeiro";"Fevereiro";"Março";"Abril";"Maio";"Junho";"Julho";"Agosto";"Setembro";"Outubro";"Novembro";"Dezembro"},Q952)</f>
        <v/>
      </c>
      <c r="D952" s="24" t="n">
        <v>4</v>
      </c>
      <c r="E952" s="25" t="n">
        <v>46167</v>
      </c>
      <c r="F952" s="23" t="inlineStr">
        <is>
          <t>Iogurte Morango 185g</t>
        </is>
      </c>
      <c r="G952" s="23" t="inlineStr">
        <is>
          <t>IOGURTE</t>
        </is>
      </c>
      <c r="H952" s="26" t="n">
        <v>0.185</v>
      </c>
      <c r="I952" s="36" t="n">
        <v>1300</v>
      </c>
      <c r="J952" s="21">
        <f>I952*H952</f>
        <v/>
      </c>
      <c r="K952" s="21">
        <f>IFERROR(IF(J952/P952&gt;1,P952,J952),0)</f>
        <v/>
      </c>
      <c r="L952" s="36" t="n">
        <v>1291</v>
      </c>
      <c r="M952" s="21">
        <f>L952*H952</f>
        <v/>
      </c>
      <c r="N952" s="21">
        <f>IFERROR(IF(M952/K952&gt;1,K952,M952),0)</f>
        <v/>
      </c>
      <c r="O952" s="36" t="n">
        <v>1300</v>
      </c>
      <c r="P952" s="21">
        <f>O952*H952</f>
        <v/>
      </c>
      <c r="Q952" s="30">
        <f>IF(MONTH(E952+1)=MONTH(E952+6),MONTH(E952+1),IF(MIN(EOMONTH(E952+1,0),E952+6)-(E952+1)+1&gt;=3,MONTH(E952+1),MONTH(E952+6)))</f>
        <v/>
      </c>
      <c r="R952" s="22">
        <f>IFERROR(K952/P952, 0)</f>
        <v/>
      </c>
      <c r="S952" s="38">
        <f>IFERROR(N952/P952,0)</f>
        <v/>
      </c>
      <c r="T952" s="31">
        <f>IFERROR(IF(N952&gt;0,(N952/K952),MIN(1,M952/J952)),0)</f>
        <v/>
      </c>
      <c r="U952" s="33" t="n"/>
    </row>
    <row r="953" hidden="1" s="40">
      <c r="A953" s="18" t="inlineStr">
        <is>
          <t>Semana 4 - Maio</t>
        </is>
      </c>
      <c r="B953" s="27">
        <f>YEAR(E953)</f>
        <v/>
      </c>
      <c r="C953" s="18">
        <f>INDEX({"Janeiro";"Fevereiro";"Março";"Abril";"Maio";"Junho";"Julho";"Agosto";"Setembro";"Outubro";"Novembro";"Dezembro"},Q953)</f>
        <v/>
      </c>
      <c r="D953" s="19" t="n">
        <v>4</v>
      </c>
      <c r="E953" s="20" t="n">
        <v>46167</v>
      </c>
      <c r="F953" s="18" t="inlineStr">
        <is>
          <t>Iogurte Morango 900G</t>
        </is>
      </c>
      <c r="G953" s="18" t="inlineStr">
        <is>
          <t>IOGURTE</t>
        </is>
      </c>
      <c r="H953" s="21" t="n">
        <v>0.9</v>
      </c>
      <c r="I953" s="36" t="n">
        <v>5760</v>
      </c>
      <c r="J953" s="21">
        <f>I953*H953</f>
        <v/>
      </c>
      <c r="K953" s="21">
        <f>IFERROR(IF(J953/P953&gt;1,P953,J953),0)</f>
        <v/>
      </c>
      <c r="L953" s="36" t="n">
        <v>5101</v>
      </c>
      <c r="M953" s="21">
        <f>L953*H953</f>
        <v/>
      </c>
      <c r="N953" s="21">
        <f>IFERROR(IF(M953/K953&gt;1,K953,M953),0)</f>
        <v/>
      </c>
      <c r="O953" s="36" t="n">
        <v>5200</v>
      </c>
      <c r="P953" s="21">
        <f>O953*H953</f>
        <v/>
      </c>
      <c r="Q953" s="30">
        <f>IF(MONTH(E953+1)=MONTH(E953+6),MONTH(E953+1),IF(MIN(EOMONTH(E953+1,0),E953+6)-(E953+1)+1&gt;=3,MONTH(E953+1),MONTH(E953+6)))</f>
        <v/>
      </c>
      <c r="R953" s="22">
        <f>IFERROR(K953/P953, 0)</f>
        <v/>
      </c>
      <c r="S953" s="38">
        <f>IFERROR(N953/P953,0)</f>
        <v/>
      </c>
      <c r="T953" s="31">
        <f>IFERROR(IF(N953&gt;0,(N953/K953),MIN(1,M953/J953)),0)</f>
        <v/>
      </c>
      <c r="U953" s="33" t="n"/>
    </row>
    <row r="954" hidden="1" s="40">
      <c r="A954" s="23" t="inlineStr">
        <is>
          <t>Semana 4 - Maio</t>
        </is>
      </c>
      <c r="B954" s="27">
        <f>YEAR(E954)</f>
        <v/>
      </c>
      <c r="C954" s="18">
        <f>INDEX({"Janeiro";"Fevereiro";"Março";"Abril";"Maio";"Junho";"Julho";"Agosto";"Setembro";"Outubro";"Novembro";"Dezembro"},Q954)</f>
        <v/>
      </c>
      <c r="D954" s="24" t="n">
        <v>4</v>
      </c>
      <c r="E954" s="25" t="n">
        <v>46167</v>
      </c>
      <c r="F954" s="23" t="inlineStr">
        <is>
          <t>Iogurte Natural Integral 170g</t>
        </is>
      </c>
      <c r="G954" s="23" t="inlineStr">
        <is>
          <t>IOGURTE</t>
        </is>
      </c>
      <c r="H954" s="26" t="n">
        <v>0.17</v>
      </c>
      <c r="I954" s="36" t="n">
        <v>3800</v>
      </c>
      <c r="J954" s="21">
        <f>I954*H954</f>
        <v/>
      </c>
      <c r="K954" s="21">
        <f>IFERROR(IF(J954/P954&gt;1,P954,J954),0)</f>
        <v/>
      </c>
      <c r="L954" s="36" t="n">
        <v>3602</v>
      </c>
      <c r="M954" s="21">
        <f>L954*H954</f>
        <v/>
      </c>
      <c r="N954" s="21">
        <f>IFERROR(IF(M954/K954&gt;1,K954,M954),0)</f>
        <v/>
      </c>
      <c r="O954" s="36" t="n">
        <v>3800</v>
      </c>
      <c r="P954" s="21">
        <f>O954*H954</f>
        <v/>
      </c>
      <c r="Q954" s="30">
        <f>IF(MONTH(E954+1)=MONTH(E954+6),MONTH(E954+1),IF(MIN(EOMONTH(E954+1,0),E954+6)-(E954+1)+1&gt;=3,MONTH(E954+1),MONTH(E954+6)))</f>
        <v/>
      </c>
      <c r="R954" s="22">
        <f>IFERROR(K954/P954, 0)</f>
        <v/>
      </c>
      <c r="S954" s="38">
        <f>IFERROR(N954/P954,0)</f>
        <v/>
      </c>
      <c r="T954" s="31">
        <f>IFERROR(IF(N954&gt;0,(N954/K954),MIN(1,M954/J954)),0)</f>
        <v/>
      </c>
      <c r="U954" s="33" t="n"/>
    </row>
    <row r="955" hidden="1" s="40">
      <c r="A955" s="18" t="inlineStr">
        <is>
          <t>Semana 4 - Maio</t>
        </is>
      </c>
      <c r="B955" s="27">
        <f>YEAR(E955)</f>
        <v/>
      </c>
      <c r="C955" s="18">
        <f>INDEX({"Janeiro";"Fevereiro";"Março";"Abril";"Maio";"Junho";"Julho";"Agosto";"Setembro";"Outubro";"Novembro";"Dezembro"},Q955)</f>
        <v/>
      </c>
      <c r="D955" s="19" t="n">
        <v>4</v>
      </c>
      <c r="E955" s="20" t="n">
        <v>46167</v>
      </c>
      <c r="F955" s="18" t="inlineStr">
        <is>
          <t>Iogurte Natural Triplo Zero 170g</t>
        </is>
      </c>
      <c r="G955" s="18" t="inlineStr">
        <is>
          <t>IOGURTE</t>
        </is>
      </c>
      <c r="H955" s="21" t="n">
        <v>0.17</v>
      </c>
      <c r="I955" s="36" t="n">
        <v>0</v>
      </c>
      <c r="J955" s="21">
        <f>I955*H955</f>
        <v/>
      </c>
      <c r="K955" s="21">
        <f>IFERROR(IF(J955/P955&gt;1,P955,J955),0)</f>
        <v/>
      </c>
      <c r="L955" s="36" t="n">
        <v>0</v>
      </c>
      <c r="M955" s="21">
        <f>L955*H955</f>
        <v/>
      </c>
      <c r="N955" s="21">
        <f>IFERROR(IF(M955/K955&gt;1,K955,M955),0)</f>
        <v/>
      </c>
      <c r="O955" s="36" t="n">
        <v>0</v>
      </c>
      <c r="P955" s="21">
        <f>O955*H955</f>
        <v/>
      </c>
      <c r="Q955" s="30">
        <f>IF(MONTH(E955+1)=MONTH(E955+6),MONTH(E955+1),IF(MIN(EOMONTH(E955+1,0),E955+6)-(E955+1)+1&gt;=3,MONTH(E955+1),MONTH(E955+6)))</f>
        <v/>
      </c>
      <c r="R955" s="22">
        <f>IFERROR(K955/P955, 0)</f>
        <v/>
      </c>
      <c r="S955" s="38">
        <f>IFERROR(N955/P955,0)</f>
        <v/>
      </c>
      <c r="T955" s="31">
        <f>IFERROR(IF(N955&gt;0,(N955/K955),MIN(1,M955/J955)),0)</f>
        <v/>
      </c>
      <c r="U955" s="33" t="n"/>
    </row>
    <row r="956" hidden="1" s="40">
      <c r="A956" s="18" t="inlineStr">
        <is>
          <t>Semana 4 - Maio</t>
        </is>
      </c>
      <c r="B956" s="27">
        <f>YEAR(E956)</f>
        <v/>
      </c>
      <c r="C956" s="18">
        <f>INDEX({"Janeiro";"Fevereiro";"Março";"Abril";"Maio";"Junho";"Julho";"Agosto";"Setembro";"Outubro";"Novembro";"Dezembro"},Q956)</f>
        <v/>
      </c>
      <c r="D956" s="19" t="n">
        <v>4</v>
      </c>
      <c r="E956" s="20" t="n">
        <v>46167</v>
      </c>
      <c r="F956" s="18" t="inlineStr">
        <is>
          <t>Iogurte Salada 120g</t>
        </is>
      </c>
      <c r="G956" s="18" t="inlineStr">
        <is>
          <t>IOGURTE</t>
        </is>
      </c>
      <c r="H956" s="21" t="n">
        <v>0.12</v>
      </c>
      <c r="I956" s="36" t="n">
        <v>1200</v>
      </c>
      <c r="J956" s="21">
        <f>I956*H956</f>
        <v/>
      </c>
      <c r="K956" s="21">
        <f>IFERROR(IF(J956/P956&gt;1,P956,J956),0)</f>
        <v/>
      </c>
      <c r="L956" s="36" t="n">
        <v>1520</v>
      </c>
      <c r="M956" s="21">
        <f>L956*H956</f>
        <v/>
      </c>
      <c r="N956" s="21">
        <f>IFERROR(IF(M956/K956&gt;1,K956,M956),0)</f>
        <v/>
      </c>
      <c r="O956" s="36" t="n">
        <v>1000</v>
      </c>
      <c r="P956" s="21">
        <f>O956*H956</f>
        <v/>
      </c>
      <c r="Q956" s="30">
        <f>IF(MONTH(E956+1)=MONTH(E956+6),MONTH(E956+1),IF(MIN(EOMONTH(E956+1,0),E956+6)-(E956+1)+1&gt;=3,MONTH(E956+1),MONTH(E956+6)))</f>
        <v/>
      </c>
      <c r="R956" s="22">
        <f>IFERROR(K956/P956, 0)</f>
        <v/>
      </c>
      <c r="S956" s="38">
        <f>IFERROR(N956/P956,0)</f>
        <v/>
      </c>
      <c r="T956" s="31">
        <f>IFERROR(IF(N956&gt;0,(N956/K956),MIN(1,M956/J956)),0)</f>
        <v/>
      </c>
      <c r="U956" s="33" t="n"/>
    </row>
    <row r="957" hidden="1" s="40">
      <c r="A957" s="23" t="inlineStr">
        <is>
          <t>Semana 4 - Maio</t>
        </is>
      </c>
      <c r="B957" s="27">
        <f>YEAR(E957)</f>
        <v/>
      </c>
      <c r="C957" s="18">
        <f>INDEX({"Janeiro";"Fevereiro";"Março";"Abril";"Maio";"Junho";"Julho";"Agosto";"Setembro";"Outubro";"Novembro";"Dezembro"},Q957)</f>
        <v/>
      </c>
      <c r="D957" s="24" t="n">
        <v>4</v>
      </c>
      <c r="E957" s="25" t="n">
        <v>46167</v>
      </c>
      <c r="F957" s="23" t="inlineStr">
        <is>
          <t>Iogurte Salada 185g</t>
        </is>
      </c>
      <c r="G957" s="23" t="inlineStr">
        <is>
          <t>IOGURTE</t>
        </is>
      </c>
      <c r="H957" s="26" t="n">
        <v>0.185</v>
      </c>
      <c r="I957" s="36" t="n">
        <v>520</v>
      </c>
      <c r="J957" s="21">
        <f>I957*H957</f>
        <v/>
      </c>
      <c r="K957" s="21">
        <f>IFERROR(IF(J957/P957&gt;1,P957,J957),0)</f>
        <v/>
      </c>
      <c r="L957" s="36" t="n">
        <v>509</v>
      </c>
      <c r="M957" s="21">
        <f>L957*H957</f>
        <v/>
      </c>
      <c r="N957" s="21">
        <f>IFERROR(IF(M957/K957&gt;1,K957,M957),0)</f>
        <v/>
      </c>
      <c r="O957" s="36" t="n">
        <v>520</v>
      </c>
      <c r="P957" s="21">
        <f>O957*H957</f>
        <v/>
      </c>
      <c r="Q957" s="30">
        <f>IF(MONTH(E957+1)=MONTH(E957+6),MONTH(E957+1),IF(MIN(EOMONTH(E957+1,0),E957+6)-(E957+1)+1&gt;=3,MONTH(E957+1),MONTH(E957+6)))</f>
        <v/>
      </c>
      <c r="R957" s="22">
        <f>IFERROR(K957/P957, 0)</f>
        <v/>
      </c>
      <c r="S957" s="38">
        <f>IFERROR(N957/P957,0)</f>
        <v/>
      </c>
      <c r="T957" s="31">
        <f>IFERROR(IF(N957&gt;0,(N957/K957),MIN(1,M957/J957)),0)</f>
        <v/>
      </c>
      <c r="U957" s="33" t="n"/>
    </row>
    <row r="958" hidden="1" s="40">
      <c r="A958" s="18" t="inlineStr">
        <is>
          <t>Semana 4 - Maio</t>
        </is>
      </c>
      <c r="B958" s="27">
        <f>YEAR(E958)</f>
        <v/>
      </c>
      <c r="C958" s="18">
        <f>INDEX({"Janeiro";"Fevereiro";"Março";"Abril";"Maio";"Junho";"Julho";"Agosto";"Setembro";"Outubro";"Novembro";"Dezembro"},Q958)</f>
        <v/>
      </c>
      <c r="D958" s="19" t="n">
        <v>4</v>
      </c>
      <c r="E958" s="20" t="n">
        <v>46167</v>
      </c>
      <c r="F958" s="18" t="inlineStr">
        <is>
          <t>Iogurte Salada 900g</t>
        </is>
      </c>
      <c r="G958" s="18" t="inlineStr">
        <is>
          <t>IOGURTE</t>
        </is>
      </c>
      <c r="H958" s="21" t="n">
        <v>0.9</v>
      </c>
      <c r="I958" s="36" t="n">
        <v>1350</v>
      </c>
      <c r="J958" s="21">
        <f>I958*H958</f>
        <v/>
      </c>
      <c r="K958" s="21">
        <f>IFERROR(IF(J958/P958&gt;1,P958,J958),0)</f>
        <v/>
      </c>
      <c r="L958" s="36" t="n">
        <v>1304</v>
      </c>
      <c r="M958" s="21">
        <f>L958*H958</f>
        <v/>
      </c>
      <c r="N958" s="21">
        <f>IFERROR(IF(M958/K958&gt;1,K958,M958),0)</f>
        <v/>
      </c>
      <c r="O958" s="36" t="n">
        <v>1200</v>
      </c>
      <c r="P958" s="21">
        <f>O958*H958</f>
        <v/>
      </c>
      <c r="Q958" s="30">
        <f>IF(MONTH(E958+1)=MONTH(E958+6),MONTH(E958+1),IF(MIN(EOMONTH(E958+1,0),E958+6)-(E958+1)+1&gt;=3,MONTH(E958+1),MONTH(E958+6)))</f>
        <v/>
      </c>
      <c r="R958" s="22">
        <f>IFERROR(K958/P958, 0)</f>
        <v/>
      </c>
      <c r="S958" s="38">
        <f>IFERROR(N958/P958,0)</f>
        <v/>
      </c>
      <c r="T958" s="31">
        <f>IFERROR(IF(N958&gt;0,(N958/K958),MIN(1,M958/J958)),0)</f>
        <v/>
      </c>
      <c r="U958" s="33" t="n"/>
    </row>
    <row r="959" hidden="1" s="40">
      <c r="A959" s="23" t="inlineStr">
        <is>
          <t>Semana 4 - Maio</t>
        </is>
      </c>
      <c r="B959" s="27">
        <f>YEAR(E959)</f>
        <v/>
      </c>
      <c r="C959" s="18">
        <f>INDEX({"Janeiro";"Fevereiro";"Março";"Abril";"Maio";"Junho";"Julho";"Agosto";"Setembro";"Outubro";"Novembro";"Dezembro"},Q959)</f>
        <v/>
      </c>
      <c r="D959" s="24" t="n">
        <v>4</v>
      </c>
      <c r="E959" s="25" t="n">
        <v>46167</v>
      </c>
      <c r="F959" s="23" t="inlineStr">
        <is>
          <t>Iogurte Vida Leve Ameixa c/ Grãos 180g</t>
        </is>
      </c>
      <c r="G959" s="23" t="inlineStr">
        <is>
          <t>IOGURTE</t>
        </is>
      </c>
      <c r="H959" s="26" t="n">
        <v>0.18</v>
      </c>
      <c r="I959" s="36" t="n">
        <v>0</v>
      </c>
      <c r="J959" s="21">
        <f>I959*H959</f>
        <v/>
      </c>
      <c r="K959" s="21">
        <f>IFERROR(IF(J959/P959&gt;1,P959,J959),0)</f>
        <v/>
      </c>
      <c r="L959" s="36" t="n">
        <v>0</v>
      </c>
      <c r="M959" s="21">
        <f>L959*H959</f>
        <v/>
      </c>
      <c r="N959" s="21">
        <f>IFERROR(IF(M959/K959&gt;1,K959,M959),0)</f>
        <v/>
      </c>
      <c r="O959" s="36" t="n">
        <v>0</v>
      </c>
      <c r="P959" s="21">
        <f>O959*H959</f>
        <v/>
      </c>
      <c r="Q959" s="30">
        <f>IF(MONTH(E959+1)=MONTH(E959+6),MONTH(E959+1),IF(MIN(EOMONTH(E959+1,0),E959+6)-(E959+1)+1&gt;=3,MONTH(E959+1),MONTH(E959+6)))</f>
        <v/>
      </c>
      <c r="R959" s="22">
        <f>IFERROR(K959/P959, 0)</f>
        <v/>
      </c>
      <c r="S959" s="38">
        <f>IFERROR(N959/P959,0)</f>
        <v/>
      </c>
      <c r="T959" s="31">
        <f>IFERROR(IF(N959&gt;0,(N959/K959),MIN(1,M959/J959)),0)</f>
        <v/>
      </c>
      <c r="U959" s="33" t="n"/>
    </row>
    <row r="960" hidden="1" s="40">
      <c r="A960" s="18" t="inlineStr">
        <is>
          <t>Semana 4 - Maio</t>
        </is>
      </c>
      <c r="B960" s="27">
        <f>YEAR(E960)</f>
        <v/>
      </c>
      <c r="C960" s="18">
        <f>INDEX({"Janeiro";"Fevereiro";"Março";"Abril";"Maio";"Junho";"Julho";"Agosto";"Setembro";"Outubro";"Novembro";"Dezembro"},Q960)</f>
        <v/>
      </c>
      <c r="D960" s="19" t="n">
        <v>4</v>
      </c>
      <c r="E960" s="20" t="n">
        <v>46167</v>
      </c>
      <c r="F960" s="18" t="inlineStr">
        <is>
          <t>Iogurte Vida Leve Ameixa c/ Grãos 500g</t>
        </is>
      </c>
      <c r="G960" s="18" t="inlineStr">
        <is>
          <t>IOGURTE</t>
        </is>
      </c>
      <c r="H960" s="21" t="n">
        <v>0.5</v>
      </c>
      <c r="I960" s="36" t="n">
        <v>0</v>
      </c>
      <c r="J960" s="21">
        <f>I960*H960</f>
        <v/>
      </c>
      <c r="K960" s="21">
        <f>IFERROR(IF(J960/P960&gt;1,P960,J960),0)</f>
        <v/>
      </c>
      <c r="L960" s="36" t="n">
        <v>0</v>
      </c>
      <c r="M960" s="21">
        <f>L960*H960</f>
        <v/>
      </c>
      <c r="N960" s="21">
        <f>IFERROR(IF(M960/K960&gt;1,K960,M960),0)</f>
        <v/>
      </c>
      <c r="O960" s="36" t="n">
        <v>0</v>
      </c>
      <c r="P960" s="21">
        <f>O960*H960</f>
        <v/>
      </c>
      <c r="Q960" s="30">
        <f>IF(MONTH(E960+1)=MONTH(E960+6),MONTH(E960+1),IF(MIN(EOMONTH(E960+1,0),E960+6)-(E960+1)+1&gt;=3,MONTH(E960+1),MONTH(E960+6)))</f>
        <v/>
      </c>
      <c r="R960" s="22">
        <f>IFERROR(K960/P960, 0)</f>
        <v/>
      </c>
      <c r="S960" s="38">
        <f>IFERROR(N960/P960,0)</f>
        <v/>
      </c>
      <c r="T960" s="31">
        <f>IFERROR(IF(N960&gt;0,(N960/K960),MIN(1,M960/J960)),0)</f>
        <v/>
      </c>
      <c r="U960" s="33" t="n"/>
    </row>
    <row r="961" hidden="1" s="40">
      <c r="A961" s="23" t="inlineStr">
        <is>
          <t>Semana 4 - Maio</t>
        </is>
      </c>
      <c r="B961" s="27">
        <f>YEAR(E961)</f>
        <v/>
      </c>
      <c r="C961" s="18">
        <f>INDEX({"Janeiro";"Fevereiro";"Março";"Abril";"Maio";"Junho";"Julho";"Agosto";"Setembro";"Outubro";"Novembro";"Dezembro"},Q961)</f>
        <v/>
      </c>
      <c r="D961" s="24" t="n">
        <v>4</v>
      </c>
      <c r="E961" s="25" t="n">
        <v>46167</v>
      </c>
      <c r="F961" s="23" t="inlineStr">
        <is>
          <t>Iogurte Vida Leve Morango 180g</t>
        </is>
      </c>
      <c r="G961" s="23" t="inlineStr">
        <is>
          <t>IOGURTE</t>
        </is>
      </c>
      <c r="H961" s="26" t="n">
        <v>0.185</v>
      </c>
      <c r="I961" s="36" t="n">
        <v>0</v>
      </c>
      <c r="J961" s="21">
        <f>I961*H961</f>
        <v/>
      </c>
      <c r="K961" s="21">
        <f>IFERROR(IF(J961/P961&gt;1,P961,J961),0)</f>
        <v/>
      </c>
      <c r="L961" s="36" t="n">
        <v>0</v>
      </c>
      <c r="M961" s="21">
        <f>L961*H961</f>
        <v/>
      </c>
      <c r="N961" s="21">
        <f>IFERROR(IF(M961/K961&gt;1,K961,M961),0)</f>
        <v/>
      </c>
      <c r="O961" s="36" t="n">
        <v>0</v>
      </c>
      <c r="P961" s="21">
        <f>O961*H961</f>
        <v/>
      </c>
      <c r="Q961" s="30">
        <f>IF(MONTH(E961+1)=MONTH(E961+6),MONTH(E961+1),IF(MIN(EOMONTH(E961+1,0),E961+6)-(E961+1)+1&gt;=3,MONTH(E961+1),MONTH(E961+6)))</f>
        <v/>
      </c>
      <c r="R961" s="22">
        <f>IFERROR(K961/P961, 0)</f>
        <v/>
      </c>
      <c r="S961" s="38">
        <f>IFERROR(N961/P961,0)</f>
        <v/>
      </c>
      <c r="T961" s="31">
        <f>IFERROR(IF(N961&gt;0,(N961/K961),MIN(1,M961/J961)),0)</f>
        <v/>
      </c>
      <c r="U961" s="33" t="n"/>
    </row>
    <row r="962" hidden="1" s="40">
      <c r="A962" s="18" t="inlineStr">
        <is>
          <t>Semana 4 - Maio</t>
        </is>
      </c>
      <c r="B962" s="27">
        <f>YEAR(E962)</f>
        <v/>
      </c>
      <c r="C962" s="18">
        <f>INDEX({"Janeiro";"Fevereiro";"Março";"Abril";"Maio";"Junho";"Julho";"Agosto";"Setembro";"Outubro";"Novembro";"Dezembro"},Q962)</f>
        <v/>
      </c>
      <c r="D962" s="19" t="n">
        <v>4</v>
      </c>
      <c r="E962" s="20" t="n">
        <v>46167</v>
      </c>
      <c r="F962" s="18" t="inlineStr">
        <is>
          <t>Iogurte Vida Leve Morango 500g</t>
        </is>
      </c>
      <c r="G962" s="18" t="inlineStr">
        <is>
          <t>IOGURTE</t>
        </is>
      </c>
      <c r="H962" s="21" t="n">
        <v>0.5</v>
      </c>
      <c r="I962" s="36" t="n">
        <v>0</v>
      </c>
      <c r="J962" s="21">
        <f>I962*H962</f>
        <v/>
      </c>
      <c r="K962" s="21">
        <f>IFERROR(IF(J962/P962&gt;1,P962,J962),0)</f>
        <v/>
      </c>
      <c r="L962" s="36" t="n">
        <v>0</v>
      </c>
      <c r="M962" s="21">
        <f>L962*H962</f>
        <v/>
      </c>
      <c r="N962" s="21">
        <f>IFERROR(IF(M962/K962&gt;1,K962,M962),0)</f>
        <v/>
      </c>
      <c r="O962" s="36" t="n">
        <v>0</v>
      </c>
      <c r="P962" s="21">
        <f>O962*H962</f>
        <v/>
      </c>
      <c r="Q962" s="30">
        <f>IF(MONTH(E962+1)=MONTH(E962+6),MONTH(E962+1),IF(MIN(EOMONTH(E962+1,0),E962+6)-(E962+1)+1&gt;=3,MONTH(E962+1),MONTH(E962+6)))</f>
        <v/>
      </c>
      <c r="R962" s="22">
        <f>IFERROR(K962/P962, 0)</f>
        <v/>
      </c>
      <c r="S962" s="38">
        <f>IFERROR(N962/P962,0)</f>
        <v/>
      </c>
      <c r="T962" s="31">
        <f>IFERROR(IF(N962&gt;0,(N962/K962),MIN(1,M962/J962)),0)</f>
        <v/>
      </c>
      <c r="U962" s="33" t="n"/>
    </row>
    <row r="963" hidden="1" s="40">
      <c r="A963" s="23" t="inlineStr">
        <is>
          <t>Semana 4 - Maio</t>
        </is>
      </c>
      <c r="B963" s="27">
        <f>YEAR(E963)</f>
        <v/>
      </c>
      <c r="C963" s="18">
        <f>INDEX({"Janeiro";"Fevereiro";"Março";"Abril";"Maio";"Junho";"Julho";"Agosto";"Setembro";"Outubro";"Novembro";"Dezembro"},Q963)</f>
        <v/>
      </c>
      <c r="D963" s="24" t="n">
        <v>4</v>
      </c>
      <c r="E963" s="25" t="n">
        <v>46167</v>
      </c>
      <c r="F963" s="23" t="inlineStr">
        <is>
          <t>LEITE PASTEURIZADO VIÇOSA DESNATADO</t>
        </is>
      </c>
      <c r="G963" s="23" t="inlineStr">
        <is>
          <t>LEITE PAST.</t>
        </is>
      </c>
      <c r="H963" s="26" t="n">
        <v>1</v>
      </c>
      <c r="I963" s="36" t="n">
        <v>750</v>
      </c>
      <c r="J963" s="21">
        <f>I963*H963</f>
        <v/>
      </c>
      <c r="K963" s="21">
        <f>IFERROR(IF(J963/P963&gt;1,P963,J963),0)</f>
        <v/>
      </c>
      <c r="L963" s="36" t="n">
        <v>768</v>
      </c>
      <c r="M963" s="21">
        <f>L963*H963</f>
        <v/>
      </c>
      <c r="N963" s="21">
        <f>IFERROR(IF(M963/K963&gt;1,K963,M963),0)</f>
        <v/>
      </c>
      <c r="O963" s="36" t="n">
        <v>750</v>
      </c>
      <c r="P963" s="21">
        <f>O963*H963</f>
        <v/>
      </c>
      <c r="Q963" s="30">
        <f>IF(MONTH(E963+1)=MONTH(E963+6),MONTH(E963+1),IF(MIN(EOMONTH(E963+1,0),E963+6)-(E963+1)+1&gt;=3,MONTH(E963+1),MONTH(E963+6)))</f>
        <v/>
      </c>
      <c r="R963" s="22">
        <f>IFERROR(K963/P963, 0)</f>
        <v/>
      </c>
      <c r="S963" s="38">
        <f>IFERROR(N963/P963,0)</f>
        <v/>
      </c>
      <c r="T963" s="31">
        <f>IFERROR(IF(N963&gt;0,(N963/K963),MIN(1,M963/J963)),0)</f>
        <v/>
      </c>
      <c r="U963" s="33" t="n"/>
    </row>
    <row r="964" hidden="1" s="40">
      <c r="A964" s="18" t="inlineStr">
        <is>
          <t>Semana 4 - Maio</t>
        </is>
      </c>
      <c r="B964" s="27">
        <f>YEAR(E964)</f>
        <v/>
      </c>
      <c r="C964" s="18">
        <f>INDEX({"Janeiro";"Fevereiro";"Março";"Abril";"Maio";"Junho";"Julho";"Agosto";"Setembro";"Outubro";"Novembro";"Dezembro"},Q964)</f>
        <v/>
      </c>
      <c r="D964" s="19" t="n">
        <v>4</v>
      </c>
      <c r="E964" s="20" t="n">
        <v>46167</v>
      </c>
      <c r="F964" s="18" t="inlineStr">
        <is>
          <t>LEITE PASTEURIZADO VIÇOSA INTEGRAL</t>
        </is>
      </c>
      <c r="G964" s="18" t="inlineStr">
        <is>
          <t>LEITE PAST.</t>
        </is>
      </c>
      <c r="H964" s="21" t="n">
        <v>1</v>
      </c>
      <c r="I964" s="36" t="n">
        <v>25260</v>
      </c>
      <c r="J964" s="21">
        <f>I964*H964</f>
        <v/>
      </c>
      <c r="K964" s="21">
        <f>IFERROR(IF(J964/P964&gt;1,P964,J964),0)</f>
        <v/>
      </c>
      <c r="L964" s="36" t="n">
        <v>25014</v>
      </c>
      <c r="M964" s="21">
        <f>L964*H964</f>
        <v/>
      </c>
      <c r="N964" s="21">
        <f>IFERROR(IF(M964/K964&gt;1,K964,M964),0)</f>
        <v/>
      </c>
      <c r="O964" s="36" t="n">
        <v>25260</v>
      </c>
      <c r="P964" s="21">
        <f>O964*H964</f>
        <v/>
      </c>
      <c r="Q964" s="30">
        <f>IF(MONTH(E964+1)=MONTH(E964+6),MONTH(E964+1),IF(MIN(EOMONTH(E964+1,0),E964+6)-(E964+1)+1&gt;=3,MONTH(E964+1),MONTH(E964+6)))</f>
        <v/>
      </c>
      <c r="R964" s="22">
        <f>IFERROR(K964/P964, 0)</f>
        <v/>
      </c>
      <c r="S964" s="38">
        <f>IFERROR(N964/P964,0)</f>
        <v/>
      </c>
      <c r="T964" s="31">
        <f>IFERROR(IF(N964&gt;0,(N964/K964),MIN(1,M964/J964)),0)</f>
        <v/>
      </c>
      <c r="U964" s="33" t="n"/>
    </row>
    <row r="965" hidden="1" s="40">
      <c r="A965" s="23" t="inlineStr">
        <is>
          <t>Semana 4 - Maio</t>
        </is>
      </c>
      <c r="B965" s="27">
        <f>YEAR(E965)</f>
        <v/>
      </c>
      <c r="C965" s="18">
        <f>INDEX({"Janeiro";"Fevereiro";"Março";"Abril";"Maio";"Junho";"Julho";"Agosto";"Setembro";"Outubro";"Novembro";"Dezembro"},Q965)</f>
        <v/>
      </c>
      <c r="D965" s="24" t="n">
        <v>4</v>
      </c>
      <c r="E965" s="25" t="n">
        <v>46167</v>
      </c>
      <c r="F965" s="23" t="inlineStr">
        <is>
          <t>LEITE PASTEURIZADO VIÇOSA ZERO LACTOSE INTEGRAL 1 L</t>
        </is>
      </c>
      <c r="G965" s="23" t="inlineStr">
        <is>
          <t>LEITE PAST.</t>
        </is>
      </c>
      <c r="H965" s="26" t="n">
        <v>1</v>
      </c>
      <c r="I965" s="36" t="n">
        <v>800</v>
      </c>
      <c r="J965" s="21">
        <f>I965*H965</f>
        <v/>
      </c>
      <c r="K965" s="21">
        <f>IFERROR(IF(J965/P965&gt;1,P965,J965),0)</f>
        <v/>
      </c>
      <c r="L965" s="36" t="n">
        <v>841</v>
      </c>
      <c r="M965" s="21">
        <f>L965*H965</f>
        <v/>
      </c>
      <c r="N965" s="21">
        <f>IFERROR(IF(M965/K965&gt;1,K965,M965),0)</f>
        <v/>
      </c>
      <c r="O965" s="36" t="n">
        <v>800</v>
      </c>
      <c r="P965" s="21">
        <f>O965*H965</f>
        <v/>
      </c>
      <c r="Q965" s="30">
        <f>IF(MONTH(E965+1)=MONTH(E965+6),MONTH(E965+1),IF(MIN(EOMONTH(E965+1,0),E965+6)-(E965+1)+1&gt;=3,MONTH(E965+1),MONTH(E965+6)))</f>
        <v/>
      </c>
      <c r="R965" s="22">
        <f>IFERROR(K965/P965, 0)</f>
        <v/>
      </c>
      <c r="S965" s="38">
        <f>IFERROR(N965/P965,0)</f>
        <v/>
      </c>
      <c r="T965" s="31">
        <f>IFERROR(IF(N965&gt;0,(N965/K965),MIN(1,M965/J965)),0)</f>
        <v/>
      </c>
      <c r="U965" s="33" t="n"/>
    </row>
    <row r="966" hidden="1" s="40">
      <c r="A966" s="18" t="inlineStr">
        <is>
          <t>Semana 4 - Maio</t>
        </is>
      </c>
      <c r="B966" s="27">
        <f>YEAR(E966)</f>
        <v/>
      </c>
      <c r="C966" s="18">
        <f>INDEX({"Janeiro";"Fevereiro";"Março";"Abril";"Maio";"Junho";"Julho";"Agosto";"Setembro";"Outubro";"Novembro";"Dezembro"},Q966)</f>
        <v/>
      </c>
      <c r="D966" s="19" t="n">
        <v>4</v>
      </c>
      <c r="E966" s="20" t="n">
        <v>46167</v>
      </c>
      <c r="F966" s="18" t="inlineStr">
        <is>
          <t>Manteiga 200g</t>
        </is>
      </c>
      <c r="G966" s="18" t="inlineStr">
        <is>
          <t>MANTEIGA</t>
        </is>
      </c>
      <c r="H966" s="21" t="n">
        <v>0.2</v>
      </c>
      <c r="I966" s="36" t="n">
        <v>8350</v>
      </c>
      <c r="J966" s="21">
        <f>I966*H966</f>
        <v/>
      </c>
      <c r="K966" s="21">
        <f>IFERROR(IF(J966/P966&gt;1,P966,J966),0)</f>
        <v/>
      </c>
      <c r="L966" s="36" t="n">
        <v>5416</v>
      </c>
      <c r="M966" s="21">
        <f>L966*H966</f>
        <v/>
      </c>
      <c r="N966" s="21">
        <f>IFERROR(IF(M966/K966&gt;1,K966,M966),0)</f>
        <v/>
      </c>
      <c r="O966" s="36" t="n">
        <v>2304</v>
      </c>
      <c r="P966" s="21">
        <f>O966*H966</f>
        <v/>
      </c>
      <c r="Q966" s="30">
        <f>IF(MONTH(E966+1)=MONTH(E966+6),MONTH(E966+1),IF(MIN(EOMONTH(E966+1,0),E966+6)-(E966+1)+1&gt;=3,MONTH(E966+1),MONTH(E966+6)))</f>
        <v/>
      </c>
      <c r="R966" s="22">
        <f>IFERROR(K966/P966, 0)</f>
        <v/>
      </c>
      <c r="S966" s="38">
        <f>IFERROR(N966/P966,0)</f>
        <v/>
      </c>
      <c r="T966" s="31">
        <f>IFERROR(IF(N966&gt;0,(N966/K966),MIN(1,M966/J966)),0)</f>
        <v/>
      </c>
      <c r="U966" s="33" t="n"/>
    </row>
    <row r="967" hidden="1" s="40">
      <c r="A967" s="23" t="inlineStr">
        <is>
          <t>Semana 4 - Maio</t>
        </is>
      </c>
      <c r="B967" s="27">
        <f>YEAR(E967)</f>
        <v/>
      </c>
      <c r="C967" s="18">
        <f>INDEX({"Janeiro";"Fevereiro";"Março";"Abril";"Maio";"Junho";"Julho";"Agosto";"Setembro";"Outubro";"Novembro";"Dezembro"},Q967)</f>
        <v/>
      </c>
      <c r="D967" s="24" t="n">
        <v>4</v>
      </c>
      <c r="E967" s="25" t="n">
        <v>46167</v>
      </c>
      <c r="F967" s="23" t="inlineStr">
        <is>
          <t>Manteiga 500g</t>
        </is>
      </c>
      <c r="G967" s="23" t="inlineStr">
        <is>
          <t>MANTEIGA</t>
        </is>
      </c>
      <c r="H967" s="26" t="n">
        <v>0.5</v>
      </c>
      <c r="I967" s="36" t="n">
        <v>370</v>
      </c>
      <c r="J967" s="21">
        <f>I967*H967</f>
        <v/>
      </c>
      <c r="K967" s="21">
        <f>IFERROR(IF(J967/P967&gt;1,P967,J967),0)</f>
        <v/>
      </c>
      <c r="L967" s="36" t="n">
        <v>531</v>
      </c>
      <c r="M967" s="21">
        <f>L967*H967</f>
        <v/>
      </c>
      <c r="N967" s="21">
        <f>IFERROR(IF(M967/K967&gt;1,K967,M967),0)</f>
        <v/>
      </c>
      <c r="O967" s="36" t="n">
        <v>0</v>
      </c>
      <c r="P967" s="21">
        <f>O967*H967</f>
        <v/>
      </c>
      <c r="Q967" s="30">
        <f>IF(MONTH(E967+1)=MONTH(E967+6),MONTH(E967+1),IF(MIN(EOMONTH(E967+1,0),E967+6)-(E967+1)+1&gt;=3,MONTH(E967+1),MONTH(E967+6)))</f>
        <v/>
      </c>
      <c r="R967" s="22">
        <f>IFERROR(K967/P967, 0)</f>
        <v/>
      </c>
      <c r="S967" s="38">
        <f>IFERROR(N967/P967,0)</f>
        <v/>
      </c>
      <c r="T967" s="31">
        <f>IFERROR(IF(N967&gt;0,(N967/K967),MIN(1,M967/J967)),0)</f>
        <v/>
      </c>
      <c r="U967" s="33" t="n"/>
    </row>
    <row r="968" hidden="1" s="40">
      <c r="A968" s="18" t="inlineStr">
        <is>
          <t>Semana 4 - Maio</t>
        </is>
      </c>
      <c r="B968" s="27">
        <f>YEAR(E968)</f>
        <v/>
      </c>
      <c r="C968" s="18">
        <f>INDEX({"Janeiro";"Fevereiro";"Março";"Abril";"Maio";"Junho";"Julho";"Agosto";"Setembro";"Outubro";"Novembro";"Dezembro"},Q968)</f>
        <v/>
      </c>
      <c r="D968" s="19" t="n">
        <v>4</v>
      </c>
      <c r="E968" s="20" t="n">
        <v>46167</v>
      </c>
      <c r="F968" s="18" t="inlineStr">
        <is>
          <t>QUEIJO MINAS MEIA CURA (FRACIONADO)</t>
        </is>
      </c>
      <c r="G968" s="18" t="inlineStr">
        <is>
          <t>QUEIJO</t>
        </is>
      </c>
      <c r="H968" s="21" t="n">
        <v>1</v>
      </c>
      <c r="I968" s="36" t="n">
        <v>0</v>
      </c>
      <c r="J968" s="21">
        <f>I968*H968</f>
        <v/>
      </c>
      <c r="K968" s="21">
        <f>IFERROR(IF(J968/P968&gt;1,P968,J968),0)</f>
        <v/>
      </c>
      <c r="L968" s="36" t="n">
        <v>0</v>
      </c>
      <c r="M968" s="21">
        <f>L968*H968</f>
        <v/>
      </c>
      <c r="N968" s="21">
        <f>IFERROR(IF(M968/K968&gt;1,K968,M968),0)</f>
        <v/>
      </c>
      <c r="O968" s="36" t="n">
        <v>0</v>
      </c>
      <c r="P968" s="21">
        <f>O968*H968</f>
        <v/>
      </c>
      <c r="Q968" s="30">
        <f>IF(MONTH(E968+1)=MONTH(E968+6),MONTH(E968+1),IF(MIN(EOMONTH(E968+1,0),E968+6)-(E968+1)+1&gt;=3,MONTH(E968+1),MONTH(E968+6)))</f>
        <v/>
      </c>
      <c r="R968" s="22">
        <f>IFERROR(K968/P968, 0)</f>
        <v/>
      </c>
      <c r="S968" s="38">
        <f>IFERROR(N968/P968,0)</f>
        <v/>
      </c>
      <c r="T968" s="31">
        <f>IFERROR(IF(N968&gt;0,(N968/K968),MIN(1,M968/J968)),0)</f>
        <v/>
      </c>
      <c r="U968" s="33" t="n"/>
    </row>
    <row r="969" hidden="1" s="40">
      <c r="A969" s="23" t="inlineStr">
        <is>
          <t>Semana 4 - Maio</t>
        </is>
      </c>
      <c r="B969" s="27">
        <f>YEAR(E969)</f>
        <v/>
      </c>
      <c r="C969" s="18">
        <f>INDEX({"Janeiro";"Fevereiro";"Março";"Abril";"Maio";"Junho";"Julho";"Agosto";"Setembro";"Outubro";"Novembro";"Dezembro"},Q969)</f>
        <v/>
      </c>
      <c r="D969" s="24" t="n">
        <v>4</v>
      </c>
      <c r="E969" s="25" t="n">
        <v>46167</v>
      </c>
      <c r="F969" s="23" t="inlineStr">
        <is>
          <t>QUEIJO MINAS MEIA CURA (INTEIRO)</t>
        </is>
      </c>
      <c r="G969" s="23" t="inlineStr">
        <is>
          <t>QUEIJO</t>
        </is>
      </c>
      <c r="H969" s="26" t="n">
        <v>1</v>
      </c>
      <c r="I969" s="36" t="n">
        <v>0</v>
      </c>
      <c r="J969" s="21">
        <f>I969*H969</f>
        <v/>
      </c>
      <c r="K969" s="21">
        <f>IFERROR(IF(J969/P969&gt;1,P969,J969),0)</f>
        <v/>
      </c>
      <c r="L969" s="36" t="n">
        <v>0</v>
      </c>
      <c r="M969" s="21">
        <f>L969*H969</f>
        <v/>
      </c>
      <c r="N969" s="21">
        <f>IFERROR(IF(M969/K969&gt;1,K969,M969),0)</f>
        <v/>
      </c>
      <c r="O969" s="36" t="n">
        <v>0</v>
      </c>
      <c r="P969" s="21">
        <f>O969*H969</f>
        <v/>
      </c>
      <c r="Q969" s="30">
        <f>IF(MONTH(E969+1)=MONTH(E969+6),MONTH(E969+1),IF(MIN(EOMONTH(E969+1,0),E969+6)-(E969+1)+1&gt;=3,MONTH(E969+1),MONTH(E969+6)))</f>
        <v/>
      </c>
      <c r="R969" s="22">
        <f>IFERROR(K969/P969, 0)</f>
        <v/>
      </c>
      <c r="S969" s="38">
        <f>IFERROR(N969/P969,0)</f>
        <v/>
      </c>
      <c r="T969" s="31">
        <f>IFERROR(IF(N969&gt;0,(N969/K969),MIN(1,M969/J969)),0)</f>
        <v/>
      </c>
      <c r="U969" s="33" t="n"/>
    </row>
    <row r="970" hidden="1" s="40">
      <c r="A970" s="18" t="inlineStr">
        <is>
          <t>Semana 4 - Maio</t>
        </is>
      </c>
      <c r="B970" s="27">
        <f>YEAR(E970)</f>
        <v/>
      </c>
      <c r="C970" s="18">
        <f>INDEX({"Janeiro";"Fevereiro";"Março";"Abril";"Maio";"Junho";"Julho";"Agosto";"Setembro";"Outubro";"Novembro";"Dezembro"},Q970)</f>
        <v/>
      </c>
      <c r="D970" s="19" t="n">
        <v>4</v>
      </c>
      <c r="E970" s="20" t="n">
        <v>46167</v>
      </c>
      <c r="F970" s="18" t="inlineStr">
        <is>
          <t xml:space="preserve">QUEIJO MINAS PADRÃO VIÇOSA FRACIONADO </t>
        </is>
      </c>
      <c r="G970" s="18" t="inlineStr">
        <is>
          <t>QUEIJO</t>
        </is>
      </c>
      <c r="H970" s="21" t="n">
        <v>1</v>
      </c>
      <c r="I970" s="36" t="n">
        <v>0</v>
      </c>
      <c r="J970" s="21">
        <f>I970*H970</f>
        <v/>
      </c>
      <c r="K970" s="21">
        <f>IFERROR(IF(J970/P970&gt;1,P970,J970),0)</f>
        <v/>
      </c>
      <c r="L970" s="36" t="n">
        <v>0</v>
      </c>
      <c r="M970" s="21">
        <f>L970*H970</f>
        <v/>
      </c>
      <c r="N970" s="21">
        <f>IFERROR(IF(M970/K970&gt;1,K970,M970),0)</f>
        <v/>
      </c>
      <c r="O970" s="36" t="n">
        <v>0</v>
      </c>
      <c r="P970" s="21">
        <f>O970*H970</f>
        <v/>
      </c>
      <c r="Q970" s="30">
        <f>IF(MONTH(E970+1)=MONTH(E970+6),MONTH(E970+1),IF(MIN(EOMONTH(E970+1,0),E970+6)-(E970+1)+1&gt;=3,MONTH(E970+1),MONTH(E970+6)))</f>
        <v/>
      </c>
      <c r="R970" s="22">
        <f>IFERROR(K970/P970, 0)</f>
        <v/>
      </c>
      <c r="S970" s="38">
        <f>IFERROR(N970/P970,0)</f>
        <v/>
      </c>
      <c r="T970" s="31">
        <f>IFERROR(IF(N970&gt;0,(N970/K970),MIN(1,M970/J970)),0)</f>
        <v/>
      </c>
      <c r="U970" s="33" t="n"/>
    </row>
    <row r="971" hidden="1" s="40">
      <c r="A971" s="23" t="inlineStr">
        <is>
          <t>Semana 4 - Maio</t>
        </is>
      </c>
      <c r="B971" s="27">
        <f>YEAR(E971)</f>
        <v/>
      </c>
      <c r="C971" s="18">
        <f>INDEX({"Janeiro";"Fevereiro";"Março";"Abril";"Maio";"Junho";"Julho";"Agosto";"Setembro";"Outubro";"Novembro";"Dezembro"},Q971)</f>
        <v/>
      </c>
      <c r="D971" s="24" t="n">
        <v>4</v>
      </c>
      <c r="E971" s="25" t="n">
        <v>46167</v>
      </c>
      <c r="F971" s="23" t="inlineStr">
        <is>
          <t>QUEIJO MUSSARELA 3KG</t>
        </is>
      </c>
      <c r="G971" s="23" t="inlineStr">
        <is>
          <t>QUEIJO</t>
        </is>
      </c>
      <c r="H971" s="26" t="n">
        <v>1</v>
      </c>
      <c r="I971" s="36" t="n">
        <v>1200</v>
      </c>
      <c r="J971" s="21">
        <f>I971*H971</f>
        <v/>
      </c>
      <c r="K971" s="21">
        <f>IFERROR(IF(J971/P971&gt;1,P971,J971),0)</f>
        <v/>
      </c>
      <c r="L971" s="36" t="n">
        <v>1200</v>
      </c>
      <c r="M971" s="21">
        <f>L971*H971</f>
        <v/>
      </c>
      <c r="N971" s="21">
        <f>IFERROR(IF(M971/K971&gt;1,K971,M971),0)</f>
        <v/>
      </c>
      <c r="O971" s="36" t="n">
        <v>800</v>
      </c>
      <c r="P971" s="21">
        <f>O971*H971</f>
        <v/>
      </c>
      <c r="Q971" s="30">
        <f>IF(MONTH(E971+1)=MONTH(E971+6),MONTH(E971+1),IF(MIN(EOMONTH(E971+1,0),E971+6)-(E971+1)+1&gt;=3,MONTH(E971+1),MONTH(E971+6)))</f>
        <v/>
      </c>
      <c r="R971" s="22">
        <f>IFERROR(K971/P971, 0)</f>
        <v/>
      </c>
      <c r="S971" s="38">
        <f>IFERROR(N971/P971,0)</f>
        <v/>
      </c>
      <c r="T971" s="31">
        <f>IFERROR(IF(N971&gt;0,(N971/K971),MIN(1,M971/J971)),0)</f>
        <v/>
      </c>
      <c r="U971" s="33" t="n"/>
    </row>
    <row r="972" hidden="1" s="40">
      <c r="A972" s="18" t="inlineStr">
        <is>
          <t>Semana 4 - Maio</t>
        </is>
      </c>
      <c r="B972" s="27">
        <f>YEAR(E972)</f>
        <v/>
      </c>
      <c r="C972" s="18">
        <f>INDEX({"Janeiro";"Fevereiro";"Março";"Abril";"Maio";"Junho";"Julho";"Agosto";"Setembro";"Outubro";"Novembro";"Dezembro"},Q972)</f>
        <v/>
      </c>
      <c r="D972" s="19" t="n">
        <v>4</v>
      </c>
      <c r="E972" s="20" t="n">
        <v>46167</v>
      </c>
      <c r="F972" s="18" t="inlineStr">
        <is>
          <t>QUEIJO MUSSARELA LANCHE</t>
        </is>
      </c>
      <c r="G972" s="18" t="inlineStr">
        <is>
          <t>QUEIJO</t>
        </is>
      </c>
      <c r="H972" s="21" t="n">
        <v>1</v>
      </c>
      <c r="I972" s="36" t="n">
        <v>800</v>
      </c>
      <c r="J972" s="21">
        <f>I972*H972</f>
        <v/>
      </c>
      <c r="K972" s="21">
        <f>IFERROR(IF(J972/P972&gt;1,P972,J972),0)</f>
        <v/>
      </c>
      <c r="L972" s="36" t="n">
        <v>800</v>
      </c>
      <c r="M972" s="21">
        <f>L972*H972</f>
        <v/>
      </c>
      <c r="N972" s="21">
        <f>IFERROR(IF(M972/K972&gt;1,K972,M972),0)</f>
        <v/>
      </c>
      <c r="O972" s="36" t="n">
        <v>200</v>
      </c>
      <c r="P972" s="21">
        <f>O972*H972</f>
        <v/>
      </c>
      <c r="Q972" s="30">
        <f>IF(MONTH(E972+1)=MONTH(E972+6),MONTH(E972+1),IF(MIN(EOMONTH(E972+1,0),E972+6)-(E972+1)+1&gt;=3,MONTH(E972+1),MONTH(E972+6)))</f>
        <v/>
      </c>
      <c r="R972" s="22">
        <f>IFERROR(K972/P972, 0)</f>
        <v/>
      </c>
      <c r="S972" s="38">
        <f>IFERROR(N972/P972,0)</f>
        <v/>
      </c>
      <c r="T972" s="31">
        <f>IFERROR(IF(N972&gt;0,(N972/K972),MIN(1,M972/J972)),0)</f>
        <v/>
      </c>
      <c r="U972" s="33" t="n"/>
    </row>
    <row r="973" hidden="1" s="40">
      <c r="A973" s="23" t="inlineStr">
        <is>
          <t>Semana 4 - Maio</t>
        </is>
      </c>
      <c r="B973" s="27">
        <f>YEAR(E973)</f>
        <v/>
      </c>
      <c r="C973" s="18">
        <f>INDEX({"Janeiro";"Fevereiro";"Março";"Abril";"Maio";"Junho";"Julho";"Agosto";"Setembro";"Outubro";"Novembro";"Dezembro"},Q973)</f>
        <v/>
      </c>
      <c r="D973" s="24" t="n">
        <v>4</v>
      </c>
      <c r="E973" s="25" t="n">
        <v>46167</v>
      </c>
      <c r="F973" s="23" t="inlineStr">
        <is>
          <t>REQUEIJÃO VIÇOSA 200g</t>
        </is>
      </c>
      <c r="G973" s="23" t="inlineStr">
        <is>
          <t>REQUEIJÃO</t>
        </is>
      </c>
      <c r="H973" s="26" t="n">
        <v>0.2</v>
      </c>
      <c r="I973" s="36" t="n">
        <v>6000</v>
      </c>
      <c r="J973" s="21">
        <f>I973*H973</f>
        <v/>
      </c>
      <c r="K973" s="21">
        <f>IFERROR(IF(J973/P973&gt;1,P973,J973),0)</f>
        <v/>
      </c>
      <c r="L973" s="36" t="n">
        <v>5895</v>
      </c>
      <c r="M973" s="21">
        <f>L973*H973</f>
        <v/>
      </c>
      <c r="N973" s="21">
        <f>IFERROR(IF(M973/K973&gt;1,K973,M973),0)</f>
        <v/>
      </c>
      <c r="O973" s="36" t="n">
        <v>6000</v>
      </c>
      <c r="P973" s="21">
        <f>O973*H973</f>
        <v/>
      </c>
      <c r="Q973" s="30">
        <f>IF(MONTH(E973+1)=MONTH(E973+6),MONTH(E973+1),IF(MIN(EOMONTH(E973+1,0),E973+6)-(E973+1)+1&gt;=3,MONTH(E973+1),MONTH(E973+6)))</f>
        <v/>
      </c>
      <c r="R973" s="22">
        <f>IFERROR(K973/P973, 0)</f>
        <v/>
      </c>
      <c r="S973" s="38">
        <f>IFERROR(N973/P973,0)</f>
        <v/>
      </c>
      <c r="T973" s="31">
        <f>IFERROR(IF(N973&gt;0,(N973/K973),MIN(1,M973/J973)),0)</f>
        <v/>
      </c>
      <c r="U973" s="33" t="n"/>
    </row>
    <row r="974" hidden="1" s="40">
      <c r="A974" s="18" t="inlineStr">
        <is>
          <t>Semana 4 - Maio</t>
        </is>
      </c>
      <c r="B974" s="27">
        <f>YEAR(E974)</f>
        <v/>
      </c>
      <c r="C974" s="18">
        <f>INDEX({"Janeiro";"Fevereiro";"Março";"Abril";"Maio";"Junho";"Julho";"Agosto";"Setembro";"Outubro";"Novembro";"Dezembro"},Q974)</f>
        <v/>
      </c>
      <c r="D974" s="19" t="n">
        <v>4</v>
      </c>
      <c r="E974" s="20" t="n">
        <v>46167</v>
      </c>
      <c r="F974" s="18" t="inlineStr">
        <is>
          <t>REQUEIJÃO VIÇOSA 400g</t>
        </is>
      </c>
      <c r="G974" s="18" t="inlineStr">
        <is>
          <t>REQUEIJÃO</t>
        </is>
      </c>
      <c r="H974" s="21" t="n">
        <v>0.4</v>
      </c>
      <c r="I974" s="36" t="n">
        <v>1800</v>
      </c>
      <c r="J974" s="21">
        <f>I974*H974</f>
        <v/>
      </c>
      <c r="K974" s="21">
        <f>IFERROR(IF(J974/P974&gt;1,P974,J974),0)</f>
        <v/>
      </c>
      <c r="L974" s="36" t="n">
        <v>2309</v>
      </c>
      <c r="M974" s="21">
        <f>L974*H974</f>
        <v/>
      </c>
      <c r="N974" s="21">
        <f>IFERROR(IF(M974/K974&gt;1,K974,M974),0)</f>
        <v/>
      </c>
      <c r="O974" s="36" t="n">
        <v>1800</v>
      </c>
      <c r="P974" s="21">
        <f>O974*H974</f>
        <v/>
      </c>
      <c r="Q974" s="30">
        <f>IF(MONTH(E974+1)=MONTH(E974+6),MONTH(E974+1),IF(MIN(EOMONTH(E974+1,0),E974+6)-(E974+1)+1&gt;=3,MONTH(E974+1),MONTH(E974+6)))</f>
        <v/>
      </c>
      <c r="R974" s="22">
        <f>IFERROR(K974/P974, 0)</f>
        <v/>
      </c>
      <c r="S974" s="38">
        <f>IFERROR(N974/P974,0)</f>
        <v/>
      </c>
      <c r="T974" s="31">
        <f>IFERROR(IF(N974&gt;0,(N974/K974),MIN(1,M974/J974)),0)</f>
        <v/>
      </c>
      <c r="U974" s="33" t="n"/>
    </row>
    <row r="975" hidden="1" s="40">
      <c r="A975" s="23" t="inlineStr">
        <is>
          <t>Semana 4 - Maio</t>
        </is>
      </c>
      <c r="B975" s="27">
        <f>YEAR(E975)</f>
        <v/>
      </c>
      <c r="C975" s="18">
        <f>INDEX({"Janeiro";"Fevereiro";"Março";"Abril";"Maio";"Junho";"Julho";"Agosto";"Setembro";"Outubro";"Novembro";"Dezembro"},Q975)</f>
        <v/>
      </c>
      <c r="D975" s="24" t="n">
        <v>4</v>
      </c>
      <c r="E975" s="25" t="n">
        <v>46167</v>
      </c>
      <c r="F975" s="23" t="inlineStr">
        <is>
          <t>Requeijão Light 200g</t>
        </is>
      </c>
      <c r="G975" s="23" t="inlineStr">
        <is>
          <t>REQUEIJÃO</t>
        </is>
      </c>
      <c r="H975" s="26" t="n">
        <v>0.2</v>
      </c>
      <c r="I975" s="36" t="n">
        <v>600</v>
      </c>
      <c r="J975" s="21">
        <f>I975*H975</f>
        <v/>
      </c>
      <c r="K975" s="21">
        <f>IFERROR(IF(J975/P975&gt;1,P975,J975),0)</f>
        <v/>
      </c>
      <c r="L975" s="36" t="n">
        <v>613</v>
      </c>
      <c r="M975" s="21">
        <f>L975*H975</f>
        <v/>
      </c>
      <c r="N975" s="21">
        <f>IFERROR(IF(M975/K975&gt;1,K975,M975),0)</f>
        <v/>
      </c>
      <c r="O975" s="36" t="n">
        <v>600</v>
      </c>
      <c r="P975" s="21">
        <f>O975*H975</f>
        <v/>
      </c>
      <c r="Q975" s="30">
        <f>IF(MONTH(E975+1)=MONTH(E975+6),MONTH(E975+1),IF(MIN(EOMONTH(E975+1,0),E975+6)-(E975+1)+1&gt;=3,MONTH(E975+1),MONTH(E975+6)))</f>
        <v/>
      </c>
      <c r="R975" s="22">
        <f>IFERROR(K975/P975, 0)</f>
        <v/>
      </c>
      <c r="S975" s="38">
        <f>IFERROR(N975/P975,0)</f>
        <v/>
      </c>
      <c r="T975" s="31">
        <f>IFERROR(IF(N975&gt;0,(N975/K975),MIN(1,M975/J975)),0)</f>
        <v/>
      </c>
      <c r="U975" s="33" t="n"/>
    </row>
    <row r="976" hidden="1" s="40">
      <c r="A976" s="18" t="inlineStr">
        <is>
          <t>Semana 4 - Maio</t>
        </is>
      </c>
      <c r="B976" s="27">
        <f>YEAR(E976)</f>
        <v/>
      </c>
      <c r="C976" s="18">
        <f>INDEX({"Janeiro";"Fevereiro";"Março";"Abril";"Maio";"Junho";"Julho";"Agosto";"Setembro";"Outubro";"Novembro";"Dezembro"},Q976)</f>
        <v/>
      </c>
      <c r="D976" s="19" t="n">
        <v>4</v>
      </c>
      <c r="E976" s="20" t="n">
        <v>46167</v>
      </c>
      <c r="F976" s="18" t="inlineStr">
        <is>
          <t>Creme de Ricota 200g</t>
        </is>
      </c>
      <c r="G976" s="18" t="inlineStr">
        <is>
          <t>RICOTA</t>
        </is>
      </c>
      <c r="H976" s="21" t="n">
        <v>0.2</v>
      </c>
      <c r="I976" s="36" t="n">
        <v>1000</v>
      </c>
      <c r="J976" s="21">
        <f>I976*H976</f>
        <v/>
      </c>
      <c r="K976" s="21">
        <f>IFERROR(IF(J976/P976&gt;1,P976,J976),0)</f>
        <v/>
      </c>
      <c r="L976" s="36" t="n">
        <v>1377</v>
      </c>
      <c r="M976" s="21">
        <f>L976*H976</f>
        <v/>
      </c>
      <c r="N976" s="21">
        <f>IFERROR(IF(M976/K976&gt;1,K976,M976),0)</f>
        <v/>
      </c>
      <c r="O976" s="36" t="n">
        <v>600</v>
      </c>
      <c r="P976" s="21">
        <f>O976*H976</f>
        <v/>
      </c>
      <c r="Q976" s="30">
        <f>IF(MONTH(E976+1)=MONTH(E976+6),MONTH(E976+1),IF(MIN(EOMONTH(E976+1,0),E976+6)-(E976+1)+1&gt;=3,MONTH(E976+1),MONTH(E976+6)))</f>
        <v/>
      </c>
      <c r="R976" s="22">
        <f>IFERROR(K976/P976, 0)</f>
        <v/>
      </c>
      <c r="S976" s="38">
        <f>IFERROR(N976/P976,0)</f>
        <v/>
      </c>
      <c r="T976" s="31">
        <f>IFERROR(IF(N976&gt;0,(N976/K976),MIN(1,M976/J976)),0)</f>
        <v/>
      </c>
      <c r="U976" s="33" t="n"/>
    </row>
    <row r="977" hidden="1" s="40">
      <c r="A977" s="23" t="inlineStr">
        <is>
          <t>Semana 1 - Junho</t>
        </is>
      </c>
      <c r="B977" s="27">
        <f>YEAR(E977)</f>
        <v/>
      </c>
      <c r="C977" s="18">
        <f>INDEX({"Janeiro";"Fevereiro";"Março";"Abril";"Maio";"Junho";"Julho";"Agosto";"Setembro";"Outubro";"Novembro";"Dezembro"},Q977)</f>
        <v/>
      </c>
      <c r="D977" s="24" t="n">
        <v>1</v>
      </c>
      <c r="E977" s="25" t="n">
        <v>46174</v>
      </c>
      <c r="F977" s="23" t="inlineStr">
        <is>
          <t>Creme de Ricota 200g</t>
        </is>
      </c>
      <c r="G977" s="23" t="inlineStr">
        <is>
          <t>RICOTA</t>
        </is>
      </c>
      <c r="H977" s="26" t="n">
        <v>0.2</v>
      </c>
      <c r="I977" s="36" t="n">
        <v>1000</v>
      </c>
      <c r="J977" s="21">
        <f>I977*H977</f>
        <v/>
      </c>
      <c r="K977" s="21">
        <f>IFERROR(IF(J977/P977&gt;1,P977,J977),0)</f>
        <v/>
      </c>
      <c r="L977" s="36" t="n">
        <v>1448</v>
      </c>
      <c r="M977" s="21">
        <f>L977*H977</f>
        <v/>
      </c>
      <c r="N977" s="21">
        <f>IFERROR(IF(M977/K977&gt;1,K977,M977),0)</f>
        <v/>
      </c>
      <c r="O977" s="36" t="n">
        <v>0</v>
      </c>
      <c r="P977" s="21">
        <f>O977*H977</f>
        <v/>
      </c>
      <c r="Q977" s="30">
        <f>IF(MONTH(E977+1)=MONTH(E977+6),MONTH(E977+1),IF(MIN(EOMONTH(E977+1,0),E977+6)-(E977+1)+1&gt;=3,MONTH(E977+1),MONTH(E977+6)))</f>
        <v/>
      </c>
      <c r="R977" s="22">
        <f>IFERROR(K977/P977, 0)</f>
        <v/>
      </c>
      <c r="S977" s="38">
        <f>IFERROR(N977/P977,0)</f>
        <v/>
      </c>
      <c r="T977" s="31">
        <f>IFERROR(IF(N977&gt;0,(N977/K977),MIN(1,M977/J977)),0)</f>
        <v/>
      </c>
      <c r="U977" s="33" t="inlineStr">
        <is>
          <t>Semana com feriado dia 04/06</t>
        </is>
      </c>
    </row>
    <row r="978" hidden="1" s="40">
      <c r="A978" s="23" t="inlineStr">
        <is>
          <t>Semana 1 - Junho</t>
        </is>
      </c>
      <c r="B978" s="27">
        <f>YEAR(E978)</f>
        <v/>
      </c>
      <c r="C978" s="18">
        <f>INDEX({"Janeiro";"Fevereiro";"Março";"Abril";"Maio";"Junho";"Julho";"Agosto";"Setembro";"Outubro";"Novembro";"Dezembro"},Q978)</f>
        <v/>
      </c>
      <c r="D978" s="24" t="n">
        <v>1</v>
      </c>
      <c r="E978" s="25" t="n">
        <v>46174</v>
      </c>
      <c r="F978" s="23" t="inlineStr">
        <is>
          <t>Doce de Leite 400g</t>
        </is>
      </c>
      <c r="G978" s="23" t="inlineStr">
        <is>
          <t>DOCE</t>
        </is>
      </c>
      <c r="H978" s="26" t="n">
        <v>0.4</v>
      </c>
      <c r="I978" s="36" t="n">
        <v>6000</v>
      </c>
      <c r="J978" s="21">
        <f>I978*H978</f>
        <v/>
      </c>
      <c r="K978" s="21">
        <f>IFERROR(IF(J978/P978&gt;1,P978,J978),0)</f>
        <v/>
      </c>
      <c r="L978" s="36" t="n">
        <v>6281</v>
      </c>
      <c r="M978" s="21">
        <f>L978*H978</f>
        <v/>
      </c>
      <c r="N978" s="21">
        <f>IFERROR(IF(M978/K978&gt;1,K978,M978),0)</f>
        <v/>
      </c>
      <c r="O978" s="36" t="n">
        <v>18000</v>
      </c>
      <c r="P978" s="21">
        <f>O978*H978</f>
        <v/>
      </c>
      <c r="Q978" s="30">
        <f>IF(MONTH(E978+1)=MONTH(E978+6),MONTH(E978+1),IF(MIN(EOMONTH(E978+1,0),E978+6)-(E978+1)+1&gt;=3,MONTH(E978+1),MONTH(E978+6)))</f>
        <v/>
      </c>
      <c r="R978" s="22">
        <f>IFERROR(K978/P978, 0)</f>
        <v/>
      </c>
      <c r="S978" s="38">
        <f>IFERROR(N978/P978,0)</f>
        <v/>
      </c>
      <c r="T978" s="31">
        <f>IFERROR(IF(N978&gt;0,(N978/K978),MIN(1,M978/J978)),0)</f>
        <v/>
      </c>
      <c r="U978" s="33" t="inlineStr">
        <is>
          <t>Iogurte coco 120g não foi envasado devido a problema na máquina de envase. Aumento das outras gramaturas no dia marcado para produção</t>
        </is>
      </c>
    </row>
    <row r="979" hidden="1" s="40">
      <c r="A979" s="18" t="inlineStr">
        <is>
          <t>Semana 1 - Junho</t>
        </is>
      </c>
      <c r="B979" s="27">
        <f>YEAR(E979)</f>
        <v/>
      </c>
      <c r="C979" s="18">
        <f>INDEX({"Janeiro";"Fevereiro";"Março";"Abril";"Maio";"Junho";"Julho";"Agosto";"Setembro";"Outubro";"Novembro";"Dezembro"},Q979)</f>
        <v/>
      </c>
      <c r="D979" s="19" t="n">
        <v>1</v>
      </c>
      <c r="E979" s="20" t="n">
        <v>46174</v>
      </c>
      <c r="F979" s="18" t="inlineStr">
        <is>
          <t>Doce de Leite 5kg</t>
        </is>
      </c>
      <c r="G979" s="18" t="inlineStr">
        <is>
          <t>DOCE</t>
        </is>
      </c>
      <c r="H979" s="21" t="n">
        <v>5</v>
      </c>
      <c r="I979" s="36" t="n">
        <v>3560</v>
      </c>
      <c r="J979" s="21">
        <f>I979*H979</f>
        <v/>
      </c>
      <c r="K979" s="21">
        <f>IFERROR(IF(J979/P979&gt;1,P979,J979),0)</f>
        <v/>
      </c>
      <c r="L979" s="36" t="n">
        <v>3676</v>
      </c>
      <c r="M979" s="21">
        <f>L979*H979</f>
        <v/>
      </c>
      <c r="N979" s="21">
        <f>IFERROR(IF(M979/K979&gt;1,K979,M979),0)</f>
        <v/>
      </c>
      <c r="O979" s="36" t="n">
        <v>3720</v>
      </c>
      <c r="P979" s="21">
        <f>O979*H979</f>
        <v/>
      </c>
      <c r="Q979" s="30">
        <f>IF(MONTH(E979+1)=MONTH(E979+6),MONTH(E979+1),IF(MIN(EOMONTH(E979+1,0),E979+6)-(E979+1)+1&gt;=3,MONTH(E979+1),MONTH(E979+6)))</f>
        <v/>
      </c>
      <c r="R979" s="22">
        <f>IFERROR(K979/P979, 0)</f>
        <v/>
      </c>
      <c r="S979" s="38">
        <f>IFERROR(N979/P979,0)</f>
        <v/>
      </c>
      <c r="T979" s="31">
        <f>IFERROR(IF(N979&gt;0,(N979/K979),MIN(1,M979/J979)),0)</f>
        <v/>
      </c>
      <c r="U979" s="33" t="inlineStr">
        <is>
          <t>Doce forneável sem produção por falta de pectina. Atraso na entrega.</t>
        </is>
      </c>
    </row>
    <row r="980" hidden="1" s="40">
      <c r="A980" s="23" t="inlineStr">
        <is>
          <t>Semana 1 - Junho</t>
        </is>
      </c>
      <c r="B980" s="27">
        <f>YEAR(E980)</f>
        <v/>
      </c>
      <c r="C980" s="18">
        <f>INDEX({"Janeiro";"Fevereiro";"Março";"Abril";"Maio";"Junho";"Julho";"Agosto";"Setembro";"Outubro";"Novembro";"Dezembro"},Q980)</f>
        <v/>
      </c>
      <c r="D980" s="24" t="n">
        <v>1</v>
      </c>
      <c r="E980" s="25" t="n">
        <v>46174</v>
      </c>
      <c r="F980" s="23" t="inlineStr">
        <is>
          <t>Doce de Leite 5kg - Bombeável</t>
        </is>
      </c>
      <c r="G980" s="23" t="inlineStr">
        <is>
          <t>DOCE</t>
        </is>
      </c>
      <c r="H980" s="26" t="n">
        <v>5</v>
      </c>
      <c r="I980" s="36" t="n">
        <v>0</v>
      </c>
      <c r="J980" s="21">
        <f>I980*H980</f>
        <v/>
      </c>
      <c r="K980" s="21">
        <f>IFERROR(IF(J980/P980&gt;1,P980,J980),0)</f>
        <v/>
      </c>
      <c r="L980" s="36" t="n">
        <v>0</v>
      </c>
      <c r="M980" s="21">
        <f>L980*H980</f>
        <v/>
      </c>
      <c r="N980" s="21">
        <f>IFERROR(IF(M980/K980&gt;1,K980,M980),0)</f>
        <v/>
      </c>
      <c r="O980" s="36" t="n">
        <v>0</v>
      </c>
      <c r="P980" s="21">
        <f>O980*H980</f>
        <v/>
      </c>
      <c r="Q980" s="30">
        <f>IF(MONTH(E980+1)=MONTH(E980+6),MONTH(E980+1),IF(MIN(EOMONTH(E980+1,0),E980+6)-(E980+1)+1&gt;=3,MONTH(E980+1),MONTH(E980+6)))</f>
        <v/>
      </c>
      <c r="R980" s="22">
        <f>IFERROR(K980/P980, 0)</f>
        <v/>
      </c>
      <c r="S980" s="38">
        <f>IFERROR(N980/P980,0)</f>
        <v/>
      </c>
      <c r="T980" s="31">
        <f>IFERROR(IF(N980&gt;0,(N980/K980),MIN(1,M980/J980)),0)</f>
        <v/>
      </c>
      <c r="U980" s="33" t="n"/>
    </row>
    <row r="981" hidden="1" s="40">
      <c r="A981" s="18" t="inlineStr">
        <is>
          <t>Semana 1 - Junho</t>
        </is>
      </c>
      <c r="B981" s="27">
        <f>YEAR(E981)</f>
        <v/>
      </c>
      <c r="C981" s="18">
        <f>INDEX({"Janeiro";"Fevereiro";"Março";"Abril";"Maio";"Junho";"Julho";"Agosto";"Setembro";"Outubro";"Novembro";"Dezembro"},Q981)</f>
        <v/>
      </c>
      <c r="D981" s="19" t="n">
        <v>1</v>
      </c>
      <c r="E981" s="20" t="n">
        <v>46174</v>
      </c>
      <c r="F981" s="18" t="inlineStr">
        <is>
          <t>Doce de Leite 5kg - Forneável</t>
        </is>
      </c>
      <c r="G981" s="18" t="inlineStr">
        <is>
          <t>DOCE</t>
        </is>
      </c>
      <c r="H981" s="21" t="n">
        <v>5</v>
      </c>
      <c r="I981" s="36" t="n">
        <v>0</v>
      </c>
      <c r="J981" s="21">
        <f>I981*H981</f>
        <v/>
      </c>
      <c r="K981" s="21">
        <f>IFERROR(IF(J981/P981&gt;1,P981,J981),0)</f>
        <v/>
      </c>
      <c r="L981" s="36" t="n">
        <v>0</v>
      </c>
      <c r="M981" s="21">
        <f>L981*H981</f>
        <v/>
      </c>
      <c r="N981" s="21">
        <f>IFERROR(IF(M981/K981&gt;1,K981,M981),0)</f>
        <v/>
      </c>
      <c r="O981" s="36" t="n">
        <v>320</v>
      </c>
      <c r="P981" s="21">
        <f>O981*H981</f>
        <v/>
      </c>
      <c r="Q981" s="30">
        <f>IF(MONTH(E981+1)=MONTH(E981+6),MONTH(E981+1),IF(MIN(EOMONTH(E981+1,0),E981+6)-(E981+1)+1&gt;=3,MONTH(E981+1),MONTH(E981+6)))</f>
        <v/>
      </c>
      <c r="R981" s="22">
        <f>IFERROR(K981/P981, 0)</f>
        <v/>
      </c>
      <c r="S981" s="38">
        <f>IFERROR(N981/P981,0)</f>
        <v/>
      </c>
      <c r="T981" s="31">
        <f>IFERROR(IF(N981&gt;0,(N981/K981),MIN(1,M981/J981)),0)</f>
        <v/>
      </c>
      <c r="U981" s="33" t="n"/>
    </row>
    <row r="982" hidden="1" s="40">
      <c r="A982" s="23" t="inlineStr">
        <is>
          <t>Semana 1 - Junho</t>
        </is>
      </c>
      <c r="B982" s="27">
        <f>YEAR(E982)</f>
        <v/>
      </c>
      <c r="C982" s="18">
        <f>INDEX({"Janeiro";"Fevereiro";"Março";"Abril";"Maio";"Junho";"Julho";"Agosto";"Setembro";"Outubro";"Novembro";"Dezembro"},Q982)</f>
        <v/>
      </c>
      <c r="D982" s="24" t="n">
        <v>1</v>
      </c>
      <c r="E982" s="25" t="n">
        <v>46174</v>
      </c>
      <c r="F982" s="23" t="inlineStr">
        <is>
          <t>Doce de Leite 800g</t>
        </is>
      </c>
      <c r="G982" s="23" t="inlineStr">
        <is>
          <t>DOCE</t>
        </is>
      </c>
      <c r="H982" s="26" t="n">
        <v>0.8</v>
      </c>
      <c r="I982" s="36" t="n">
        <v>6000</v>
      </c>
      <c r="J982" s="21">
        <f>I982*H982</f>
        <v/>
      </c>
      <c r="K982" s="21">
        <f>IFERROR(IF(J982/P982&gt;1,P982,J982),0)</f>
        <v/>
      </c>
      <c r="L982" s="36" t="n">
        <v>6697</v>
      </c>
      <c r="M982" s="21">
        <f>L982*H982</f>
        <v/>
      </c>
      <c r="N982" s="21">
        <f>IFERROR(IF(M982/K982&gt;1,K982,M982),0)</f>
        <v/>
      </c>
      <c r="O982" s="36" t="n">
        <v>6000</v>
      </c>
      <c r="P982" s="21">
        <f>O982*H982</f>
        <v/>
      </c>
      <c r="Q982" s="30">
        <f>IF(MONTH(E982+1)=MONTH(E982+6),MONTH(E982+1),IF(MIN(EOMONTH(E982+1,0),E982+6)-(E982+1)+1&gt;=3,MONTH(E982+1),MONTH(E982+6)))</f>
        <v/>
      </c>
      <c r="R982" s="22">
        <f>IFERROR(K982/P982, 0)</f>
        <v/>
      </c>
      <c r="S982" s="38">
        <f>IFERROR(N982/P982,0)</f>
        <v/>
      </c>
      <c r="T982" s="31">
        <f>IFERROR(IF(N982&gt;0,(N982/K982),MIN(1,M982/J982)),0)</f>
        <v/>
      </c>
      <c r="U982" s="33" t="n"/>
    </row>
    <row r="983" hidden="1" s="40">
      <c r="A983" s="18" t="inlineStr">
        <is>
          <t>Semana 1 - Junho</t>
        </is>
      </c>
      <c r="B983" s="27">
        <f>YEAR(E983)</f>
        <v/>
      </c>
      <c r="C983" s="18">
        <f>INDEX({"Janeiro";"Fevereiro";"Março";"Abril";"Maio";"Junho";"Julho";"Agosto";"Setembro";"Outubro";"Novembro";"Dezembro"},Q983)</f>
        <v/>
      </c>
      <c r="D983" s="19" t="n">
        <v>1</v>
      </c>
      <c r="E983" s="20" t="n">
        <v>46174</v>
      </c>
      <c r="F983" s="18" t="inlineStr">
        <is>
          <t>Doce de Leite c/ Café 400</t>
        </is>
      </c>
      <c r="G983" s="18" t="inlineStr">
        <is>
          <t>DOCE</t>
        </is>
      </c>
      <c r="H983" s="21" t="n">
        <v>0.4</v>
      </c>
      <c r="I983" s="36" t="n">
        <v>6000</v>
      </c>
      <c r="J983" s="21">
        <f>I983*H983</f>
        <v/>
      </c>
      <c r="K983" s="21">
        <f>IFERROR(IF(J983/P983&gt;1,P983,J983),0)</f>
        <v/>
      </c>
      <c r="L983" s="36" t="n">
        <v>6549</v>
      </c>
      <c r="M983" s="21">
        <f>L983*H983</f>
        <v/>
      </c>
      <c r="N983" s="21">
        <f>IFERROR(IF(M983/K983&gt;1,K983,M983),0)</f>
        <v/>
      </c>
      <c r="O983" s="36" t="n">
        <v>6000</v>
      </c>
      <c r="P983" s="21">
        <f>O983*H983</f>
        <v/>
      </c>
      <c r="Q983" s="30">
        <f>IF(MONTH(E983+1)=MONTH(E983+6),MONTH(E983+1),IF(MIN(EOMONTH(E983+1,0),E983+6)-(E983+1)+1&gt;=3,MONTH(E983+1),MONTH(E983+6)))</f>
        <v/>
      </c>
      <c r="R983" s="22">
        <f>IFERROR(K983/P983, 0)</f>
        <v/>
      </c>
      <c r="S983" s="38">
        <f>IFERROR(N983/P983,0)</f>
        <v/>
      </c>
      <c r="T983" s="31">
        <f>IFERROR(IF(N983&gt;0,(N983/K983),MIN(1,M983/J983)),0)</f>
        <v/>
      </c>
      <c r="U983" s="33" t="n"/>
    </row>
    <row r="984" hidden="1" s="40">
      <c r="A984" s="23" t="inlineStr">
        <is>
          <t>Semana 1 - Junho</t>
        </is>
      </c>
      <c r="B984" s="27">
        <f>YEAR(E984)</f>
        <v/>
      </c>
      <c r="C984" s="18">
        <f>INDEX({"Janeiro";"Fevereiro";"Março";"Abril";"Maio";"Junho";"Julho";"Agosto";"Setembro";"Outubro";"Novembro";"Dezembro"},Q984)</f>
        <v/>
      </c>
      <c r="D984" s="24" t="n">
        <v>1</v>
      </c>
      <c r="E984" s="25" t="n">
        <v>46174</v>
      </c>
      <c r="F984" s="23" t="inlineStr">
        <is>
          <t>Doce de Leite c/ Café 5kg</t>
        </is>
      </c>
      <c r="G984" s="23" t="inlineStr">
        <is>
          <t>DOCE</t>
        </is>
      </c>
      <c r="H984" s="26" t="n">
        <v>5</v>
      </c>
      <c r="I984" s="36" t="n">
        <v>160</v>
      </c>
      <c r="J984" s="21">
        <f>I984*H984</f>
        <v/>
      </c>
      <c r="K984" s="21">
        <f>IFERROR(IF(J984/P984&gt;1,P984,J984),0)</f>
        <v/>
      </c>
      <c r="L984" s="36" t="n">
        <v>137</v>
      </c>
      <c r="M984" s="21">
        <f>L984*H984</f>
        <v/>
      </c>
      <c r="N984" s="21">
        <f>IFERROR(IF(M984/K984&gt;1,K984,M984),0)</f>
        <v/>
      </c>
      <c r="O984" s="36" t="n">
        <v>160</v>
      </c>
      <c r="P984" s="21">
        <f>O984*H984</f>
        <v/>
      </c>
      <c r="Q984" s="30">
        <f>IF(MONTH(E984+1)=MONTH(E984+6),MONTH(E984+1),IF(MIN(EOMONTH(E984+1,0),E984+6)-(E984+1)+1&gt;=3,MONTH(E984+1),MONTH(E984+6)))</f>
        <v/>
      </c>
      <c r="R984" s="22">
        <f>IFERROR(K984/P984, 0)</f>
        <v/>
      </c>
      <c r="S984" s="38">
        <f>IFERROR(N984/P984,0)</f>
        <v/>
      </c>
      <c r="T984" s="31">
        <f>IFERROR(IF(N984&gt;0,(N984/K984),MIN(1,M984/J984)),0)</f>
        <v/>
      </c>
      <c r="U984" s="33" t="n"/>
    </row>
    <row r="985" hidden="1" s="40">
      <c r="A985" s="18" t="inlineStr">
        <is>
          <t>Semana 1 - Junho</t>
        </is>
      </c>
      <c r="B985" s="27">
        <f>YEAR(E985)</f>
        <v/>
      </c>
      <c r="C985" s="18">
        <f>INDEX({"Janeiro";"Fevereiro";"Março";"Abril";"Maio";"Junho";"Julho";"Agosto";"Setembro";"Outubro";"Novembro";"Dezembro"},Q985)</f>
        <v/>
      </c>
      <c r="D985" s="19" t="n">
        <v>1</v>
      </c>
      <c r="E985" s="20" t="n">
        <v>46174</v>
      </c>
      <c r="F985" s="18" t="inlineStr">
        <is>
          <t>Doce de Leite c/ coco 400</t>
        </is>
      </c>
      <c r="G985" s="18" t="inlineStr">
        <is>
          <t>DOCE</t>
        </is>
      </c>
      <c r="H985" s="21" t="n">
        <v>0.4</v>
      </c>
      <c r="I985" s="36" t="n">
        <v>0</v>
      </c>
      <c r="J985" s="21">
        <f>I985*H985</f>
        <v/>
      </c>
      <c r="K985" s="21">
        <f>IFERROR(IF(J985/P985&gt;1,P985,J985),0)</f>
        <v/>
      </c>
      <c r="L985" s="36" t="n">
        <v>0</v>
      </c>
      <c r="M985" s="21">
        <f>L985*H985</f>
        <v/>
      </c>
      <c r="N985" s="21">
        <f>IFERROR(IF(M985/K985&gt;1,K985,M985),0)</f>
        <v/>
      </c>
      <c r="O985" s="36" t="n">
        <v>0</v>
      </c>
      <c r="P985" s="21">
        <f>O985*H985</f>
        <v/>
      </c>
      <c r="Q985" s="30">
        <f>IF(MONTH(E985+1)=MONTH(E985+6),MONTH(E985+1),IF(MIN(EOMONTH(E985+1,0),E985+6)-(E985+1)+1&gt;=3,MONTH(E985+1),MONTH(E985+6)))</f>
        <v/>
      </c>
      <c r="R985" s="22">
        <f>IFERROR(K985/P985, 0)</f>
        <v/>
      </c>
      <c r="S985" s="38">
        <f>IFERROR(N985/P985,0)</f>
        <v/>
      </c>
      <c r="T985" s="31">
        <f>IFERROR(IF(N985&gt;0,(N985/K985),MIN(1,M985/J985)),0)</f>
        <v/>
      </c>
      <c r="U985" s="33" t="n"/>
    </row>
    <row r="986" hidden="1" s="40">
      <c r="A986" s="18" t="inlineStr">
        <is>
          <t>Semana 1 - Junho</t>
        </is>
      </c>
      <c r="B986" s="27">
        <f>YEAR(E986)</f>
        <v/>
      </c>
      <c r="C986" s="18">
        <f>INDEX({"Janeiro";"Fevereiro";"Março";"Abril";"Maio";"Junho";"Julho";"Agosto";"Setembro";"Outubro";"Novembro";"Dezembro"},Q986)</f>
        <v/>
      </c>
      <c r="D986" s="19" t="n">
        <v>1</v>
      </c>
      <c r="E986" s="20" t="n">
        <v>46174</v>
      </c>
      <c r="F986" s="18" t="inlineStr">
        <is>
          <t>Doce de Leite Cacau 400g</t>
        </is>
      </c>
      <c r="G986" s="18" t="inlineStr">
        <is>
          <t>DOCE</t>
        </is>
      </c>
      <c r="H986" s="21" t="n">
        <v>0.4</v>
      </c>
      <c r="I986" s="36" t="n">
        <v>5250</v>
      </c>
      <c r="J986" s="21">
        <f>I986*H986</f>
        <v/>
      </c>
      <c r="K986" s="21">
        <f>IFERROR(IF(J986/P986&gt;1,P986,J986),0)</f>
        <v/>
      </c>
      <c r="L986" s="36" t="n">
        <v>5697</v>
      </c>
      <c r="M986" s="21">
        <f>L986*H986</f>
        <v/>
      </c>
      <c r="N986" s="21">
        <f>IFERROR(IF(M986/K986&gt;1,K986,M986),0)</f>
        <v/>
      </c>
      <c r="O986" s="36" t="n">
        <v>6000</v>
      </c>
      <c r="P986" s="21">
        <f>O986*H986</f>
        <v/>
      </c>
      <c r="Q986" s="30">
        <f>IF(MONTH(E986+1)=MONTH(E986+6),MONTH(E986+1),IF(MIN(EOMONTH(E986+1,0),E986+6)-(E986+1)+1&gt;=3,MONTH(E986+1),MONTH(E986+6)))</f>
        <v/>
      </c>
      <c r="R986" s="22">
        <f>IFERROR(K986/P986, 0)</f>
        <v/>
      </c>
      <c r="S986" s="38">
        <f>IFERROR(N986/P986,0)</f>
        <v/>
      </c>
      <c r="T986" s="31">
        <f>IFERROR(IF(N986&gt;0,(N986/K986),MIN(1,M986/J986)),0)</f>
        <v/>
      </c>
      <c r="U986" s="33" t="n"/>
    </row>
    <row r="987" hidden="1" s="40">
      <c r="A987" s="23" t="inlineStr">
        <is>
          <t>Semana 1 - Junho</t>
        </is>
      </c>
      <c r="B987" s="27">
        <f>YEAR(E987)</f>
        <v/>
      </c>
      <c r="C987" s="18">
        <f>INDEX({"Janeiro";"Fevereiro";"Março";"Abril";"Maio";"Junho";"Julho";"Agosto";"Setembro";"Outubro";"Novembro";"Dezembro"},Q987)</f>
        <v/>
      </c>
      <c r="D987" s="24" t="n">
        <v>1</v>
      </c>
      <c r="E987" s="25" t="n">
        <v>46174</v>
      </c>
      <c r="F987" s="23" t="inlineStr">
        <is>
          <t>Doce de Leite Cacau 5kg - Bombeável</t>
        </is>
      </c>
      <c r="G987" s="23" t="inlineStr">
        <is>
          <t>DOCE</t>
        </is>
      </c>
      <c r="H987" s="26" t="n">
        <v>5</v>
      </c>
      <c r="I987" s="36" t="n">
        <v>60</v>
      </c>
      <c r="J987" s="21">
        <f>I987*H987</f>
        <v/>
      </c>
      <c r="K987" s="21">
        <f>IFERROR(IF(J987/P987&gt;1,P987,J987),0)</f>
        <v/>
      </c>
      <c r="L987" s="36" t="n">
        <v>66</v>
      </c>
      <c r="M987" s="21">
        <f>L987*H987</f>
        <v/>
      </c>
      <c r="N987" s="21">
        <f>IFERROR(IF(M987/K987&gt;1,K987,M987),0)</f>
        <v/>
      </c>
      <c r="O987" s="36" t="n">
        <v>60</v>
      </c>
      <c r="P987" s="21">
        <f>O987*H987</f>
        <v/>
      </c>
      <c r="Q987" s="30">
        <f>IF(MONTH(E987+1)=MONTH(E987+6),MONTH(E987+1),IF(MIN(EOMONTH(E987+1,0),E987+6)-(E987+1)+1&gt;=3,MONTH(E987+1),MONTH(E987+6)))</f>
        <v/>
      </c>
      <c r="R987" s="22">
        <f>IFERROR(K987/P987, 0)</f>
        <v/>
      </c>
      <c r="S987" s="38">
        <f>IFERROR(N987/P987,0)</f>
        <v/>
      </c>
      <c r="T987" s="31">
        <f>IFERROR(IF(N987&gt;0,(N987/K987),MIN(1,M987/J987)),0)</f>
        <v/>
      </c>
      <c r="U987" s="33" t="n"/>
    </row>
    <row r="988" hidden="1" s="40">
      <c r="A988" s="18" t="inlineStr">
        <is>
          <t>Semana 1 - Junho</t>
        </is>
      </c>
      <c r="B988" s="27">
        <f>YEAR(E988)</f>
        <v/>
      </c>
      <c r="C988" s="18">
        <f>INDEX({"Janeiro";"Fevereiro";"Março";"Abril";"Maio";"Junho";"Julho";"Agosto";"Setembro";"Outubro";"Novembro";"Dezembro"},Q988)</f>
        <v/>
      </c>
      <c r="D988" s="19" t="n">
        <v>1</v>
      </c>
      <c r="E988" s="20" t="n">
        <v>46174</v>
      </c>
      <c r="F988" s="18" t="inlineStr">
        <is>
          <t>Doce de Leite Cacau 5kg - FOOD</t>
        </is>
      </c>
      <c r="G988" s="18" t="inlineStr">
        <is>
          <t>DOCE</t>
        </is>
      </c>
      <c r="H988" s="21" t="n">
        <v>5</v>
      </c>
      <c r="I988" s="36" t="n">
        <v>0</v>
      </c>
      <c r="J988" s="21">
        <f>I988*H988</f>
        <v/>
      </c>
      <c r="K988" s="21">
        <f>IFERROR(IF(J988/P988&gt;1,P988,J988),0)</f>
        <v/>
      </c>
      <c r="L988" s="36" t="n">
        <v>0</v>
      </c>
      <c r="M988" s="21">
        <f>L988*H988</f>
        <v/>
      </c>
      <c r="N988" s="21">
        <f>IFERROR(IF(M988/K988&gt;1,K988,M988),0)</f>
        <v/>
      </c>
      <c r="O988" s="36" t="n">
        <v>0</v>
      </c>
      <c r="P988" s="21">
        <f>O988*H988</f>
        <v/>
      </c>
      <c r="Q988" s="30">
        <f>IF(MONTH(E988+1)=MONTH(E988+6),MONTH(E988+1),IF(MIN(EOMONTH(E988+1,0),E988+6)-(E988+1)+1&gt;=3,MONTH(E988+1),MONTH(E988+6)))</f>
        <v/>
      </c>
      <c r="R988" s="22">
        <f>IFERROR(K988/P988, 0)</f>
        <v/>
      </c>
      <c r="S988" s="38">
        <f>IFERROR(N988/P988,0)</f>
        <v/>
      </c>
      <c r="T988" s="31">
        <f>IFERROR(IF(N988&gt;0,(N988/K988),MIN(1,M988/J988)),0)</f>
        <v/>
      </c>
      <c r="U988" s="33" t="n"/>
    </row>
    <row r="989" hidden="1" s="40">
      <c r="A989" s="23" t="inlineStr">
        <is>
          <t>Semana 1 - Junho</t>
        </is>
      </c>
      <c r="B989" s="27">
        <f>YEAR(E989)</f>
        <v/>
      </c>
      <c r="C989" s="18">
        <f>INDEX({"Janeiro";"Fevereiro";"Março";"Abril";"Maio";"Junho";"Julho";"Agosto";"Setembro";"Outubro";"Novembro";"Dezembro"},Q989)</f>
        <v/>
      </c>
      <c r="D989" s="24" t="n">
        <v>1</v>
      </c>
      <c r="E989" s="25" t="n">
        <v>46174</v>
      </c>
      <c r="F989" s="23" t="inlineStr">
        <is>
          <t>Doce de Leite Zero Açúcar e Lactose 400g</t>
        </is>
      </c>
      <c r="G989" s="23" t="inlineStr">
        <is>
          <t>DOCE</t>
        </is>
      </c>
      <c r="H989" s="26" t="n">
        <v>0.4</v>
      </c>
      <c r="I989" s="36" t="n">
        <v>30000</v>
      </c>
      <c r="J989" s="21">
        <f>I989*H989</f>
        <v/>
      </c>
      <c r="K989" s="21">
        <f>IFERROR(IF(J989/P989&gt;1,P989,J989),0)</f>
        <v/>
      </c>
      <c r="L989" s="36" t="n">
        <v>28503</v>
      </c>
      <c r="M989" s="21">
        <f>L989*H989</f>
        <v/>
      </c>
      <c r="N989" s="21">
        <f>IFERROR(IF(M989/K989&gt;1,K989,M989),0)</f>
        <v/>
      </c>
      <c r="O989" s="36" t="n">
        <v>36000</v>
      </c>
      <c r="P989" s="21">
        <f>O989*H989</f>
        <v/>
      </c>
      <c r="Q989" s="30">
        <f>IF(MONTH(E989+1)=MONTH(E989+6),MONTH(E989+1),IF(MIN(EOMONTH(E989+1,0),E989+6)-(E989+1)+1&gt;=3,MONTH(E989+1),MONTH(E989+6)))</f>
        <v/>
      </c>
      <c r="R989" s="22">
        <f>IFERROR(K989/P989, 0)</f>
        <v/>
      </c>
      <c r="S989" s="38">
        <f>IFERROR(N989/P989,0)</f>
        <v/>
      </c>
      <c r="T989" s="31">
        <f>IFERROR(IF(N989&gt;0,(N989/K989),MIN(1,M989/J989)),0)</f>
        <v/>
      </c>
      <c r="U989" s="33" t="n"/>
    </row>
    <row r="990" hidden="1" s="40">
      <c r="A990" s="18" t="inlineStr">
        <is>
          <t>Semana 1 - Junho</t>
        </is>
      </c>
      <c r="B990" s="27">
        <f>YEAR(E990)</f>
        <v/>
      </c>
      <c r="C990" s="18">
        <f>INDEX({"Janeiro";"Fevereiro";"Março";"Abril";"Maio";"Junho";"Julho";"Agosto";"Setembro";"Outubro";"Novembro";"Dezembro"},Q990)</f>
        <v/>
      </c>
      <c r="D990" s="19" t="n">
        <v>1</v>
      </c>
      <c r="E990" s="20" t="n">
        <v>46174</v>
      </c>
      <c r="F990" s="18" t="inlineStr">
        <is>
          <t>Iogurte Abacaxi c/ Coco 120g</t>
        </is>
      </c>
      <c r="G990" s="18" t="inlineStr">
        <is>
          <t>IOGURTE</t>
        </is>
      </c>
      <c r="H990" s="21" t="n">
        <v>0.12</v>
      </c>
      <c r="I990" s="36" t="n">
        <v>2000</v>
      </c>
      <c r="J990" s="21">
        <f>I990*H990</f>
        <v/>
      </c>
      <c r="K990" s="21">
        <f>IFERROR(IF(J990/P990&gt;1,P990,J990),0)</f>
        <v/>
      </c>
      <c r="L990" s="36" t="n">
        <v>690</v>
      </c>
      <c r="M990" s="21">
        <f>L990*H990</f>
        <v/>
      </c>
      <c r="N990" s="21">
        <f>IFERROR(IF(M990/K990&gt;1,K990,M990),0)</f>
        <v/>
      </c>
      <c r="O990" s="36" t="n">
        <v>2000</v>
      </c>
      <c r="P990" s="21">
        <f>O990*H990</f>
        <v/>
      </c>
      <c r="Q990" s="30">
        <f>IF(MONTH(E990+1)=MONTH(E990+6),MONTH(E990+1),IF(MIN(EOMONTH(E990+1,0),E990+6)-(E990+1)+1&gt;=3,MONTH(E990+1),MONTH(E990+6)))</f>
        <v/>
      </c>
      <c r="R990" s="22">
        <f>IFERROR(K990/P990, 0)</f>
        <v/>
      </c>
      <c r="S990" s="38">
        <f>IFERROR(N990/P990,0)</f>
        <v/>
      </c>
      <c r="T990" s="31">
        <f>IFERROR(IF(N990&gt;0,(N990/K990),MIN(1,M990/J990)),0)</f>
        <v/>
      </c>
      <c r="U990" s="33" t="n"/>
    </row>
    <row r="991" hidden="1" s="40">
      <c r="A991" s="23" t="inlineStr">
        <is>
          <t>Semana 1 - Junho</t>
        </is>
      </c>
      <c r="B991" s="27">
        <f>YEAR(E991)</f>
        <v/>
      </c>
      <c r="C991" s="18">
        <f>INDEX({"Janeiro";"Fevereiro";"Março";"Abril";"Maio";"Junho";"Julho";"Agosto";"Setembro";"Outubro";"Novembro";"Dezembro"},Q991)</f>
        <v/>
      </c>
      <c r="D991" s="24" t="n">
        <v>1</v>
      </c>
      <c r="E991" s="25" t="n">
        <v>46174</v>
      </c>
      <c r="F991" s="23" t="inlineStr">
        <is>
          <t>Iogurte Abacaxi c/ Coco 185g</t>
        </is>
      </c>
      <c r="G991" s="23" t="inlineStr">
        <is>
          <t>IOGURTE</t>
        </is>
      </c>
      <c r="H991" s="26" t="n">
        <v>0.185</v>
      </c>
      <c r="I991" s="36" t="n">
        <v>520</v>
      </c>
      <c r="J991" s="21">
        <f>I991*H991</f>
        <v/>
      </c>
      <c r="K991" s="21">
        <f>IFERROR(IF(J991/P991&gt;1,P991,J991),0)</f>
        <v/>
      </c>
      <c r="L991" s="36" t="n">
        <v>502</v>
      </c>
      <c r="M991" s="21">
        <f>L991*H991</f>
        <v/>
      </c>
      <c r="N991" s="21">
        <f>IFERROR(IF(M991/K991&gt;1,K991,M991),0)</f>
        <v/>
      </c>
      <c r="O991" s="36" t="n">
        <v>520</v>
      </c>
      <c r="P991" s="21">
        <f>O991*H991</f>
        <v/>
      </c>
      <c r="Q991" s="30">
        <f>IF(MONTH(E991+1)=MONTH(E991+6),MONTH(E991+1),IF(MIN(EOMONTH(E991+1,0),E991+6)-(E991+1)+1&gt;=3,MONTH(E991+1),MONTH(E991+6)))</f>
        <v/>
      </c>
      <c r="R991" s="22">
        <f>IFERROR(K991/P991, 0)</f>
        <v/>
      </c>
      <c r="S991" s="38">
        <f>IFERROR(N991/P991,0)</f>
        <v/>
      </c>
      <c r="T991" s="31">
        <f>IFERROR(IF(N991&gt;0,(N991/K991),MIN(1,M991/J991)),0)</f>
        <v/>
      </c>
      <c r="U991" s="33" t="n"/>
    </row>
    <row r="992" hidden="1" s="40">
      <c r="A992" s="18" t="inlineStr">
        <is>
          <t>Semana 1 - Junho</t>
        </is>
      </c>
      <c r="B992" s="27">
        <f>YEAR(E992)</f>
        <v/>
      </c>
      <c r="C992" s="18">
        <f>INDEX({"Janeiro";"Fevereiro";"Março";"Abril";"Maio";"Junho";"Julho";"Agosto";"Setembro";"Outubro";"Novembro";"Dezembro"},Q992)</f>
        <v/>
      </c>
      <c r="D992" s="19" t="n">
        <v>1</v>
      </c>
      <c r="E992" s="20" t="n">
        <v>46174</v>
      </c>
      <c r="F992" s="18" t="inlineStr">
        <is>
          <t>Iogurte Abacaxi c/ Coco 900g</t>
        </is>
      </c>
      <c r="G992" s="18" t="inlineStr">
        <is>
          <t>IOGURTE</t>
        </is>
      </c>
      <c r="H992" s="21" t="n">
        <v>0.9</v>
      </c>
      <c r="I992" s="36" t="n">
        <v>1200</v>
      </c>
      <c r="J992" s="21">
        <f>I992*H992</f>
        <v/>
      </c>
      <c r="K992" s="21">
        <f>IFERROR(IF(J992/P992&gt;1,P992,J992),0)</f>
        <v/>
      </c>
      <c r="L992" s="36" t="n">
        <v>1346</v>
      </c>
      <c r="M992" s="21">
        <f>L992*H992</f>
        <v/>
      </c>
      <c r="N992" s="21">
        <f>IFERROR(IF(M992/K992&gt;1,K992,M992),0)</f>
        <v/>
      </c>
      <c r="O992" s="36" t="n">
        <v>1500</v>
      </c>
      <c r="P992" s="21">
        <f>O992*H992</f>
        <v/>
      </c>
      <c r="Q992" s="30">
        <f>IF(MONTH(E992+1)=MONTH(E992+6),MONTH(E992+1),IF(MIN(EOMONTH(E992+1,0),E992+6)-(E992+1)+1&gt;=3,MONTH(E992+1),MONTH(E992+6)))</f>
        <v/>
      </c>
      <c r="R992" s="22">
        <f>IFERROR(K992/P992, 0)</f>
        <v/>
      </c>
      <c r="S992" s="38">
        <f>IFERROR(N992/P992,0)</f>
        <v/>
      </c>
      <c r="T992" s="31">
        <f>IFERROR(IF(N992&gt;0,(N992/K992),MIN(1,M992/J992)),0)</f>
        <v/>
      </c>
      <c r="U992" s="33" t="n"/>
    </row>
    <row r="993" hidden="1" s="40">
      <c r="A993" s="18" t="inlineStr">
        <is>
          <t>Semana 1 - Junho</t>
        </is>
      </c>
      <c r="B993" s="27">
        <f>YEAR(E993)</f>
        <v/>
      </c>
      <c r="C993" s="18">
        <f>INDEX({"Janeiro";"Fevereiro";"Março";"Abril";"Maio";"Junho";"Julho";"Agosto";"Setembro";"Outubro";"Novembro";"Dezembro"},Q993)</f>
        <v/>
      </c>
      <c r="D993" s="19" t="n">
        <v>1</v>
      </c>
      <c r="E993" s="20" t="n">
        <v>46174</v>
      </c>
      <c r="F993" s="18" t="inlineStr">
        <is>
          <t>Iogurte Coco 120g</t>
        </is>
      </c>
      <c r="G993" s="18" t="inlineStr">
        <is>
          <t>IOGURTE</t>
        </is>
      </c>
      <c r="H993" s="21" t="n">
        <v>0.12</v>
      </c>
      <c r="I993" s="36" t="n">
        <v>3000</v>
      </c>
      <c r="J993" s="21">
        <f>I993*H993</f>
        <v/>
      </c>
      <c r="K993" s="21">
        <f>IFERROR(IF(J993/P993&gt;1,P993,J993),0)</f>
        <v/>
      </c>
      <c r="L993" s="36" t="n">
        <v>0</v>
      </c>
      <c r="M993" s="21">
        <f>L993*H993</f>
        <v/>
      </c>
      <c r="N993" s="21">
        <f>IFERROR(IF(M993/K993&gt;1,K993,M993),0)</f>
        <v/>
      </c>
      <c r="O993" s="36" t="n">
        <v>3000</v>
      </c>
      <c r="P993" s="21">
        <f>O993*H993</f>
        <v/>
      </c>
      <c r="Q993" s="30">
        <f>IF(MONTH(E993+1)=MONTH(E993+6),MONTH(E993+1),IF(MIN(EOMONTH(E993+1,0),E993+6)-(E993+1)+1&gt;=3,MONTH(E993+1),MONTH(E993+6)))</f>
        <v/>
      </c>
      <c r="R993" s="22">
        <f>IFERROR(K993/P993, 0)</f>
        <v/>
      </c>
      <c r="S993" s="38">
        <f>IFERROR(N993/P993,0)</f>
        <v/>
      </c>
      <c r="T993" s="31">
        <f>IFERROR(IF(N993&gt;0,(N993/K993),MIN(1,M993/J993)),0)</f>
        <v/>
      </c>
      <c r="U993" s="33" t="n"/>
    </row>
    <row r="994" hidden="1" s="40">
      <c r="A994" s="23" t="inlineStr">
        <is>
          <t>Semana 1 - Junho</t>
        </is>
      </c>
      <c r="B994" s="27">
        <f>YEAR(E994)</f>
        <v/>
      </c>
      <c r="C994" s="18">
        <f>INDEX({"Janeiro";"Fevereiro";"Março";"Abril";"Maio";"Junho";"Julho";"Agosto";"Setembro";"Outubro";"Novembro";"Dezembro"},Q994)</f>
        <v/>
      </c>
      <c r="D994" s="24" t="n">
        <v>1</v>
      </c>
      <c r="E994" s="25" t="n">
        <v>46174</v>
      </c>
      <c r="F994" s="23" t="inlineStr">
        <is>
          <t>Iogurte Coco 185g</t>
        </is>
      </c>
      <c r="G994" s="23" t="inlineStr">
        <is>
          <t>IOGURTE</t>
        </is>
      </c>
      <c r="H994" s="26" t="n">
        <v>0.185</v>
      </c>
      <c r="I994" s="36" t="n">
        <v>520</v>
      </c>
      <c r="J994" s="21">
        <f>I994*H994</f>
        <v/>
      </c>
      <c r="K994" s="21">
        <f>IFERROR(IF(J994/P994&gt;1,P994,J994),0)</f>
        <v/>
      </c>
      <c r="L994" s="36" t="n">
        <v>513</v>
      </c>
      <c r="M994" s="21">
        <f>L994*H994</f>
        <v/>
      </c>
      <c r="N994" s="21">
        <f>IFERROR(IF(M994/K994&gt;1,K994,M994),0)</f>
        <v/>
      </c>
      <c r="O994" s="36" t="n">
        <v>520</v>
      </c>
      <c r="P994" s="21">
        <f>O994*H994</f>
        <v/>
      </c>
      <c r="Q994" s="30">
        <f>IF(MONTH(E994+1)=MONTH(E994+6),MONTH(E994+1),IF(MIN(EOMONTH(E994+1,0),E994+6)-(E994+1)+1&gt;=3,MONTH(E994+1),MONTH(E994+6)))</f>
        <v/>
      </c>
      <c r="R994" s="22">
        <f>IFERROR(K994/P994, 0)</f>
        <v/>
      </c>
      <c r="S994" s="38">
        <f>IFERROR(N994/P994,0)</f>
        <v/>
      </c>
      <c r="T994" s="31">
        <f>IFERROR(IF(N994&gt;0,(N994/K994),MIN(1,M994/J994)),0)</f>
        <v/>
      </c>
      <c r="U994" s="33" t="n"/>
    </row>
    <row r="995" hidden="1" s="40">
      <c r="A995" s="18" t="inlineStr">
        <is>
          <t>Semana 1 - Junho</t>
        </is>
      </c>
      <c r="B995" s="27">
        <f>YEAR(E995)</f>
        <v/>
      </c>
      <c r="C995" s="18">
        <f>INDEX({"Janeiro";"Fevereiro";"Março";"Abril";"Maio";"Junho";"Julho";"Agosto";"Setembro";"Outubro";"Novembro";"Dezembro"},Q995)</f>
        <v/>
      </c>
      <c r="D995" s="19" t="n">
        <v>1</v>
      </c>
      <c r="E995" s="20" t="n">
        <v>46174</v>
      </c>
      <c r="F995" s="18" t="inlineStr">
        <is>
          <t>Iogurte Coco 900g</t>
        </is>
      </c>
      <c r="G995" s="18" t="inlineStr">
        <is>
          <t>IOGURTE</t>
        </is>
      </c>
      <c r="H995" s="21" t="n">
        <v>0.9</v>
      </c>
      <c r="I995" s="36" t="n">
        <v>1800</v>
      </c>
      <c r="J995" s="21">
        <f>I995*H995</f>
        <v/>
      </c>
      <c r="K995" s="21">
        <f>IFERROR(IF(J995/P995&gt;1,P995,J995),0)</f>
        <v/>
      </c>
      <c r="L995" s="36" t="n">
        <v>2294</v>
      </c>
      <c r="M995" s="21">
        <f>L995*H995</f>
        <v/>
      </c>
      <c r="N995" s="21">
        <f>IFERROR(IF(M995/K995&gt;1,K995,M995),0)</f>
        <v/>
      </c>
      <c r="O995" s="36" t="n">
        <v>1800</v>
      </c>
      <c r="P995" s="21">
        <f>O995*H995</f>
        <v/>
      </c>
      <c r="Q995" s="30">
        <f>IF(MONTH(E995+1)=MONTH(E995+6),MONTH(E995+1),IF(MIN(EOMONTH(E995+1,0),E995+6)-(E995+1)+1&gt;=3,MONTH(E995+1),MONTH(E995+6)))</f>
        <v/>
      </c>
      <c r="R995" s="22">
        <f>IFERROR(K995/P995, 0)</f>
        <v/>
      </c>
      <c r="S995" s="38">
        <f>IFERROR(N995/P995,0)</f>
        <v/>
      </c>
      <c r="T995" s="31">
        <f>IFERROR(IF(N995&gt;0,(N995/K995),MIN(1,M995/J995)),0)</f>
        <v/>
      </c>
      <c r="U995" s="33" t="n"/>
    </row>
    <row r="996" hidden="1" s="40">
      <c r="A996" s="23" t="inlineStr">
        <is>
          <t>Semana 1 - Junho</t>
        </is>
      </c>
      <c r="B996" s="27">
        <f>YEAR(E996)</f>
        <v/>
      </c>
      <c r="C996" s="18">
        <f>INDEX({"Janeiro";"Fevereiro";"Março";"Abril";"Maio";"Junho";"Julho";"Agosto";"Setembro";"Outubro";"Novembro";"Dezembro"},Q996)</f>
        <v/>
      </c>
      <c r="D996" s="24" t="n">
        <v>1</v>
      </c>
      <c r="E996" s="25" t="n">
        <v>46174</v>
      </c>
      <c r="F996" s="23" t="inlineStr">
        <is>
          <t>Iogurte Grego Frutas vermelhas 120g</t>
        </is>
      </c>
      <c r="G996" s="23" t="inlineStr">
        <is>
          <t>IOGURTE</t>
        </is>
      </c>
      <c r="H996" s="26" t="n">
        <v>0.17</v>
      </c>
      <c r="I996" s="36" t="n">
        <v>1400</v>
      </c>
      <c r="J996" s="21">
        <f>I996*H996</f>
        <v/>
      </c>
      <c r="K996" s="21">
        <f>IFERROR(IF(J996/P996&gt;1,P996,J996),0)</f>
        <v/>
      </c>
      <c r="L996" s="36" t="n">
        <v>1280</v>
      </c>
      <c r="M996" s="21">
        <f>L996*H996</f>
        <v/>
      </c>
      <c r="N996" s="21">
        <f>IFERROR(IF(M996/K996&gt;1,K996,M996),0)</f>
        <v/>
      </c>
      <c r="O996" s="36" t="n">
        <v>1400</v>
      </c>
      <c r="P996" s="21">
        <f>O996*H996</f>
        <v/>
      </c>
      <c r="Q996" s="30">
        <f>IF(MONTH(E996+1)=MONTH(E996+6),MONTH(E996+1),IF(MIN(EOMONTH(E996+1,0),E996+6)-(E996+1)+1&gt;=3,MONTH(E996+1),MONTH(E996+6)))</f>
        <v/>
      </c>
      <c r="R996" s="22">
        <f>IFERROR(K996/P996, 0)</f>
        <v/>
      </c>
      <c r="S996" s="38">
        <f>IFERROR(N996/P996,0)</f>
        <v/>
      </c>
      <c r="T996" s="31">
        <f>IFERROR(IF(N996&gt;0,(N996/K996),MIN(1,M996/J996)),0)</f>
        <v/>
      </c>
      <c r="U996" s="33" t="n"/>
    </row>
    <row r="997" hidden="1" s="40">
      <c r="A997" s="23" t="inlineStr">
        <is>
          <t>Semana 1 - Junho</t>
        </is>
      </c>
      <c r="B997" s="27">
        <f>YEAR(E997)</f>
        <v/>
      </c>
      <c r="C997" s="18">
        <f>INDEX({"Janeiro";"Fevereiro";"Março";"Abril";"Maio";"Junho";"Julho";"Agosto";"Setembro";"Outubro";"Novembro";"Dezembro"},Q997)</f>
        <v/>
      </c>
      <c r="D997" s="24" t="n">
        <v>1</v>
      </c>
      <c r="E997" s="25" t="n">
        <v>46174</v>
      </c>
      <c r="F997" s="23" t="inlineStr">
        <is>
          <t>Iogurte Morango 120g</t>
        </is>
      </c>
      <c r="G997" s="23" t="inlineStr">
        <is>
          <t>IOGURTE</t>
        </is>
      </c>
      <c r="H997" s="26" t="n">
        <v>0.12</v>
      </c>
      <c r="I997" s="36" t="n">
        <v>20000</v>
      </c>
      <c r="J997" s="21">
        <f>I997*H997</f>
        <v/>
      </c>
      <c r="K997" s="21">
        <f>IFERROR(IF(J997/P997&gt;1,P997,J997),0)</f>
        <v/>
      </c>
      <c r="L997" s="36" t="n">
        <v>19319</v>
      </c>
      <c r="M997" s="21">
        <f>L997*H997</f>
        <v/>
      </c>
      <c r="N997" s="21">
        <f>IFERROR(IF(M997/K997&gt;1,K997,M997),0)</f>
        <v/>
      </c>
      <c r="O997" s="36" t="n">
        <v>20000</v>
      </c>
      <c r="P997" s="21">
        <f>O997*H997</f>
        <v/>
      </c>
      <c r="Q997" s="30">
        <f>IF(MONTH(E997+1)=MONTH(E997+6),MONTH(E997+1),IF(MIN(EOMONTH(E997+1,0),E997+6)-(E997+1)+1&gt;=3,MONTH(E997+1),MONTH(E997+6)))</f>
        <v/>
      </c>
      <c r="R997" s="22">
        <f>IFERROR(K997/P997, 0)</f>
        <v/>
      </c>
      <c r="S997" s="38">
        <f>IFERROR(N997/P997,0)</f>
        <v/>
      </c>
      <c r="T997" s="31">
        <f>IFERROR(IF(N997&gt;0,(N997/K997),MIN(1,M997/J997)),0)</f>
        <v/>
      </c>
      <c r="U997" s="33" t="n"/>
    </row>
    <row r="998" hidden="1" s="40">
      <c r="A998" s="18" t="inlineStr">
        <is>
          <t>Semana 1 - Junho</t>
        </is>
      </c>
      <c r="B998" s="27">
        <f>YEAR(E998)</f>
        <v/>
      </c>
      <c r="C998" s="18">
        <f>INDEX({"Janeiro";"Fevereiro";"Março";"Abril";"Maio";"Junho";"Julho";"Agosto";"Setembro";"Outubro";"Novembro";"Dezembro"},Q998)</f>
        <v/>
      </c>
      <c r="D998" s="19" t="n">
        <v>1</v>
      </c>
      <c r="E998" s="20" t="n">
        <v>46174</v>
      </c>
      <c r="F998" s="18" t="inlineStr">
        <is>
          <t>Iogurte Morango 185g</t>
        </is>
      </c>
      <c r="G998" s="18" t="inlineStr">
        <is>
          <t>IOGURTE</t>
        </is>
      </c>
      <c r="H998" s="21" t="n">
        <v>0.185</v>
      </c>
      <c r="I998" s="36" t="n">
        <v>1300</v>
      </c>
      <c r="J998" s="21">
        <f>I998*H998</f>
        <v/>
      </c>
      <c r="K998" s="21">
        <f>IFERROR(IF(J998/P998&gt;1,P998,J998),0)</f>
        <v/>
      </c>
      <c r="L998" s="36" t="n">
        <v>1282</v>
      </c>
      <c r="M998" s="21">
        <f>L998*H998</f>
        <v/>
      </c>
      <c r="N998" s="21">
        <f>IFERROR(IF(M998/K998&gt;1,K998,M998),0)</f>
        <v/>
      </c>
      <c r="O998" s="36" t="n">
        <v>1300</v>
      </c>
      <c r="P998" s="21">
        <f>O998*H998</f>
        <v/>
      </c>
      <c r="Q998" s="30">
        <f>IF(MONTH(E998+1)=MONTH(E998+6),MONTH(E998+1),IF(MIN(EOMONTH(E998+1,0),E998+6)-(E998+1)+1&gt;=3,MONTH(E998+1),MONTH(E998+6)))</f>
        <v/>
      </c>
      <c r="R998" s="22">
        <f>IFERROR(K998/P998, 0)</f>
        <v/>
      </c>
      <c r="S998" s="38">
        <f>IFERROR(N998/P998,0)</f>
        <v/>
      </c>
      <c r="T998" s="31">
        <f>IFERROR(IF(N998&gt;0,(N998/K998),MIN(1,M998/J998)),0)</f>
        <v/>
      </c>
      <c r="U998" s="33" t="n"/>
    </row>
    <row r="999" hidden="1" s="40">
      <c r="A999" s="23" t="inlineStr">
        <is>
          <t>Semana 1 - Junho</t>
        </is>
      </c>
      <c r="B999" s="27">
        <f>YEAR(E999)</f>
        <v/>
      </c>
      <c r="C999" s="18">
        <f>INDEX({"Janeiro";"Fevereiro";"Março";"Abril";"Maio";"Junho";"Julho";"Agosto";"Setembro";"Outubro";"Novembro";"Dezembro"},Q999)</f>
        <v/>
      </c>
      <c r="D999" s="24" t="n">
        <v>1</v>
      </c>
      <c r="E999" s="25" t="n">
        <v>46174</v>
      </c>
      <c r="F999" s="23" t="inlineStr">
        <is>
          <t>Iogurte Morango 900G</t>
        </is>
      </c>
      <c r="G999" s="23" t="inlineStr">
        <is>
          <t>IOGURTE</t>
        </is>
      </c>
      <c r="H999" s="26" t="n">
        <v>0.9</v>
      </c>
      <c r="I999" s="36" t="n">
        <v>5760</v>
      </c>
      <c r="J999" s="21">
        <f>I999*H999</f>
        <v/>
      </c>
      <c r="K999" s="21">
        <f>IFERROR(IF(J999/P999&gt;1,P999,J999),0)</f>
        <v/>
      </c>
      <c r="L999" s="36" t="n">
        <v>5738</v>
      </c>
      <c r="M999" s="21">
        <f>L999*H999</f>
        <v/>
      </c>
      <c r="N999" s="21">
        <f>IFERROR(IF(M999/K999&gt;1,K999,M999),0)</f>
        <v/>
      </c>
      <c r="O999" s="36" t="n">
        <v>5200</v>
      </c>
      <c r="P999" s="21">
        <f>O999*H999</f>
        <v/>
      </c>
      <c r="Q999" s="30">
        <f>IF(MONTH(E999+1)=MONTH(E999+6),MONTH(E999+1),IF(MIN(EOMONTH(E999+1,0),E999+6)-(E999+1)+1&gt;=3,MONTH(E999+1),MONTH(E999+6)))</f>
        <v/>
      </c>
      <c r="R999" s="22">
        <f>IFERROR(K999/P999, 0)</f>
        <v/>
      </c>
      <c r="S999" s="38">
        <f>IFERROR(N999/P999,0)</f>
        <v/>
      </c>
      <c r="T999" s="31">
        <f>IFERROR(IF(N999&gt;0,(N999/K999),MIN(1,M999/J999)),0)</f>
        <v/>
      </c>
      <c r="U999" s="33" t="n"/>
    </row>
    <row r="1000" hidden="1" s="40">
      <c r="A1000" s="18" t="inlineStr">
        <is>
          <t>Semana 1 - Junho</t>
        </is>
      </c>
      <c r="B1000" s="27">
        <f>YEAR(E1000)</f>
        <v/>
      </c>
      <c r="C1000" s="18">
        <f>INDEX({"Janeiro";"Fevereiro";"Março";"Abril";"Maio";"Junho";"Julho";"Agosto";"Setembro";"Outubro";"Novembro";"Dezembro"},Q1000)</f>
        <v/>
      </c>
      <c r="D1000" s="19" t="n">
        <v>1</v>
      </c>
      <c r="E1000" s="20" t="n">
        <v>46174</v>
      </c>
      <c r="F1000" s="18" t="inlineStr">
        <is>
          <t>Iogurte Natural Integral 170g</t>
        </is>
      </c>
      <c r="G1000" s="18" t="inlineStr">
        <is>
          <t>IOGURTE</t>
        </is>
      </c>
      <c r="H1000" s="21" t="n">
        <v>0.17</v>
      </c>
      <c r="I1000" s="36" t="n">
        <v>3800</v>
      </c>
      <c r="J1000" s="21">
        <f>I1000*H1000</f>
        <v/>
      </c>
      <c r="K1000" s="21">
        <f>IFERROR(IF(J1000/P1000&gt;1,P1000,J1000),0)</f>
        <v/>
      </c>
      <c r="L1000" s="36" t="n">
        <v>3378</v>
      </c>
      <c r="M1000" s="21">
        <f>L1000*H1000</f>
        <v/>
      </c>
      <c r="N1000" s="21">
        <f>IFERROR(IF(M1000/K1000&gt;1,K1000,M1000),0)</f>
        <v/>
      </c>
      <c r="O1000" s="36" t="n">
        <v>3800</v>
      </c>
      <c r="P1000" s="21">
        <f>O1000*H1000</f>
        <v/>
      </c>
      <c r="Q1000" s="30">
        <f>IF(MONTH(E1000+1)=MONTH(E1000+6),MONTH(E1000+1),IF(MIN(EOMONTH(E1000+1,0),E1000+6)-(E1000+1)+1&gt;=3,MONTH(E1000+1),MONTH(E1000+6)))</f>
        <v/>
      </c>
      <c r="R1000" s="22">
        <f>IFERROR(K1000/P1000, 0)</f>
        <v/>
      </c>
      <c r="S1000" s="38">
        <f>IFERROR(N1000/P1000,0)</f>
        <v/>
      </c>
      <c r="T1000" s="31">
        <f>IFERROR(IF(N1000&gt;0,(N1000/K1000),MIN(1,M1000/J1000)),0)</f>
        <v/>
      </c>
      <c r="U1000" s="33" t="n"/>
    </row>
    <row r="1001" hidden="1" s="40">
      <c r="A1001" s="23" t="inlineStr">
        <is>
          <t>Semana 1 - Junho</t>
        </is>
      </c>
      <c r="B1001" s="27">
        <f>YEAR(E1001)</f>
        <v/>
      </c>
      <c r="C1001" s="18">
        <f>INDEX({"Janeiro";"Fevereiro";"Março";"Abril";"Maio";"Junho";"Julho";"Agosto";"Setembro";"Outubro";"Novembro";"Dezembro"},Q1001)</f>
        <v/>
      </c>
      <c r="D1001" s="24" t="n">
        <v>1</v>
      </c>
      <c r="E1001" s="25" t="n">
        <v>46174</v>
      </c>
      <c r="F1001" s="23" t="inlineStr">
        <is>
          <t>Iogurte Natural Triplo Zero 170g</t>
        </is>
      </c>
      <c r="G1001" s="23" t="inlineStr">
        <is>
          <t>IOGURTE</t>
        </is>
      </c>
      <c r="H1001" s="26" t="n">
        <v>0.17</v>
      </c>
      <c r="I1001" s="36" t="n">
        <v>3800</v>
      </c>
      <c r="J1001" s="21">
        <f>I1001*H1001</f>
        <v/>
      </c>
      <c r="K1001" s="21">
        <f>IFERROR(IF(J1001/P1001&gt;1,P1001,J1001),0)</f>
        <v/>
      </c>
      <c r="L1001" s="36" t="n">
        <v>3817</v>
      </c>
      <c r="M1001" s="21">
        <f>L1001*H1001</f>
        <v/>
      </c>
      <c r="N1001" s="21">
        <f>IFERROR(IF(M1001/K1001&gt;1,K1001,M1001),0)</f>
        <v/>
      </c>
      <c r="O1001" s="36" t="n">
        <v>3800</v>
      </c>
      <c r="P1001" s="21">
        <f>O1001*H1001</f>
        <v/>
      </c>
      <c r="Q1001" s="30">
        <f>IF(MONTH(E1001+1)=MONTH(E1001+6),MONTH(E1001+1),IF(MIN(EOMONTH(E1001+1,0),E1001+6)-(E1001+1)+1&gt;=3,MONTH(E1001+1),MONTH(E1001+6)))</f>
        <v/>
      </c>
      <c r="R1001" s="22">
        <f>IFERROR(K1001/P1001, 0)</f>
        <v/>
      </c>
      <c r="S1001" s="38">
        <f>IFERROR(N1001/P1001,0)</f>
        <v/>
      </c>
      <c r="T1001" s="31">
        <f>IFERROR(IF(N1001&gt;0,(N1001/K1001),MIN(1,M1001/J1001)),0)</f>
        <v/>
      </c>
      <c r="U1001" s="33" t="n"/>
    </row>
    <row r="1002" hidden="1" s="40">
      <c r="A1002" s="23" t="inlineStr">
        <is>
          <t>Semana 1 - Junho</t>
        </is>
      </c>
      <c r="B1002" s="27">
        <f>YEAR(E1002)</f>
        <v/>
      </c>
      <c r="C1002" s="18">
        <f>INDEX({"Janeiro";"Fevereiro";"Março";"Abril";"Maio";"Junho";"Julho";"Agosto";"Setembro";"Outubro";"Novembro";"Dezembro"},Q1002)</f>
        <v/>
      </c>
      <c r="D1002" s="24" t="n">
        <v>1</v>
      </c>
      <c r="E1002" s="25" t="n">
        <v>46174</v>
      </c>
      <c r="F1002" s="23" t="inlineStr">
        <is>
          <t>Iogurte Salada 120g</t>
        </is>
      </c>
      <c r="G1002" s="23" t="inlineStr">
        <is>
          <t>IOGURTE</t>
        </is>
      </c>
      <c r="H1002" s="26" t="n">
        <v>0.12</v>
      </c>
      <c r="I1002" s="36" t="n">
        <v>1200</v>
      </c>
      <c r="J1002" s="21">
        <f>I1002*H1002</f>
        <v/>
      </c>
      <c r="K1002" s="21">
        <f>IFERROR(IF(J1002/P1002&gt;1,P1002,J1002),0)</f>
        <v/>
      </c>
      <c r="L1002" s="36" t="n">
        <v>1373</v>
      </c>
      <c r="M1002" s="21">
        <f>L1002*H1002</f>
        <v/>
      </c>
      <c r="N1002" s="21">
        <f>IFERROR(IF(M1002/K1002&gt;1,K1002,M1002),0)</f>
        <v/>
      </c>
      <c r="O1002" s="36" t="n">
        <v>2000</v>
      </c>
      <c r="P1002" s="21">
        <f>O1002*H1002</f>
        <v/>
      </c>
      <c r="Q1002" s="30">
        <f>IF(MONTH(E1002+1)=MONTH(E1002+6),MONTH(E1002+1),IF(MIN(EOMONTH(E1002+1,0),E1002+6)-(E1002+1)+1&gt;=3,MONTH(E1002+1),MONTH(E1002+6)))</f>
        <v/>
      </c>
      <c r="R1002" s="22">
        <f>IFERROR(K1002/P1002, 0)</f>
        <v/>
      </c>
      <c r="S1002" s="38">
        <f>IFERROR(N1002/P1002,0)</f>
        <v/>
      </c>
      <c r="T1002" s="31">
        <f>IFERROR(IF(N1002&gt;0,(N1002/K1002),MIN(1,M1002/J1002)),0)</f>
        <v/>
      </c>
      <c r="U1002" s="33" t="n"/>
    </row>
    <row r="1003" hidden="1" s="40">
      <c r="A1003" s="18" t="inlineStr">
        <is>
          <t>Semana 1 - Junho</t>
        </is>
      </c>
      <c r="B1003" s="27">
        <f>YEAR(E1003)</f>
        <v/>
      </c>
      <c r="C1003" s="18">
        <f>INDEX({"Janeiro";"Fevereiro";"Março";"Abril";"Maio";"Junho";"Julho";"Agosto";"Setembro";"Outubro";"Novembro";"Dezembro"},Q1003)</f>
        <v/>
      </c>
      <c r="D1003" s="19" t="n">
        <v>1</v>
      </c>
      <c r="E1003" s="20" t="n">
        <v>46174</v>
      </c>
      <c r="F1003" s="18" t="inlineStr">
        <is>
          <t>Iogurte Salada 185g</t>
        </is>
      </c>
      <c r="G1003" s="18" t="inlineStr">
        <is>
          <t>IOGURTE</t>
        </is>
      </c>
      <c r="H1003" s="21" t="n">
        <v>0.185</v>
      </c>
      <c r="I1003" s="36" t="n">
        <v>520</v>
      </c>
      <c r="J1003" s="21">
        <f>I1003*H1003</f>
        <v/>
      </c>
      <c r="K1003" s="21">
        <f>IFERROR(IF(J1003/P1003&gt;1,P1003,J1003),0)</f>
        <v/>
      </c>
      <c r="L1003" s="36" t="n">
        <v>489</v>
      </c>
      <c r="M1003" s="21">
        <f>L1003*H1003</f>
        <v/>
      </c>
      <c r="N1003" s="21">
        <f>IFERROR(IF(M1003/K1003&gt;1,K1003,M1003),0)</f>
        <v/>
      </c>
      <c r="O1003" s="36" t="n">
        <v>520</v>
      </c>
      <c r="P1003" s="21">
        <f>O1003*H1003</f>
        <v/>
      </c>
      <c r="Q1003" s="30">
        <f>IF(MONTH(E1003+1)=MONTH(E1003+6),MONTH(E1003+1),IF(MIN(EOMONTH(E1003+1,0),E1003+6)-(E1003+1)+1&gt;=3,MONTH(E1003+1),MONTH(E1003+6)))</f>
        <v/>
      </c>
      <c r="R1003" s="22">
        <f>IFERROR(K1003/P1003, 0)</f>
        <v/>
      </c>
      <c r="S1003" s="38">
        <f>IFERROR(N1003/P1003,0)</f>
        <v/>
      </c>
      <c r="T1003" s="31">
        <f>IFERROR(IF(N1003&gt;0,(N1003/K1003),MIN(1,M1003/J1003)),0)</f>
        <v/>
      </c>
      <c r="U1003" s="33" t="n"/>
    </row>
    <row r="1004" hidden="1" s="40">
      <c r="A1004" s="23" t="inlineStr">
        <is>
          <t>Semana 1 - Junho</t>
        </is>
      </c>
      <c r="B1004" s="27">
        <f>YEAR(E1004)</f>
        <v/>
      </c>
      <c r="C1004" s="18">
        <f>INDEX({"Janeiro";"Fevereiro";"Março";"Abril";"Maio";"Junho";"Julho";"Agosto";"Setembro";"Outubro";"Novembro";"Dezembro"},Q1004)</f>
        <v/>
      </c>
      <c r="D1004" s="24" t="n">
        <v>1</v>
      </c>
      <c r="E1004" s="25" t="n">
        <v>46174</v>
      </c>
      <c r="F1004" s="23" t="inlineStr">
        <is>
          <t>Iogurte Salada 900g</t>
        </is>
      </c>
      <c r="G1004" s="23" t="inlineStr">
        <is>
          <t>IOGURTE</t>
        </is>
      </c>
      <c r="H1004" s="26" t="n">
        <v>0.9</v>
      </c>
      <c r="I1004" s="36" t="n">
        <v>1440</v>
      </c>
      <c r="J1004" s="21">
        <f>I1004*H1004</f>
        <v/>
      </c>
      <c r="K1004" s="21">
        <f>IFERROR(IF(J1004/P1004&gt;1,P1004,J1004),0)</f>
        <v/>
      </c>
      <c r="L1004" s="36" t="n">
        <v>1292</v>
      </c>
      <c r="M1004" s="21">
        <f>L1004*H1004</f>
        <v/>
      </c>
      <c r="N1004" s="21">
        <f>IFERROR(IF(M1004/K1004&gt;1,K1004,M1004),0)</f>
        <v/>
      </c>
      <c r="O1004" s="36" t="n">
        <v>1500</v>
      </c>
      <c r="P1004" s="21">
        <f>O1004*H1004</f>
        <v/>
      </c>
      <c r="Q1004" s="30">
        <f>IF(MONTH(E1004+1)=MONTH(E1004+6),MONTH(E1004+1),IF(MIN(EOMONTH(E1004+1,0),E1004+6)-(E1004+1)+1&gt;=3,MONTH(E1004+1),MONTH(E1004+6)))</f>
        <v/>
      </c>
      <c r="R1004" s="22">
        <f>IFERROR(K1004/P1004, 0)</f>
        <v/>
      </c>
      <c r="S1004" s="38">
        <f>IFERROR(N1004/P1004,0)</f>
        <v/>
      </c>
      <c r="T1004" s="31">
        <f>IFERROR(IF(N1004&gt;0,(N1004/K1004),MIN(1,M1004/J1004)),0)</f>
        <v/>
      </c>
      <c r="U1004" s="33" t="n"/>
    </row>
    <row r="1005" hidden="1" s="40">
      <c r="A1005" s="23" t="inlineStr">
        <is>
          <t>Semana 1 - Junho</t>
        </is>
      </c>
      <c r="B1005" s="27">
        <f>YEAR(E1005)</f>
        <v/>
      </c>
      <c r="C1005" s="18">
        <f>INDEX({"Janeiro";"Fevereiro";"Março";"Abril";"Maio";"Junho";"Julho";"Agosto";"Setembro";"Outubro";"Novembro";"Dezembro"},Q1005)</f>
        <v/>
      </c>
      <c r="D1005" s="24" t="n">
        <v>1</v>
      </c>
      <c r="E1005" s="25" t="n">
        <v>46174</v>
      </c>
      <c r="F1005" s="23" t="inlineStr">
        <is>
          <t>IOGURTE VIÇOSA MORANGO LIGHT 180g</t>
        </is>
      </c>
      <c r="G1005" s="23" t="inlineStr">
        <is>
          <t>IOGURTE</t>
        </is>
      </c>
      <c r="H1005" s="26" t="n">
        <v>0.18</v>
      </c>
      <c r="I1005" s="36" t="n">
        <v>0</v>
      </c>
      <c r="J1005" s="21">
        <f>I1005*H1005</f>
        <v/>
      </c>
      <c r="K1005" s="21">
        <f>IFERROR(IF(J1005/P1005&gt;1,P1005,J1005),0)</f>
        <v/>
      </c>
      <c r="L1005" s="36" t="n">
        <v>0</v>
      </c>
      <c r="M1005" s="21">
        <f>L1005*H1005</f>
        <v/>
      </c>
      <c r="N1005" s="21">
        <f>IFERROR(IF(M1005/K1005&gt;1,K1005,M1005),0)</f>
        <v/>
      </c>
      <c r="O1005" s="36" t="n">
        <v>0</v>
      </c>
      <c r="P1005" s="21">
        <f>O1005*H1005</f>
        <v/>
      </c>
      <c r="Q1005" s="30">
        <f>IF(MONTH(E1005+1)=MONTH(E1005+6),MONTH(E1005+1),IF(MIN(EOMONTH(E1005+1,0),E1005+6)-(E1005+1)+1&gt;=3,MONTH(E1005+1),MONTH(E1005+6)))</f>
        <v/>
      </c>
      <c r="R1005" s="22">
        <f>IFERROR(K1005/P1005, 0)</f>
        <v/>
      </c>
      <c r="S1005" s="38">
        <f>IFERROR(N1005/P1005,0)</f>
        <v/>
      </c>
      <c r="T1005" s="31">
        <f>IFERROR(IF(N1005&gt;0,(N1005/K1005),MIN(1,M1005/J1005)),0)</f>
        <v/>
      </c>
      <c r="U1005" s="33" t="n"/>
    </row>
    <row r="1006" hidden="1" s="40">
      <c r="A1006" s="18" t="inlineStr">
        <is>
          <t>Semana 1 - Junho</t>
        </is>
      </c>
      <c r="B1006" s="27">
        <f>YEAR(E1006)</f>
        <v/>
      </c>
      <c r="C1006" s="18">
        <f>INDEX({"Janeiro";"Fevereiro";"Março";"Abril";"Maio";"Junho";"Julho";"Agosto";"Setembro";"Outubro";"Novembro";"Dezembro"},Q1006)</f>
        <v/>
      </c>
      <c r="D1006" s="19" t="n">
        <v>1</v>
      </c>
      <c r="E1006" s="20" t="n">
        <v>46174</v>
      </c>
      <c r="F1006" s="18" t="inlineStr">
        <is>
          <t>IOGURTE VIÇOSA MORANGO LIGHT 800g</t>
        </is>
      </c>
      <c r="G1006" s="18" t="inlineStr">
        <is>
          <t>IOGURTE</t>
        </is>
      </c>
      <c r="H1006" s="21" t="n">
        <v>0.8</v>
      </c>
      <c r="I1006" s="36" t="n">
        <v>0</v>
      </c>
      <c r="J1006" s="21">
        <f>I1006*H1006</f>
        <v/>
      </c>
      <c r="K1006" s="21">
        <f>IFERROR(IF(J1006/P1006&gt;1,P1006,J1006),0)</f>
        <v/>
      </c>
      <c r="L1006" s="36" t="n">
        <v>0</v>
      </c>
      <c r="M1006" s="21">
        <f>L1006*H1006</f>
        <v/>
      </c>
      <c r="N1006" s="21">
        <f>IFERROR(IF(M1006/K1006&gt;1,K1006,M1006),0)</f>
        <v/>
      </c>
      <c r="O1006" s="36" t="n">
        <v>0</v>
      </c>
      <c r="P1006" s="21">
        <f>O1006*H1006</f>
        <v/>
      </c>
      <c r="Q1006" s="30">
        <f>IF(MONTH(E1006+1)=MONTH(E1006+6),MONTH(E1006+1),IF(MIN(EOMONTH(E1006+1,0),E1006+6)-(E1006+1)+1&gt;=3,MONTH(E1006+1),MONTH(E1006+6)))</f>
        <v/>
      </c>
      <c r="R1006" s="22">
        <f>IFERROR(K1006/P1006, 0)</f>
        <v/>
      </c>
      <c r="S1006" s="38">
        <f>IFERROR(N1006/P1006,0)</f>
        <v/>
      </c>
      <c r="T1006" s="31">
        <f>IFERROR(IF(N1006&gt;0,(N1006/K1006),MIN(1,M1006/J1006)),0)</f>
        <v/>
      </c>
      <c r="U1006" s="33" t="n"/>
    </row>
    <row r="1007" hidden="1" s="40">
      <c r="A1007" s="18" t="inlineStr">
        <is>
          <t>Semana 1 - Junho</t>
        </is>
      </c>
      <c r="B1007" s="27">
        <f>YEAR(E1007)</f>
        <v/>
      </c>
      <c r="C1007" s="18">
        <f>INDEX({"Janeiro";"Fevereiro";"Março";"Abril";"Maio";"Junho";"Julho";"Agosto";"Setembro";"Outubro";"Novembro";"Dezembro"},Q1007)</f>
        <v/>
      </c>
      <c r="D1007" s="19" t="n">
        <v>1</v>
      </c>
      <c r="E1007" s="20" t="n">
        <v>46174</v>
      </c>
      <c r="F1007" s="18" t="inlineStr">
        <is>
          <t>Iogurte Vida Leve Ameixa c/ Grãos 180g</t>
        </is>
      </c>
      <c r="G1007" s="18" t="inlineStr">
        <is>
          <t>IOGURTE</t>
        </is>
      </c>
      <c r="H1007" s="21" t="n">
        <v>0.18</v>
      </c>
      <c r="I1007" s="36" t="n">
        <v>0</v>
      </c>
      <c r="J1007" s="21">
        <f>I1007*H1007</f>
        <v/>
      </c>
      <c r="K1007" s="21">
        <f>IFERROR(IF(J1007/P1007&gt;1,P1007,J1007),0)</f>
        <v/>
      </c>
      <c r="L1007" s="36" t="n">
        <v>0</v>
      </c>
      <c r="M1007" s="21">
        <f>L1007*H1007</f>
        <v/>
      </c>
      <c r="N1007" s="21">
        <f>IFERROR(IF(M1007/K1007&gt;1,K1007,M1007),0)</f>
        <v/>
      </c>
      <c r="O1007" s="36" t="n">
        <v>0</v>
      </c>
      <c r="P1007" s="21">
        <f>O1007*H1007</f>
        <v/>
      </c>
      <c r="Q1007" s="30">
        <f>IF(MONTH(E1007+1)=MONTH(E1007+6),MONTH(E1007+1),IF(MIN(EOMONTH(E1007+1,0),E1007+6)-(E1007+1)+1&gt;=3,MONTH(E1007+1),MONTH(E1007+6)))</f>
        <v/>
      </c>
      <c r="R1007" s="22">
        <f>IFERROR(K1007/P1007, 0)</f>
        <v/>
      </c>
      <c r="S1007" s="38">
        <f>IFERROR(N1007/P1007,0)</f>
        <v/>
      </c>
      <c r="T1007" s="31">
        <f>IFERROR(IF(N1007&gt;0,(N1007/K1007),MIN(1,M1007/J1007)),0)</f>
        <v/>
      </c>
      <c r="U1007" s="33" t="n"/>
    </row>
    <row r="1008" hidden="1" s="40">
      <c r="A1008" s="23" t="inlineStr">
        <is>
          <t>Semana 1 - Junho</t>
        </is>
      </c>
      <c r="B1008" s="27">
        <f>YEAR(E1008)</f>
        <v/>
      </c>
      <c r="C1008" s="18">
        <f>INDEX({"Janeiro";"Fevereiro";"Março";"Abril";"Maio";"Junho";"Julho";"Agosto";"Setembro";"Outubro";"Novembro";"Dezembro"},Q1008)</f>
        <v/>
      </c>
      <c r="D1008" s="24" t="n">
        <v>1</v>
      </c>
      <c r="E1008" s="25" t="n">
        <v>46174</v>
      </c>
      <c r="F1008" s="23" t="inlineStr">
        <is>
          <t>Iogurte Vida Leve Ameixa c/ Grãos 500g</t>
        </is>
      </c>
      <c r="G1008" s="23" t="inlineStr">
        <is>
          <t>IOGURTE</t>
        </is>
      </c>
      <c r="H1008" s="26" t="n">
        <v>0.5</v>
      </c>
      <c r="I1008" s="36" t="n">
        <v>0</v>
      </c>
      <c r="J1008" s="21">
        <f>I1008*H1008</f>
        <v/>
      </c>
      <c r="K1008" s="21">
        <f>IFERROR(IF(J1008/P1008&gt;1,P1008,J1008),0)</f>
        <v/>
      </c>
      <c r="L1008" s="36" t="n">
        <v>0</v>
      </c>
      <c r="M1008" s="21">
        <f>L1008*H1008</f>
        <v/>
      </c>
      <c r="N1008" s="21">
        <f>IFERROR(IF(M1008/K1008&gt;1,K1008,M1008),0)</f>
        <v/>
      </c>
      <c r="O1008" s="36" t="n">
        <v>0</v>
      </c>
      <c r="P1008" s="21">
        <f>O1008*H1008</f>
        <v/>
      </c>
      <c r="Q1008" s="30">
        <f>IF(MONTH(E1008+1)=MONTH(E1008+6),MONTH(E1008+1),IF(MIN(EOMONTH(E1008+1,0),E1008+6)-(E1008+1)+1&gt;=3,MONTH(E1008+1),MONTH(E1008+6)))</f>
        <v/>
      </c>
      <c r="R1008" s="22">
        <f>IFERROR(K1008/P1008, 0)</f>
        <v/>
      </c>
      <c r="S1008" s="38">
        <f>IFERROR(N1008/P1008,0)</f>
        <v/>
      </c>
      <c r="T1008" s="31">
        <f>IFERROR(IF(N1008&gt;0,(N1008/K1008),MIN(1,M1008/J1008)),0)</f>
        <v/>
      </c>
      <c r="U1008" s="33" t="n"/>
    </row>
    <row r="1009" hidden="1" s="40">
      <c r="A1009" s="18" t="inlineStr">
        <is>
          <t>Semana 1 - Junho</t>
        </is>
      </c>
      <c r="B1009" s="27">
        <f>YEAR(E1009)</f>
        <v/>
      </c>
      <c r="C1009" s="18">
        <f>INDEX({"Janeiro";"Fevereiro";"Março";"Abril";"Maio";"Junho";"Julho";"Agosto";"Setembro";"Outubro";"Novembro";"Dezembro"},Q1009)</f>
        <v/>
      </c>
      <c r="D1009" s="19" t="n">
        <v>1</v>
      </c>
      <c r="E1009" s="20" t="n">
        <v>46174</v>
      </c>
      <c r="F1009" s="18" t="inlineStr">
        <is>
          <t>Iogurte Vida Leve Morango 180g</t>
        </is>
      </c>
      <c r="G1009" s="18" t="inlineStr">
        <is>
          <t>IOGURTE</t>
        </is>
      </c>
      <c r="H1009" s="21" t="n">
        <v>0.185</v>
      </c>
      <c r="I1009" s="36" t="n">
        <v>0</v>
      </c>
      <c r="J1009" s="21">
        <f>I1009*H1009</f>
        <v/>
      </c>
      <c r="K1009" s="21">
        <f>IFERROR(IF(J1009/P1009&gt;1,P1009,J1009),0)</f>
        <v/>
      </c>
      <c r="L1009" s="36" t="n">
        <v>0</v>
      </c>
      <c r="M1009" s="21">
        <f>L1009*H1009</f>
        <v/>
      </c>
      <c r="N1009" s="21">
        <f>IFERROR(IF(M1009/K1009&gt;1,K1009,M1009),0)</f>
        <v/>
      </c>
      <c r="O1009" s="36" t="n">
        <v>0</v>
      </c>
      <c r="P1009" s="21">
        <f>O1009*H1009</f>
        <v/>
      </c>
      <c r="Q1009" s="30">
        <f>IF(MONTH(E1009+1)=MONTH(E1009+6),MONTH(E1009+1),IF(MIN(EOMONTH(E1009+1,0),E1009+6)-(E1009+1)+1&gt;=3,MONTH(E1009+1),MONTH(E1009+6)))</f>
        <v/>
      </c>
      <c r="R1009" s="22">
        <f>IFERROR(K1009/P1009, 0)</f>
        <v/>
      </c>
      <c r="S1009" s="38">
        <f>IFERROR(N1009/P1009,0)</f>
        <v/>
      </c>
      <c r="T1009" s="31">
        <f>IFERROR(IF(N1009&gt;0,(N1009/K1009),MIN(1,M1009/J1009)),0)</f>
        <v/>
      </c>
      <c r="U1009" s="33" t="n"/>
    </row>
    <row r="1010" hidden="1" s="40">
      <c r="A1010" s="23" t="inlineStr">
        <is>
          <t>Semana 1 - Junho</t>
        </is>
      </c>
      <c r="B1010" s="27">
        <f>YEAR(E1010)</f>
        <v/>
      </c>
      <c r="C1010" s="18">
        <f>INDEX({"Janeiro";"Fevereiro";"Março";"Abril";"Maio";"Junho";"Julho";"Agosto";"Setembro";"Outubro";"Novembro";"Dezembro"},Q1010)</f>
        <v/>
      </c>
      <c r="D1010" s="24" t="n">
        <v>1</v>
      </c>
      <c r="E1010" s="25" t="n">
        <v>46174</v>
      </c>
      <c r="F1010" s="23" t="inlineStr">
        <is>
          <t>Iogurte Vida Leve Morango 500g</t>
        </is>
      </c>
      <c r="G1010" s="23" t="inlineStr">
        <is>
          <t>IOGURTE</t>
        </is>
      </c>
      <c r="H1010" s="26" t="n">
        <v>0.5</v>
      </c>
      <c r="I1010" s="36" t="n">
        <v>0</v>
      </c>
      <c r="J1010" s="21">
        <f>I1010*H1010</f>
        <v/>
      </c>
      <c r="K1010" s="21">
        <f>IFERROR(IF(J1010/P1010&gt;1,P1010,J1010),0)</f>
        <v/>
      </c>
      <c r="L1010" s="36" t="n">
        <v>0</v>
      </c>
      <c r="M1010" s="21">
        <f>L1010*H1010</f>
        <v/>
      </c>
      <c r="N1010" s="21">
        <f>IFERROR(IF(M1010/K1010&gt;1,K1010,M1010),0)</f>
        <v/>
      </c>
      <c r="O1010" s="36" t="n">
        <v>0</v>
      </c>
      <c r="P1010" s="21">
        <f>O1010*H1010</f>
        <v/>
      </c>
      <c r="Q1010" s="30">
        <f>IF(MONTH(E1010+1)=MONTH(E1010+6),MONTH(E1010+1),IF(MIN(EOMONTH(E1010+1,0),E1010+6)-(E1010+1)+1&gt;=3,MONTH(E1010+1),MONTH(E1010+6)))</f>
        <v/>
      </c>
      <c r="R1010" s="22">
        <f>IFERROR(K1010/P1010, 0)</f>
        <v/>
      </c>
      <c r="S1010" s="38">
        <f>IFERROR(N1010/P1010,0)</f>
        <v/>
      </c>
      <c r="T1010" s="31">
        <f>IFERROR(IF(N1010&gt;0,(N1010/K1010),MIN(1,M1010/J1010)),0)</f>
        <v/>
      </c>
      <c r="U1010" s="33" t="n"/>
    </row>
    <row r="1011" hidden="1" s="40">
      <c r="A1011" s="18" t="inlineStr">
        <is>
          <t>Semana 1 - Junho</t>
        </is>
      </c>
      <c r="B1011" s="27">
        <f>YEAR(E1011)</f>
        <v/>
      </c>
      <c r="C1011" s="18">
        <f>INDEX({"Janeiro";"Fevereiro";"Março";"Abril";"Maio";"Junho";"Julho";"Agosto";"Setembro";"Outubro";"Novembro";"Dezembro"},Q1011)</f>
        <v/>
      </c>
      <c r="D1011" s="19" t="n">
        <v>1</v>
      </c>
      <c r="E1011" s="20" t="n">
        <v>46174</v>
      </c>
      <c r="F1011" s="18" t="inlineStr">
        <is>
          <t>LEITE PASTEURIZADO VIÇOSA DESNATADO</t>
        </is>
      </c>
      <c r="G1011" s="18" t="inlineStr">
        <is>
          <t>LEITE PAST.</t>
        </is>
      </c>
      <c r="H1011" s="21" t="n">
        <v>1</v>
      </c>
      <c r="I1011" s="36" t="n">
        <v>800</v>
      </c>
      <c r="J1011" s="21">
        <f>I1011*H1011</f>
        <v/>
      </c>
      <c r="K1011" s="21">
        <f>IFERROR(IF(J1011/P1011&gt;1,P1011,J1011),0)</f>
        <v/>
      </c>
      <c r="L1011" s="36" t="n">
        <v>800</v>
      </c>
      <c r="M1011" s="21">
        <f>L1011*H1011</f>
        <v/>
      </c>
      <c r="N1011" s="21">
        <f>IFERROR(IF(M1011/K1011&gt;1,K1011,M1011),0)</f>
        <v/>
      </c>
      <c r="O1011" s="36" t="n">
        <v>800</v>
      </c>
      <c r="P1011" s="21">
        <f>O1011*H1011</f>
        <v/>
      </c>
      <c r="Q1011" s="30">
        <f>IF(MONTH(E1011+1)=MONTH(E1011+6),MONTH(E1011+1),IF(MIN(EOMONTH(E1011+1,0),E1011+6)-(E1011+1)+1&gt;=3,MONTH(E1011+1),MONTH(E1011+6)))</f>
        <v/>
      </c>
      <c r="R1011" s="22">
        <f>IFERROR(K1011/P1011, 0)</f>
        <v/>
      </c>
      <c r="S1011" s="38">
        <f>IFERROR(N1011/P1011,0)</f>
        <v/>
      </c>
      <c r="T1011" s="31">
        <f>IFERROR(IF(N1011&gt;0,(N1011/K1011),MIN(1,M1011/J1011)),0)</f>
        <v/>
      </c>
      <c r="U1011" s="33" t="n"/>
    </row>
    <row r="1012" hidden="1" s="40">
      <c r="A1012" s="23" t="inlineStr">
        <is>
          <t>Semana 1 - Junho</t>
        </is>
      </c>
      <c r="B1012" s="27">
        <f>YEAR(E1012)</f>
        <v/>
      </c>
      <c r="C1012" s="18">
        <f>INDEX({"Janeiro";"Fevereiro";"Março";"Abril";"Maio";"Junho";"Julho";"Agosto";"Setembro";"Outubro";"Novembro";"Dezembro"},Q1012)</f>
        <v/>
      </c>
      <c r="D1012" s="24" t="n">
        <v>1</v>
      </c>
      <c r="E1012" s="25" t="n">
        <v>46174</v>
      </c>
      <c r="F1012" s="23" t="inlineStr">
        <is>
          <t>LEITE PASTEURIZADO VIÇOSA INTEGRAL</t>
        </is>
      </c>
      <c r="G1012" s="23" t="inlineStr">
        <is>
          <t>LEITE PAST.</t>
        </is>
      </c>
      <c r="H1012" s="26" t="n">
        <v>1</v>
      </c>
      <c r="I1012" s="36" t="n">
        <v>25600</v>
      </c>
      <c r="J1012" s="21">
        <f>I1012*H1012</f>
        <v/>
      </c>
      <c r="K1012" s="21">
        <f>IFERROR(IF(J1012/P1012&gt;1,P1012,J1012),0)</f>
        <v/>
      </c>
      <c r="L1012" s="36" t="n">
        <v>25600</v>
      </c>
      <c r="M1012" s="21">
        <f>L1012*H1012</f>
        <v/>
      </c>
      <c r="N1012" s="21">
        <f>IFERROR(IF(M1012/K1012&gt;1,K1012,M1012),0)</f>
        <v/>
      </c>
      <c r="O1012" s="36" t="n">
        <v>25600</v>
      </c>
      <c r="P1012" s="21">
        <f>O1012*H1012</f>
        <v/>
      </c>
      <c r="Q1012" s="30">
        <f>IF(MONTH(E1012+1)=MONTH(E1012+6),MONTH(E1012+1),IF(MIN(EOMONTH(E1012+1,0),E1012+6)-(E1012+1)+1&gt;=3,MONTH(E1012+1),MONTH(E1012+6)))</f>
        <v/>
      </c>
      <c r="R1012" s="22">
        <f>IFERROR(K1012/P1012, 0)</f>
        <v/>
      </c>
      <c r="S1012" s="38">
        <f>IFERROR(N1012/P1012,0)</f>
        <v/>
      </c>
      <c r="T1012" s="31">
        <f>IFERROR(IF(N1012&gt;0,(N1012/K1012),MIN(1,M1012/J1012)),0)</f>
        <v/>
      </c>
      <c r="U1012" s="33" t="n"/>
    </row>
    <row r="1013" hidden="1" s="40">
      <c r="A1013" s="18" t="inlineStr">
        <is>
          <t>Semana 1 - Junho</t>
        </is>
      </c>
      <c r="B1013" s="27">
        <f>YEAR(E1013)</f>
        <v/>
      </c>
      <c r="C1013" s="18">
        <f>INDEX({"Janeiro";"Fevereiro";"Março";"Abril";"Maio";"Junho";"Julho";"Agosto";"Setembro";"Outubro";"Novembro";"Dezembro"},Q1013)</f>
        <v/>
      </c>
      <c r="D1013" s="19" t="n">
        <v>1</v>
      </c>
      <c r="E1013" s="20" t="n">
        <v>46174</v>
      </c>
      <c r="F1013" s="18" t="inlineStr">
        <is>
          <t>LEITE PASTEURIZADO VIÇOSA ZERO LACTOSE INTEGRAL 1 L</t>
        </is>
      </c>
      <c r="G1013" s="18" t="inlineStr">
        <is>
          <t>LEITE PAST.</t>
        </is>
      </c>
      <c r="H1013" s="21" t="n">
        <v>1</v>
      </c>
      <c r="I1013" s="36" t="n">
        <v>1030</v>
      </c>
      <c r="J1013" s="21">
        <f>I1013*H1013</f>
        <v/>
      </c>
      <c r="K1013" s="21">
        <f>IFERROR(IF(J1013/P1013&gt;1,P1013,J1013),0)</f>
        <v/>
      </c>
      <c r="L1013" s="36" t="n">
        <v>1030</v>
      </c>
      <c r="M1013" s="21">
        <f>L1013*H1013</f>
        <v/>
      </c>
      <c r="N1013" s="21">
        <f>IFERROR(IF(M1013/K1013&gt;1,K1013,M1013),0)</f>
        <v/>
      </c>
      <c r="O1013" s="36" t="n">
        <v>1030</v>
      </c>
      <c r="P1013" s="21">
        <f>O1013*H1013</f>
        <v/>
      </c>
      <c r="Q1013" s="30">
        <f>IF(MONTH(E1013+1)=MONTH(E1013+6),MONTH(E1013+1),IF(MIN(EOMONTH(E1013+1,0),E1013+6)-(E1013+1)+1&gt;=3,MONTH(E1013+1),MONTH(E1013+6)))</f>
        <v/>
      </c>
      <c r="R1013" s="22">
        <f>IFERROR(K1013/P1013, 0)</f>
        <v/>
      </c>
      <c r="S1013" s="38">
        <f>IFERROR(N1013/P1013,0)</f>
        <v/>
      </c>
      <c r="T1013" s="31">
        <f>IFERROR(IF(N1013&gt;0,(N1013/K1013),MIN(1,M1013/J1013)),0)</f>
        <v/>
      </c>
      <c r="U1013" s="33" t="n"/>
    </row>
    <row r="1014" hidden="1" s="40">
      <c r="A1014" s="23" t="inlineStr">
        <is>
          <t>Semana 1 - Junho</t>
        </is>
      </c>
      <c r="B1014" s="27">
        <f>YEAR(E1014)</f>
        <v/>
      </c>
      <c r="C1014" s="18">
        <f>INDEX({"Janeiro";"Fevereiro";"Março";"Abril";"Maio";"Junho";"Julho";"Agosto";"Setembro";"Outubro";"Novembro";"Dezembro"},Q1014)</f>
        <v/>
      </c>
      <c r="D1014" s="24" t="n">
        <v>1</v>
      </c>
      <c r="E1014" s="25" t="n">
        <v>46174</v>
      </c>
      <c r="F1014" s="23" t="inlineStr">
        <is>
          <t>Manteiga 200g</t>
        </is>
      </c>
      <c r="G1014" s="23" t="inlineStr">
        <is>
          <t>MANTEIGA</t>
        </is>
      </c>
      <c r="H1014" s="26" t="n">
        <v>0.2</v>
      </c>
      <c r="I1014" s="36" t="n">
        <v>1100</v>
      </c>
      <c r="J1014" s="21">
        <f>I1014*H1014</f>
        <v/>
      </c>
      <c r="K1014" s="21">
        <f>IFERROR(IF(J1014/P1014&gt;1,P1014,J1014),0)</f>
        <v/>
      </c>
      <c r="L1014" s="36" t="n">
        <v>1214</v>
      </c>
      <c r="M1014" s="21">
        <f>L1014*H1014</f>
        <v/>
      </c>
      <c r="N1014" s="21">
        <f>IFERROR(IF(M1014/K1014&gt;1,K1014,M1014),0)</f>
        <v/>
      </c>
      <c r="O1014" s="36" t="n">
        <v>2304</v>
      </c>
      <c r="P1014" s="21">
        <f>O1014*H1014</f>
        <v/>
      </c>
      <c r="Q1014" s="30">
        <f>IF(MONTH(E1014+1)=MONTH(E1014+6),MONTH(E1014+1),IF(MIN(EOMONTH(E1014+1,0),E1014+6)-(E1014+1)+1&gt;=3,MONTH(E1014+1),MONTH(E1014+6)))</f>
        <v/>
      </c>
      <c r="R1014" s="22">
        <f>IFERROR(K1014/P1014, 0)</f>
        <v/>
      </c>
      <c r="S1014" s="38">
        <f>IFERROR(N1014/P1014,0)</f>
        <v/>
      </c>
      <c r="T1014" s="31">
        <f>IFERROR(IF(N1014&gt;0,(N1014/K1014),MIN(1,M1014/J1014)),0)</f>
        <v/>
      </c>
      <c r="U1014" s="33" t="n"/>
    </row>
    <row r="1015" hidden="1" s="40">
      <c r="A1015" s="18" t="inlineStr">
        <is>
          <t>Semana 1 - Junho</t>
        </is>
      </c>
      <c r="B1015" s="27">
        <f>YEAR(E1015)</f>
        <v/>
      </c>
      <c r="C1015" s="18">
        <f>INDEX({"Janeiro";"Fevereiro";"Março";"Abril";"Maio";"Junho";"Julho";"Agosto";"Setembro";"Outubro";"Novembro";"Dezembro"},Q1015)</f>
        <v/>
      </c>
      <c r="D1015" s="19" t="n">
        <v>1</v>
      </c>
      <c r="E1015" s="20" t="n">
        <v>46174</v>
      </c>
      <c r="F1015" s="18" t="inlineStr">
        <is>
          <t>Manteiga 500g</t>
        </is>
      </c>
      <c r="G1015" s="18" t="inlineStr">
        <is>
          <t>MANTEIGA</t>
        </is>
      </c>
      <c r="H1015" s="21" t="n">
        <v>0.5</v>
      </c>
      <c r="I1015" s="36" t="n">
        <v>500</v>
      </c>
      <c r="J1015" s="21">
        <f>I1015*H1015</f>
        <v/>
      </c>
      <c r="K1015" s="21">
        <f>IFERROR(IF(J1015/P1015&gt;1,P1015,J1015),0)</f>
        <v/>
      </c>
      <c r="L1015" s="36" t="n">
        <v>522</v>
      </c>
      <c r="M1015" s="21">
        <f>L1015*H1015</f>
        <v/>
      </c>
      <c r="N1015" s="21">
        <f>IFERROR(IF(M1015/K1015&gt;1,K1015,M1015),0)</f>
        <v/>
      </c>
      <c r="O1015" s="36" t="n">
        <v>1100</v>
      </c>
      <c r="P1015" s="21">
        <f>O1015*H1015</f>
        <v/>
      </c>
      <c r="Q1015" s="30">
        <f>IF(MONTH(E1015+1)=MONTH(E1015+6),MONTH(E1015+1),IF(MIN(EOMONTH(E1015+1,0),E1015+6)-(E1015+1)+1&gt;=3,MONTH(E1015+1),MONTH(E1015+6)))</f>
        <v/>
      </c>
      <c r="R1015" s="22">
        <f>IFERROR(K1015/P1015, 0)</f>
        <v/>
      </c>
      <c r="S1015" s="38">
        <f>IFERROR(N1015/P1015,0)</f>
        <v/>
      </c>
      <c r="T1015" s="31">
        <f>IFERROR(IF(N1015&gt;0,(N1015/K1015),MIN(1,M1015/J1015)),0)</f>
        <v/>
      </c>
      <c r="U1015" s="33" t="n"/>
    </row>
    <row r="1016" hidden="1" s="40">
      <c r="A1016" s="23" t="inlineStr">
        <is>
          <t>Semana 1 - Junho</t>
        </is>
      </c>
      <c r="B1016" s="27">
        <f>YEAR(E1016)</f>
        <v/>
      </c>
      <c r="C1016" s="18">
        <f>INDEX({"Janeiro";"Fevereiro";"Março";"Abril";"Maio";"Junho";"Julho";"Agosto";"Setembro";"Outubro";"Novembro";"Dezembro"},Q1016)</f>
        <v/>
      </c>
      <c r="D1016" s="24" t="n">
        <v>1</v>
      </c>
      <c r="E1016" s="25" t="n">
        <v>46174</v>
      </c>
      <c r="F1016" s="23" t="inlineStr">
        <is>
          <t>QUEIJO MINAS MEIA CURA (FRACIONADO)</t>
        </is>
      </c>
      <c r="G1016" s="23" t="inlineStr">
        <is>
          <t>QUEIJO</t>
        </is>
      </c>
      <c r="H1016" s="26" t="n">
        <v>1</v>
      </c>
      <c r="I1016" s="36" t="n">
        <v>0</v>
      </c>
      <c r="J1016" s="21">
        <f>I1016*H1016</f>
        <v/>
      </c>
      <c r="K1016" s="21">
        <f>IFERROR(IF(J1016/P1016&gt;1,P1016,J1016),0)</f>
        <v/>
      </c>
      <c r="L1016" s="36" t="n">
        <v>0</v>
      </c>
      <c r="M1016" s="21">
        <f>L1016*H1016</f>
        <v/>
      </c>
      <c r="N1016" s="21">
        <f>IFERROR(IF(M1016/K1016&gt;1,K1016,M1016),0)</f>
        <v/>
      </c>
      <c r="O1016" s="36" t="n">
        <v>0</v>
      </c>
      <c r="P1016" s="21">
        <f>O1016*H1016</f>
        <v/>
      </c>
      <c r="Q1016" s="30">
        <f>IF(MONTH(E1016+1)=MONTH(E1016+6),MONTH(E1016+1),IF(MIN(EOMONTH(E1016+1,0),E1016+6)-(E1016+1)+1&gt;=3,MONTH(E1016+1),MONTH(E1016+6)))</f>
        <v/>
      </c>
      <c r="R1016" s="22">
        <f>IFERROR(K1016/P1016, 0)</f>
        <v/>
      </c>
      <c r="S1016" s="38">
        <f>IFERROR(N1016/P1016,0)</f>
        <v/>
      </c>
      <c r="T1016" s="31">
        <f>IFERROR(IF(N1016&gt;0,(N1016/K1016),MIN(1,M1016/J1016)),0)</f>
        <v/>
      </c>
      <c r="U1016" s="33" t="n"/>
    </row>
    <row r="1017" hidden="1" s="40">
      <c r="A1017" s="18" t="inlineStr">
        <is>
          <t>Semana 1 - Junho</t>
        </is>
      </c>
      <c r="B1017" s="27">
        <f>YEAR(E1017)</f>
        <v/>
      </c>
      <c r="C1017" s="18">
        <f>INDEX({"Janeiro";"Fevereiro";"Março";"Abril";"Maio";"Junho";"Julho";"Agosto";"Setembro";"Outubro";"Novembro";"Dezembro"},Q1017)</f>
        <v/>
      </c>
      <c r="D1017" s="19" t="n">
        <v>1</v>
      </c>
      <c r="E1017" s="20" t="n">
        <v>46174</v>
      </c>
      <c r="F1017" s="18" t="inlineStr">
        <is>
          <t>QUEIJO MINAS MEIA CURA (INTEIRO)</t>
        </is>
      </c>
      <c r="G1017" s="18" t="inlineStr">
        <is>
          <t>QUEIJO</t>
        </is>
      </c>
      <c r="H1017" s="21" t="n">
        <v>1</v>
      </c>
      <c r="I1017" s="36" t="n">
        <v>0</v>
      </c>
      <c r="J1017" s="21">
        <f>I1017*H1017</f>
        <v/>
      </c>
      <c r="K1017" s="21">
        <f>IFERROR(IF(J1017/P1017&gt;1,P1017,J1017),0)</f>
        <v/>
      </c>
      <c r="L1017" s="36" t="n">
        <v>0</v>
      </c>
      <c r="M1017" s="21">
        <f>L1017*H1017</f>
        <v/>
      </c>
      <c r="N1017" s="21">
        <f>IFERROR(IF(M1017/K1017&gt;1,K1017,M1017),0)</f>
        <v/>
      </c>
      <c r="O1017" s="36" t="n">
        <v>0</v>
      </c>
      <c r="P1017" s="21">
        <f>O1017*H1017</f>
        <v/>
      </c>
      <c r="Q1017" s="30">
        <f>IF(MONTH(E1017+1)=MONTH(E1017+6),MONTH(E1017+1),IF(MIN(EOMONTH(E1017+1,0),E1017+6)-(E1017+1)+1&gt;=3,MONTH(E1017+1),MONTH(E1017+6)))</f>
        <v/>
      </c>
      <c r="R1017" s="22">
        <f>IFERROR(K1017/P1017, 0)</f>
        <v/>
      </c>
      <c r="S1017" s="38">
        <f>IFERROR(N1017/P1017,0)</f>
        <v/>
      </c>
      <c r="T1017" s="31">
        <f>IFERROR(IF(N1017&gt;0,(N1017/K1017),MIN(1,M1017/J1017)),0)</f>
        <v/>
      </c>
      <c r="U1017" s="33" t="n"/>
    </row>
    <row r="1018" hidden="1" s="40">
      <c r="A1018" s="23" t="inlineStr">
        <is>
          <t>Semana 1 - Junho</t>
        </is>
      </c>
      <c r="B1018" s="27">
        <f>YEAR(E1018)</f>
        <v/>
      </c>
      <c r="C1018" s="18">
        <f>INDEX({"Janeiro";"Fevereiro";"Março";"Abril";"Maio";"Junho";"Julho";"Agosto";"Setembro";"Outubro";"Novembro";"Dezembro"},Q1018)</f>
        <v/>
      </c>
      <c r="D1018" s="24" t="n">
        <v>1</v>
      </c>
      <c r="E1018" s="25" t="n">
        <v>46174</v>
      </c>
      <c r="F1018" s="23" t="inlineStr">
        <is>
          <t xml:space="preserve">QUEIJO MINAS PADRÃO VIÇOSA FRACIONADO </t>
        </is>
      </c>
      <c r="G1018" s="23" t="inlineStr">
        <is>
          <t>QUEIJO</t>
        </is>
      </c>
      <c r="H1018" s="26" t="n">
        <v>1</v>
      </c>
      <c r="I1018" s="36" t="n">
        <v>0</v>
      </c>
      <c r="J1018" s="21">
        <f>I1018*H1018</f>
        <v/>
      </c>
      <c r="K1018" s="21">
        <f>IFERROR(IF(J1018/P1018&gt;1,P1018,J1018),0)</f>
        <v/>
      </c>
      <c r="L1018" s="36" t="n">
        <v>0</v>
      </c>
      <c r="M1018" s="21">
        <f>L1018*H1018</f>
        <v/>
      </c>
      <c r="N1018" s="21">
        <f>IFERROR(IF(M1018/K1018&gt;1,K1018,M1018),0)</f>
        <v/>
      </c>
      <c r="O1018" s="36" t="n">
        <v>0</v>
      </c>
      <c r="P1018" s="21">
        <f>O1018*H1018</f>
        <v/>
      </c>
      <c r="Q1018" s="30">
        <f>IF(MONTH(E1018+1)=MONTH(E1018+6),MONTH(E1018+1),IF(MIN(EOMONTH(E1018+1,0),E1018+6)-(E1018+1)+1&gt;=3,MONTH(E1018+1),MONTH(E1018+6)))</f>
        <v/>
      </c>
      <c r="R1018" s="22">
        <f>IFERROR(K1018/P1018, 0)</f>
        <v/>
      </c>
      <c r="S1018" s="38">
        <f>IFERROR(N1018/P1018,0)</f>
        <v/>
      </c>
      <c r="T1018" s="31">
        <f>IFERROR(IF(N1018&gt;0,(N1018/K1018),MIN(1,M1018/J1018)),0)</f>
        <v/>
      </c>
      <c r="U1018" s="33" t="n"/>
    </row>
    <row r="1019" hidden="1" s="40">
      <c r="A1019" s="18" t="inlineStr">
        <is>
          <t>Semana 1 - Junho</t>
        </is>
      </c>
      <c r="B1019" s="27">
        <f>YEAR(E1019)</f>
        <v/>
      </c>
      <c r="C1019" s="18">
        <f>INDEX({"Janeiro";"Fevereiro";"Março";"Abril";"Maio";"Junho";"Julho";"Agosto";"Setembro";"Outubro";"Novembro";"Dezembro"},Q1019)</f>
        <v/>
      </c>
      <c r="D1019" s="19" t="n">
        <v>1</v>
      </c>
      <c r="E1019" s="20" t="n">
        <v>46174</v>
      </c>
      <c r="F1019" s="18" t="inlineStr">
        <is>
          <t>QUEIJO MUSSARELA 3KG</t>
        </is>
      </c>
      <c r="G1019" s="18" t="inlineStr">
        <is>
          <t>QUEIJO</t>
        </is>
      </c>
      <c r="H1019" s="21" t="n">
        <v>1</v>
      </c>
      <c r="I1019" s="36" t="n">
        <v>800</v>
      </c>
      <c r="J1019" s="21">
        <f>I1019*H1019</f>
        <v/>
      </c>
      <c r="K1019" s="21">
        <f>IFERROR(IF(J1019/P1019&gt;1,P1019,J1019),0)</f>
        <v/>
      </c>
      <c r="L1019" s="36" t="n">
        <v>800</v>
      </c>
      <c r="M1019" s="21">
        <f>L1019*H1019</f>
        <v/>
      </c>
      <c r="N1019" s="21">
        <f>IFERROR(IF(M1019/K1019&gt;1,K1019,M1019),0)</f>
        <v/>
      </c>
      <c r="O1019" s="36" t="n">
        <v>800</v>
      </c>
      <c r="P1019" s="21">
        <f>O1019*H1019</f>
        <v/>
      </c>
      <c r="Q1019" s="30">
        <f>IF(MONTH(E1019+1)=MONTH(E1019+6),MONTH(E1019+1),IF(MIN(EOMONTH(E1019+1,0),E1019+6)-(E1019+1)+1&gt;=3,MONTH(E1019+1),MONTH(E1019+6)))</f>
        <v/>
      </c>
      <c r="R1019" s="22">
        <f>IFERROR(K1019/P1019, 0)</f>
        <v/>
      </c>
      <c r="S1019" s="38">
        <f>IFERROR(N1019/P1019,0)</f>
        <v/>
      </c>
      <c r="T1019" s="31">
        <f>IFERROR(IF(N1019&gt;0,(N1019/K1019),MIN(1,M1019/J1019)),0)</f>
        <v/>
      </c>
      <c r="U1019" s="33" t="n"/>
    </row>
    <row r="1020" hidden="1" s="40">
      <c r="A1020" s="23" t="inlineStr">
        <is>
          <t>Semana 1 - Junho</t>
        </is>
      </c>
      <c r="B1020" s="27">
        <f>YEAR(E1020)</f>
        <v/>
      </c>
      <c r="C1020" s="18">
        <f>INDEX({"Janeiro";"Fevereiro";"Março";"Abril";"Maio";"Junho";"Julho";"Agosto";"Setembro";"Outubro";"Novembro";"Dezembro"},Q1020)</f>
        <v/>
      </c>
      <c r="D1020" s="24" t="n">
        <v>1</v>
      </c>
      <c r="E1020" s="25" t="n">
        <v>46174</v>
      </c>
      <c r="F1020" s="23" t="inlineStr">
        <is>
          <t>QUEIJO MUSSARELA LANCHE</t>
        </is>
      </c>
      <c r="G1020" s="23" t="inlineStr">
        <is>
          <t>QUEIJO</t>
        </is>
      </c>
      <c r="H1020" s="26" t="n">
        <v>1</v>
      </c>
      <c r="I1020" s="36" t="n">
        <v>200</v>
      </c>
      <c r="J1020" s="21">
        <f>I1020*H1020</f>
        <v/>
      </c>
      <c r="K1020" s="21">
        <f>IFERROR(IF(J1020/P1020&gt;1,P1020,J1020),0)</f>
        <v/>
      </c>
      <c r="L1020" s="36" t="n">
        <v>200</v>
      </c>
      <c r="M1020" s="21">
        <f>L1020*H1020</f>
        <v/>
      </c>
      <c r="N1020" s="21">
        <f>IFERROR(IF(M1020/K1020&gt;1,K1020,M1020),0)</f>
        <v/>
      </c>
      <c r="O1020" s="36" t="n">
        <v>200</v>
      </c>
      <c r="P1020" s="21">
        <f>O1020*H1020</f>
        <v/>
      </c>
      <c r="Q1020" s="30">
        <f>IF(MONTH(E1020+1)=MONTH(E1020+6),MONTH(E1020+1),IF(MIN(EOMONTH(E1020+1,0),E1020+6)-(E1020+1)+1&gt;=3,MONTH(E1020+1),MONTH(E1020+6)))</f>
        <v/>
      </c>
      <c r="R1020" s="22">
        <f>IFERROR(K1020/P1020, 0)</f>
        <v/>
      </c>
      <c r="S1020" s="38">
        <f>IFERROR(N1020/P1020,0)</f>
        <v/>
      </c>
      <c r="T1020" s="31">
        <f>IFERROR(IF(N1020&gt;0,(N1020/K1020),MIN(1,M1020/J1020)),0)</f>
        <v/>
      </c>
      <c r="U1020" s="33" t="n"/>
    </row>
    <row r="1021" hidden="1" s="40">
      <c r="A1021" s="18" t="inlineStr">
        <is>
          <t>Semana 1 - Junho</t>
        </is>
      </c>
      <c r="B1021" s="27">
        <f>YEAR(E1021)</f>
        <v/>
      </c>
      <c r="C1021" s="18">
        <f>INDEX({"Janeiro";"Fevereiro";"Março";"Abril";"Maio";"Junho";"Julho";"Agosto";"Setembro";"Outubro";"Novembro";"Dezembro"},Q1021)</f>
        <v/>
      </c>
      <c r="D1021" s="19" t="n">
        <v>1</v>
      </c>
      <c r="E1021" s="20" t="n">
        <v>46174</v>
      </c>
      <c r="F1021" s="18" t="inlineStr">
        <is>
          <t>Requeijão Light 200g</t>
        </is>
      </c>
      <c r="G1021" s="18" t="inlineStr">
        <is>
          <t>REQUEIJÃO</t>
        </is>
      </c>
      <c r="H1021" s="21" t="n">
        <v>0.2</v>
      </c>
      <c r="I1021" s="36" t="n">
        <v>0</v>
      </c>
      <c r="J1021" s="21">
        <f>I1021*H1021</f>
        <v/>
      </c>
      <c r="K1021" s="21">
        <f>IFERROR(IF(J1021/P1021&gt;1,P1021,J1021),0)</f>
        <v/>
      </c>
      <c r="L1021" s="36" t="n">
        <v>0</v>
      </c>
      <c r="M1021" s="21">
        <f>L1021*H1021</f>
        <v/>
      </c>
      <c r="N1021" s="21">
        <f>IFERROR(IF(M1021/K1021&gt;1,K1021,M1021),0)</f>
        <v/>
      </c>
      <c r="O1021" s="36" t="n">
        <v>0</v>
      </c>
      <c r="P1021" s="21">
        <f>O1021*H1021</f>
        <v/>
      </c>
      <c r="Q1021" s="30">
        <f>IF(MONTH(E1021+1)=MONTH(E1021+6),MONTH(E1021+1),IF(MIN(EOMONTH(E1021+1,0),E1021+6)-(E1021+1)+1&gt;=3,MONTH(E1021+1),MONTH(E1021+6)))</f>
        <v/>
      </c>
      <c r="R1021" s="22">
        <f>IFERROR(K1021/P1021, 0)</f>
        <v/>
      </c>
      <c r="S1021" s="38">
        <f>IFERROR(N1021/P1021,0)</f>
        <v/>
      </c>
      <c r="T1021" s="31">
        <f>IFERROR(IF(N1021&gt;0,(N1021/K1021),MIN(1,M1021/J1021)),0)</f>
        <v/>
      </c>
      <c r="U1021" s="33" t="n"/>
    </row>
    <row r="1022" hidden="1" s="40">
      <c r="A1022" s="18" t="inlineStr">
        <is>
          <t>Semana 1 - Junho</t>
        </is>
      </c>
      <c r="B1022" s="27">
        <f>YEAR(E1022)</f>
        <v/>
      </c>
      <c r="C1022" s="18">
        <f>INDEX({"Janeiro";"Fevereiro";"Março";"Abril";"Maio";"Junho";"Julho";"Agosto";"Setembro";"Outubro";"Novembro";"Dezembro"},Q1022)</f>
        <v/>
      </c>
      <c r="D1022" s="19" t="n">
        <v>1</v>
      </c>
      <c r="E1022" s="20" t="n">
        <v>46174</v>
      </c>
      <c r="F1022" s="18" t="inlineStr">
        <is>
          <t>REQUEIJÃO VIÇOSA 200g</t>
        </is>
      </c>
      <c r="G1022" s="18" t="inlineStr">
        <is>
          <t>REQUEIJÃO</t>
        </is>
      </c>
      <c r="H1022" s="21" t="n">
        <v>0.2</v>
      </c>
      <c r="I1022" s="36" t="n">
        <v>2400</v>
      </c>
      <c r="J1022" s="21">
        <f>I1022*H1022</f>
        <v/>
      </c>
      <c r="K1022" s="21">
        <f>IFERROR(IF(J1022/P1022&gt;1,P1022,J1022),0)</f>
        <v/>
      </c>
      <c r="L1022" s="36" t="n">
        <v>2493</v>
      </c>
      <c r="M1022" s="21">
        <f>L1022*H1022</f>
        <v/>
      </c>
      <c r="N1022" s="21">
        <f>IFERROR(IF(M1022/K1022&gt;1,K1022,M1022),0)</f>
        <v/>
      </c>
      <c r="O1022" s="36" t="n">
        <v>3200</v>
      </c>
      <c r="P1022" s="21">
        <f>O1022*H1022</f>
        <v/>
      </c>
      <c r="Q1022" s="30">
        <f>IF(MONTH(E1022+1)=MONTH(E1022+6),MONTH(E1022+1),IF(MIN(EOMONTH(E1022+1,0),E1022+6)-(E1022+1)+1&gt;=3,MONTH(E1022+1),MONTH(E1022+6)))</f>
        <v/>
      </c>
      <c r="R1022" s="22">
        <f>IFERROR(K1022/P1022, 0)</f>
        <v/>
      </c>
      <c r="S1022" s="38">
        <f>IFERROR(N1022/P1022,0)</f>
        <v/>
      </c>
      <c r="T1022" s="31">
        <f>IFERROR(IF(N1022&gt;0,(N1022/K1022),MIN(1,M1022/J1022)),0)</f>
        <v/>
      </c>
      <c r="U1022" s="33" t="n"/>
    </row>
    <row r="1023" hidden="1" s="40">
      <c r="A1023" s="23" t="inlineStr">
        <is>
          <t>Semana 1 - Junho</t>
        </is>
      </c>
      <c r="B1023" s="27">
        <f>YEAR(E1023)</f>
        <v/>
      </c>
      <c r="C1023" s="18">
        <f>INDEX({"Janeiro";"Fevereiro";"Março";"Abril";"Maio";"Junho";"Julho";"Agosto";"Setembro";"Outubro";"Novembro";"Dezembro"},Q1023)</f>
        <v/>
      </c>
      <c r="D1023" s="24" t="n">
        <v>1</v>
      </c>
      <c r="E1023" s="25" t="n">
        <v>46174</v>
      </c>
      <c r="F1023" s="23" t="inlineStr">
        <is>
          <t>REQUEIJÃO VIÇOSA 400g</t>
        </is>
      </c>
      <c r="G1023" s="23" t="inlineStr">
        <is>
          <t>REQUEIJÃO</t>
        </is>
      </c>
      <c r="H1023" s="26" t="n">
        <v>0.4</v>
      </c>
      <c r="I1023" s="36" t="n">
        <v>3300</v>
      </c>
      <c r="J1023" s="21">
        <f>I1023*H1023</f>
        <v/>
      </c>
      <c r="K1023" s="21">
        <f>IFERROR(IF(J1023/P1023&gt;1,P1023,J1023),0)</f>
        <v/>
      </c>
      <c r="L1023" s="36" t="n">
        <v>2894</v>
      </c>
      <c r="M1023" s="21">
        <f>L1023*H1023</f>
        <v/>
      </c>
      <c r="N1023" s="21">
        <f>IFERROR(IF(M1023/K1023&gt;1,K1023,M1023),0)</f>
        <v/>
      </c>
      <c r="O1023" s="36" t="n">
        <v>3800</v>
      </c>
      <c r="P1023" s="21">
        <f>O1023*H1023</f>
        <v/>
      </c>
      <c r="Q1023" s="30">
        <f>IF(MONTH(E1023+1)=MONTH(E1023+6),MONTH(E1023+1),IF(MIN(EOMONTH(E1023+1,0),E1023+6)-(E1023+1)+1&gt;=3,MONTH(E1023+1),MONTH(E1023+6)))</f>
        <v/>
      </c>
      <c r="R1023" s="22">
        <f>IFERROR(K1023/P1023, 0)</f>
        <v/>
      </c>
      <c r="S1023" s="38">
        <f>IFERROR(N1023/P1023,0)</f>
        <v/>
      </c>
      <c r="T1023" s="31">
        <f>IFERROR(IF(N1023&gt;0,(N1023/K1023),MIN(1,M1023/J1023)),0)</f>
        <v/>
      </c>
      <c r="U1023" s="33" t="n"/>
    </row>
    <row r="1024" hidden="1" s="40">
      <c r="A1024" s="18" t="inlineStr">
        <is>
          <t>Semana 2 - Junho</t>
        </is>
      </c>
      <c r="B1024" s="27">
        <f>YEAR(E1024)</f>
        <v/>
      </c>
      <c r="C1024" s="18">
        <f>INDEX({"Janeiro";"Fevereiro";"Março";"Abril";"Maio";"Junho";"Julho";"Agosto";"Setembro";"Outubro";"Novembro";"Dezembro"},Q1024)</f>
        <v/>
      </c>
      <c r="D1024" s="19" t="n">
        <v>2</v>
      </c>
      <c r="E1024" s="20" t="n">
        <v>46181</v>
      </c>
      <c r="F1024" s="18" t="inlineStr">
        <is>
          <t>Creme de Ricota 200g</t>
        </is>
      </c>
      <c r="G1024" s="18" t="inlineStr">
        <is>
          <t>RICOTA</t>
        </is>
      </c>
      <c r="H1024" s="21" t="n">
        <v>0.2</v>
      </c>
      <c r="I1024" s="36" t="n">
        <v>1000</v>
      </c>
      <c r="J1024" s="21">
        <f>I1024*H1024</f>
        <v/>
      </c>
      <c r="K1024" s="21">
        <f>IFERROR(IF(J1024/P1024&gt;1,P1024,J1024),0)</f>
        <v/>
      </c>
      <c r="L1024" s="36" t="n">
        <v>1364</v>
      </c>
      <c r="M1024" s="21">
        <f>L1024*H1024</f>
        <v/>
      </c>
      <c r="N1024" s="21">
        <f>IFERROR(IF(M1024/K1024&gt;1,K1024,M1024),0)</f>
        <v/>
      </c>
      <c r="O1024" s="36" t="n">
        <v>0</v>
      </c>
      <c r="P1024" s="21">
        <f>O1024*H1024</f>
        <v/>
      </c>
      <c r="Q1024" s="30">
        <f>IF(MONTH(E1024+1)=MONTH(E1024+6),MONTH(E1024+1),IF(MIN(EOMONTH(E1024+1,0),E1024+6)-(E1024+1)+1&gt;=3,MONTH(E1024+1),MONTH(E1024+6)))</f>
        <v/>
      </c>
      <c r="R1024" s="22">
        <f>IFERROR(K1024/P1024, 0)</f>
        <v/>
      </c>
      <c r="S1024" s="38">
        <f>IFERROR(N1024/P1024,0)</f>
        <v/>
      </c>
      <c r="T1024" s="31">
        <f>IFERROR(IF(N1024&gt;0,(N1024/K1024),MIN(1,M1024/J1024)),0)</f>
        <v/>
      </c>
      <c r="U1024" s="33" t="inlineStr">
        <is>
          <t>Problema de produção de doce zero talhado em 2 lotes. Um lote foi totalmente descartado e o outro foi envasado apenas 3.108 latas.</t>
        </is>
      </c>
    </row>
    <row r="1025" hidden="1" s="40">
      <c r="A1025" s="18" t="inlineStr">
        <is>
          <t>Semana 2 - Junho</t>
        </is>
      </c>
      <c r="B1025" s="27">
        <f>YEAR(E1025)</f>
        <v/>
      </c>
      <c r="C1025" s="18">
        <f>INDEX({"Janeiro";"Fevereiro";"Março";"Abril";"Maio";"Junho";"Julho";"Agosto";"Setembro";"Outubro";"Novembro";"Dezembro"},Q1025)</f>
        <v/>
      </c>
      <c r="D1025" s="19" t="n">
        <v>2</v>
      </c>
      <c r="E1025" s="20" t="n">
        <v>46181</v>
      </c>
      <c r="F1025" s="18" t="inlineStr">
        <is>
          <t>Doce de Leite 400g</t>
        </is>
      </c>
      <c r="G1025" s="18" t="inlineStr">
        <is>
          <t>DOCE</t>
        </is>
      </c>
      <c r="H1025" s="21" t="n">
        <v>0.4</v>
      </c>
      <c r="I1025" s="36" t="n">
        <v>24000</v>
      </c>
      <c r="J1025" s="21">
        <f>I1025*H1025</f>
        <v/>
      </c>
      <c r="K1025" s="21">
        <f>IFERROR(IF(J1025/P1025&gt;1,P1025,J1025),0)</f>
        <v/>
      </c>
      <c r="L1025" s="36" t="n">
        <v>24569</v>
      </c>
      <c r="M1025" s="21">
        <f>L1025*H1025</f>
        <v/>
      </c>
      <c r="N1025" s="21">
        <f>IFERROR(IF(M1025/K1025&gt;1,K1025,M1025),0)</f>
        <v/>
      </c>
      <c r="O1025" s="36" t="n">
        <v>24000</v>
      </c>
      <c r="P1025" s="21">
        <f>O1025*H1025</f>
        <v/>
      </c>
      <c r="Q1025" s="30">
        <f>IF(MONTH(E1025+1)=MONTH(E1025+6),MONTH(E1025+1),IF(MIN(EOMONTH(E1025+1,0),E1025+6)-(E1025+1)+1&gt;=3,MONTH(E1025+1),MONTH(E1025+6)))</f>
        <v/>
      </c>
      <c r="R1025" s="22">
        <f>IFERROR(K1025/P1025, 0)</f>
        <v/>
      </c>
      <c r="S1025" s="38">
        <f>IFERROR(N1025/P1025,0)</f>
        <v/>
      </c>
      <c r="T1025" s="31">
        <f>IFERROR(IF(N1025&gt;0,(N1025/K1025),MIN(1,M1025/J1025)),0)</f>
        <v/>
      </c>
      <c r="U1025" s="33" t="inlineStr">
        <is>
          <t>Houve problemas no envase do requeijão 200 g, sendo necessário aumentar a produção da embalagem de 400 g e reduzir a de    200 g no dia em questão.</t>
        </is>
      </c>
    </row>
    <row r="1026" hidden="1" s="40">
      <c r="A1026" s="23" t="inlineStr">
        <is>
          <t>Semana 2 - Junho</t>
        </is>
      </c>
      <c r="B1026" s="27">
        <f>YEAR(E1026)</f>
        <v/>
      </c>
      <c r="C1026" s="18">
        <f>INDEX({"Janeiro";"Fevereiro";"Março";"Abril";"Maio";"Junho";"Julho";"Agosto";"Setembro";"Outubro";"Novembro";"Dezembro"},Q1026)</f>
        <v/>
      </c>
      <c r="D1026" s="24" t="n">
        <v>2</v>
      </c>
      <c r="E1026" s="25" t="n">
        <v>46181</v>
      </c>
      <c r="F1026" s="23" t="inlineStr">
        <is>
          <t>Doce de Leite 5kg</t>
        </is>
      </c>
      <c r="G1026" s="23" t="inlineStr">
        <is>
          <t>DOCE</t>
        </is>
      </c>
      <c r="H1026" s="26" t="n">
        <v>5</v>
      </c>
      <c r="I1026" s="36" t="n">
        <v>2790</v>
      </c>
      <c r="J1026" s="21">
        <f>I1026*H1026</f>
        <v/>
      </c>
      <c r="K1026" s="21">
        <f>IFERROR(IF(J1026/P1026&gt;1,P1026,J1026),0)</f>
        <v/>
      </c>
      <c r="L1026" s="36" t="n">
        <v>2967</v>
      </c>
      <c r="M1026" s="21">
        <f>L1026*H1026</f>
        <v/>
      </c>
      <c r="N1026" s="21">
        <f>IFERROR(IF(M1026/K1026&gt;1,K1026,M1026),0)</f>
        <v/>
      </c>
      <c r="O1026" s="36" t="n">
        <v>2325</v>
      </c>
      <c r="P1026" s="21">
        <f>O1026*H1026</f>
        <v/>
      </c>
      <c r="Q1026" s="30">
        <f>IF(MONTH(E1026+1)=MONTH(E1026+6),MONTH(E1026+1),IF(MIN(EOMONTH(E1026+1,0),E1026+6)-(E1026+1)+1&gt;=3,MONTH(E1026+1),MONTH(E1026+6)))</f>
        <v/>
      </c>
      <c r="R1026" s="22">
        <f>IFERROR(K1026/P1026, 0)</f>
        <v/>
      </c>
      <c r="S1026" s="38">
        <f>IFERROR(N1026/P1026,0)</f>
        <v/>
      </c>
      <c r="T1026" s="31">
        <f>IFERROR(IF(N1026&gt;0,(N1026/K1026),MIN(1,M1026/J1026)),0)</f>
        <v/>
      </c>
      <c r="U1026" s="33" t="inlineStr">
        <is>
          <t>Doce forneável sem produção por falta de pectina. Atraso na entrega.</t>
        </is>
      </c>
    </row>
    <row r="1027" hidden="1" s="40">
      <c r="A1027" s="18" t="inlineStr">
        <is>
          <t>Semana 2 - Junho</t>
        </is>
      </c>
      <c r="B1027" s="27">
        <f>YEAR(E1027)</f>
        <v/>
      </c>
      <c r="C1027" s="18">
        <f>INDEX({"Janeiro";"Fevereiro";"Março";"Abril";"Maio";"Junho";"Julho";"Agosto";"Setembro";"Outubro";"Novembro";"Dezembro"},Q1027)</f>
        <v/>
      </c>
      <c r="D1027" s="19" t="n">
        <v>2</v>
      </c>
      <c r="E1027" s="20" t="n">
        <v>46181</v>
      </c>
      <c r="F1027" s="18" t="inlineStr">
        <is>
          <t>Doce de Leite 5kg - Bombeável</t>
        </is>
      </c>
      <c r="G1027" s="18" t="inlineStr">
        <is>
          <t>DOCE</t>
        </is>
      </c>
      <c r="H1027" s="21" t="n">
        <v>5</v>
      </c>
      <c r="I1027" s="36" t="n">
        <v>0</v>
      </c>
      <c r="J1027" s="21">
        <f>I1027*H1027</f>
        <v/>
      </c>
      <c r="K1027" s="21">
        <f>IFERROR(IF(J1027/P1027&gt;1,P1027,J1027),0)</f>
        <v/>
      </c>
      <c r="L1027" s="36" t="n">
        <v>0</v>
      </c>
      <c r="M1027" s="21">
        <f>L1027*H1027</f>
        <v/>
      </c>
      <c r="N1027" s="21">
        <f>IFERROR(IF(M1027/K1027&gt;1,K1027,M1027),0)</f>
        <v/>
      </c>
      <c r="O1027" s="36" t="n">
        <v>0</v>
      </c>
      <c r="P1027" s="21">
        <f>O1027*H1027</f>
        <v/>
      </c>
      <c r="Q1027" s="30">
        <f>IF(MONTH(E1027+1)=MONTH(E1027+6),MONTH(E1027+1),IF(MIN(EOMONTH(E1027+1,0),E1027+6)-(E1027+1)+1&gt;=3,MONTH(E1027+1),MONTH(E1027+6)))</f>
        <v/>
      </c>
      <c r="R1027" s="22">
        <f>IFERROR(K1027/P1027, 0)</f>
        <v/>
      </c>
      <c r="S1027" s="38">
        <f>IFERROR(N1027/P1027,0)</f>
        <v/>
      </c>
      <c r="T1027" s="31">
        <f>IFERROR(IF(N1027&gt;0,(N1027/K1027),MIN(1,M1027/J1027)),0)</f>
        <v/>
      </c>
      <c r="U1027" s="33" t="n"/>
    </row>
    <row r="1028" hidden="1" s="40">
      <c r="A1028" s="23" t="inlineStr">
        <is>
          <t>Semana 2 - Junho</t>
        </is>
      </c>
      <c r="B1028" s="27">
        <f>YEAR(E1028)</f>
        <v/>
      </c>
      <c r="C1028" s="18">
        <f>INDEX({"Janeiro";"Fevereiro";"Março";"Abril";"Maio";"Junho";"Julho";"Agosto";"Setembro";"Outubro";"Novembro";"Dezembro"},Q1028)</f>
        <v/>
      </c>
      <c r="D1028" s="24" t="n">
        <v>2</v>
      </c>
      <c r="E1028" s="25" t="n">
        <v>46181</v>
      </c>
      <c r="F1028" s="23" t="inlineStr">
        <is>
          <t>Doce de Leite 5kg - Forneável</t>
        </is>
      </c>
      <c r="G1028" s="23" t="inlineStr">
        <is>
          <t>DOCE</t>
        </is>
      </c>
      <c r="H1028" s="26" t="n">
        <v>5</v>
      </c>
      <c r="I1028" s="36" t="n">
        <v>0</v>
      </c>
      <c r="J1028" s="21">
        <f>I1028*H1028</f>
        <v/>
      </c>
      <c r="K1028" s="21">
        <f>IFERROR(IF(J1028/P1028&gt;1,P1028,J1028),0)</f>
        <v/>
      </c>
      <c r="L1028" s="36" t="n">
        <v>0</v>
      </c>
      <c r="M1028" s="21">
        <f>L1028*H1028</f>
        <v/>
      </c>
      <c r="N1028" s="21">
        <f>IFERROR(IF(M1028/K1028&gt;1,K1028,M1028),0)</f>
        <v/>
      </c>
      <c r="O1028" s="36" t="n">
        <v>320</v>
      </c>
      <c r="P1028" s="21">
        <f>O1028*H1028</f>
        <v/>
      </c>
      <c r="Q1028" s="30">
        <f>IF(MONTH(E1028+1)=MONTH(E1028+6),MONTH(E1028+1),IF(MIN(EOMONTH(E1028+1,0),E1028+6)-(E1028+1)+1&gt;=3,MONTH(E1028+1),MONTH(E1028+6)))</f>
        <v/>
      </c>
      <c r="R1028" s="22">
        <f>IFERROR(K1028/P1028, 0)</f>
        <v/>
      </c>
      <c r="S1028" s="38">
        <f>IFERROR(N1028/P1028,0)</f>
        <v/>
      </c>
      <c r="T1028" s="31">
        <f>IFERROR(IF(N1028&gt;0,(N1028/K1028),MIN(1,M1028/J1028)),0)</f>
        <v/>
      </c>
      <c r="U1028" s="33" t="n"/>
    </row>
    <row r="1029" hidden="1" s="40">
      <c r="A1029" s="18" t="inlineStr">
        <is>
          <t>Semana 2 - Junho</t>
        </is>
      </c>
      <c r="B1029" s="27">
        <f>YEAR(E1029)</f>
        <v/>
      </c>
      <c r="C1029" s="18">
        <f>INDEX({"Janeiro";"Fevereiro";"Março";"Abril";"Maio";"Junho";"Julho";"Agosto";"Setembro";"Outubro";"Novembro";"Dezembro"},Q1029)</f>
        <v/>
      </c>
      <c r="D1029" s="19" t="n">
        <v>2</v>
      </c>
      <c r="E1029" s="20" t="n">
        <v>46181</v>
      </c>
      <c r="F1029" s="18" t="inlineStr">
        <is>
          <t>Doce de Leite 800g</t>
        </is>
      </c>
      <c r="G1029" s="18" t="inlineStr">
        <is>
          <t>DOCE</t>
        </is>
      </c>
      <c r="H1029" s="21" t="n">
        <v>0.8</v>
      </c>
      <c r="I1029" s="36" t="n">
        <v>15000</v>
      </c>
      <c r="J1029" s="21">
        <f>I1029*H1029</f>
        <v/>
      </c>
      <c r="K1029" s="21">
        <f>IFERROR(IF(J1029/P1029&gt;1,P1029,J1029),0)</f>
        <v/>
      </c>
      <c r="L1029" s="36" t="n">
        <v>9752</v>
      </c>
      <c r="M1029" s="21">
        <f>L1029*H1029</f>
        <v/>
      </c>
      <c r="N1029" s="21">
        <f>IFERROR(IF(M1029/K1029&gt;1,K1029,M1029),0)</f>
        <v/>
      </c>
      <c r="O1029" s="36" t="n">
        <v>18000</v>
      </c>
      <c r="P1029" s="21">
        <f>O1029*H1029</f>
        <v/>
      </c>
      <c r="Q1029" s="30">
        <f>IF(MONTH(E1029+1)=MONTH(E1029+6),MONTH(E1029+1),IF(MIN(EOMONTH(E1029+1,0),E1029+6)-(E1029+1)+1&gt;=3,MONTH(E1029+1),MONTH(E1029+6)))</f>
        <v/>
      </c>
      <c r="R1029" s="22">
        <f>IFERROR(K1029/P1029, 0)</f>
        <v/>
      </c>
      <c r="S1029" s="38">
        <f>IFERROR(N1029/P1029,0)</f>
        <v/>
      </c>
      <c r="T1029" s="31">
        <f>IFERROR(IF(N1029&gt;0,(N1029/K1029),MIN(1,M1029/J1029)),0)</f>
        <v/>
      </c>
      <c r="U1029" s="33" t="n"/>
    </row>
    <row r="1030" hidden="1" s="40">
      <c r="A1030" s="23" t="inlineStr">
        <is>
          <t>Semana 2 - Junho</t>
        </is>
      </c>
      <c r="B1030" s="27">
        <f>YEAR(E1030)</f>
        <v/>
      </c>
      <c r="C1030" s="18">
        <f>INDEX({"Janeiro";"Fevereiro";"Março";"Abril";"Maio";"Junho";"Julho";"Agosto";"Setembro";"Outubro";"Novembro";"Dezembro"},Q1030)</f>
        <v/>
      </c>
      <c r="D1030" s="24" t="n">
        <v>2</v>
      </c>
      <c r="E1030" s="25" t="n">
        <v>46181</v>
      </c>
      <c r="F1030" s="23" t="inlineStr">
        <is>
          <t>Doce de Leite c/ Café 400</t>
        </is>
      </c>
      <c r="G1030" s="23" t="inlineStr">
        <is>
          <t>DOCE</t>
        </is>
      </c>
      <c r="H1030" s="26" t="n">
        <v>0.4</v>
      </c>
      <c r="I1030" s="36" t="n">
        <v>0</v>
      </c>
      <c r="J1030" s="21">
        <f>I1030*H1030</f>
        <v/>
      </c>
      <c r="K1030" s="21">
        <f>IFERROR(IF(J1030/P1030&gt;1,P1030,J1030),0)</f>
        <v/>
      </c>
      <c r="L1030" s="36" t="n">
        <v>0</v>
      </c>
      <c r="M1030" s="21">
        <f>L1030*H1030</f>
        <v/>
      </c>
      <c r="N1030" s="21">
        <f>IFERROR(IF(M1030/K1030&gt;1,K1030,M1030),0)</f>
        <v/>
      </c>
      <c r="O1030" s="36" t="n">
        <v>0</v>
      </c>
      <c r="P1030" s="21">
        <f>O1030*H1030</f>
        <v/>
      </c>
      <c r="Q1030" s="30">
        <f>IF(MONTH(E1030+1)=MONTH(E1030+6),MONTH(E1030+1),IF(MIN(EOMONTH(E1030+1,0),E1030+6)-(E1030+1)+1&gt;=3,MONTH(E1030+1),MONTH(E1030+6)))</f>
        <v/>
      </c>
      <c r="R1030" s="22">
        <f>IFERROR(K1030/P1030, 0)</f>
        <v/>
      </c>
      <c r="S1030" s="38">
        <f>IFERROR(N1030/P1030,0)</f>
        <v/>
      </c>
      <c r="T1030" s="31">
        <f>IFERROR(IF(N1030&gt;0,(N1030/K1030),MIN(1,M1030/J1030)),0)</f>
        <v/>
      </c>
      <c r="U1030" s="33" t="n"/>
    </row>
    <row r="1031" hidden="1" s="40">
      <c r="A1031" s="18" t="inlineStr">
        <is>
          <t>Semana 2 - Junho</t>
        </is>
      </c>
      <c r="B1031" s="27">
        <f>YEAR(E1031)</f>
        <v/>
      </c>
      <c r="C1031" s="18">
        <f>INDEX({"Janeiro";"Fevereiro";"Março";"Abril";"Maio";"Junho";"Julho";"Agosto";"Setembro";"Outubro";"Novembro";"Dezembro"},Q1031)</f>
        <v/>
      </c>
      <c r="D1031" s="19" t="n">
        <v>2</v>
      </c>
      <c r="E1031" s="20" t="n">
        <v>46181</v>
      </c>
      <c r="F1031" s="18" t="inlineStr">
        <is>
          <t>Doce de Leite c/ Café 5kg</t>
        </is>
      </c>
      <c r="G1031" s="18" t="inlineStr">
        <is>
          <t>DOCE</t>
        </is>
      </c>
      <c r="H1031" s="21" t="n">
        <v>5</v>
      </c>
      <c r="I1031" s="36" t="n">
        <v>0</v>
      </c>
      <c r="J1031" s="21">
        <f>I1031*H1031</f>
        <v/>
      </c>
      <c r="K1031" s="21">
        <f>IFERROR(IF(J1031/P1031&gt;1,P1031,J1031),0)</f>
        <v/>
      </c>
      <c r="L1031" s="36" t="n">
        <v>0</v>
      </c>
      <c r="M1031" s="21">
        <f>L1031*H1031</f>
        <v/>
      </c>
      <c r="N1031" s="21">
        <f>IFERROR(IF(M1031/K1031&gt;1,K1031,M1031),0)</f>
        <v/>
      </c>
      <c r="O1031" s="36" t="n">
        <v>0</v>
      </c>
      <c r="P1031" s="21">
        <f>O1031*H1031</f>
        <v/>
      </c>
      <c r="Q1031" s="30">
        <f>IF(MONTH(E1031+1)=MONTH(E1031+6),MONTH(E1031+1),IF(MIN(EOMONTH(E1031+1,0),E1031+6)-(E1031+1)+1&gt;=3,MONTH(E1031+1),MONTH(E1031+6)))</f>
        <v/>
      </c>
      <c r="R1031" s="22">
        <f>IFERROR(K1031/P1031, 0)</f>
        <v/>
      </c>
      <c r="S1031" s="38">
        <f>IFERROR(N1031/P1031,0)</f>
        <v/>
      </c>
      <c r="T1031" s="31">
        <f>IFERROR(IF(N1031&gt;0,(N1031/K1031),MIN(1,M1031/J1031)),0)</f>
        <v/>
      </c>
      <c r="U1031" s="33" t="n"/>
    </row>
    <row r="1032" hidden="1" s="40">
      <c r="A1032" s="23" t="inlineStr">
        <is>
          <t>Semana 2 - Junho</t>
        </is>
      </c>
      <c r="B1032" s="27">
        <f>YEAR(E1032)</f>
        <v/>
      </c>
      <c r="C1032" s="18">
        <f>INDEX({"Janeiro";"Fevereiro";"Março";"Abril";"Maio";"Junho";"Julho";"Agosto";"Setembro";"Outubro";"Novembro";"Dezembro"},Q1032)</f>
        <v/>
      </c>
      <c r="D1032" s="24" t="n">
        <v>2</v>
      </c>
      <c r="E1032" s="25" t="n">
        <v>46181</v>
      </c>
      <c r="F1032" s="23" t="inlineStr">
        <is>
          <t>Doce de Leite c/ coco 400</t>
        </is>
      </c>
      <c r="G1032" s="23" t="inlineStr">
        <is>
          <t>DOCE</t>
        </is>
      </c>
      <c r="H1032" s="26" t="n">
        <v>0.4</v>
      </c>
      <c r="I1032" s="36" t="n">
        <v>0</v>
      </c>
      <c r="J1032" s="21">
        <f>I1032*H1032</f>
        <v/>
      </c>
      <c r="K1032" s="21">
        <f>IFERROR(IF(J1032/P1032&gt;1,P1032,J1032),0)</f>
        <v/>
      </c>
      <c r="L1032" s="36" t="n">
        <v>0</v>
      </c>
      <c r="M1032" s="21">
        <f>L1032*H1032</f>
        <v/>
      </c>
      <c r="N1032" s="21">
        <f>IFERROR(IF(M1032/K1032&gt;1,K1032,M1032),0)</f>
        <v/>
      </c>
      <c r="O1032" s="36" t="n">
        <v>0</v>
      </c>
      <c r="P1032" s="21">
        <f>O1032*H1032</f>
        <v/>
      </c>
      <c r="Q1032" s="30">
        <f>IF(MONTH(E1032+1)=MONTH(E1032+6),MONTH(E1032+1),IF(MIN(EOMONTH(E1032+1,0),E1032+6)-(E1032+1)+1&gt;=3,MONTH(E1032+1),MONTH(E1032+6)))</f>
        <v/>
      </c>
      <c r="R1032" s="22">
        <f>IFERROR(K1032/P1032, 0)</f>
        <v/>
      </c>
      <c r="S1032" s="38">
        <f>IFERROR(N1032/P1032,0)</f>
        <v/>
      </c>
      <c r="T1032" s="31">
        <f>IFERROR(IF(N1032&gt;0,(N1032/K1032),MIN(1,M1032/J1032)),0)</f>
        <v/>
      </c>
      <c r="U1032" s="33" t="n"/>
    </row>
    <row r="1033" hidden="1" s="40">
      <c r="A1033" s="23" t="inlineStr">
        <is>
          <t>Semana 2 - Junho</t>
        </is>
      </c>
      <c r="B1033" s="27">
        <f>YEAR(E1033)</f>
        <v/>
      </c>
      <c r="C1033" s="18">
        <f>INDEX({"Janeiro";"Fevereiro";"Março";"Abril";"Maio";"Junho";"Julho";"Agosto";"Setembro";"Outubro";"Novembro";"Dezembro"},Q1033)</f>
        <v/>
      </c>
      <c r="D1033" s="24" t="n">
        <v>2</v>
      </c>
      <c r="E1033" s="25" t="n">
        <v>46181</v>
      </c>
      <c r="F1033" s="23" t="inlineStr">
        <is>
          <t>Doce de Leite Cacau 400g</t>
        </is>
      </c>
      <c r="G1033" s="23" t="inlineStr">
        <is>
          <t>DOCE</t>
        </is>
      </c>
      <c r="H1033" s="26" t="n">
        <v>0.4</v>
      </c>
      <c r="I1033" s="36" t="n">
        <v>0</v>
      </c>
      <c r="J1033" s="21">
        <f>I1033*H1033</f>
        <v/>
      </c>
      <c r="K1033" s="21">
        <f>IFERROR(IF(J1033/P1033&gt;1,P1033,J1033),0)</f>
        <v/>
      </c>
      <c r="L1033" s="36" t="n">
        <v>0</v>
      </c>
      <c r="M1033" s="21">
        <f>L1033*H1033</f>
        <v/>
      </c>
      <c r="N1033" s="21">
        <f>IFERROR(IF(M1033/K1033&gt;1,K1033,M1033),0)</f>
        <v/>
      </c>
      <c r="O1033" s="36" t="n">
        <v>0</v>
      </c>
      <c r="P1033" s="21">
        <f>O1033*H1033</f>
        <v/>
      </c>
      <c r="Q1033" s="30">
        <f>IF(MONTH(E1033+1)=MONTH(E1033+6),MONTH(E1033+1),IF(MIN(EOMONTH(E1033+1,0),E1033+6)-(E1033+1)+1&gt;=3,MONTH(E1033+1),MONTH(E1033+6)))</f>
        <v/>
      </c>
      <c r="R1033" s="22">
        <f>IFERROR(K1033/P1033, 0)</f>
        <v/>
      </c>
      <c r="S1033" s="38">
        <f>IFERROR(N1033/P1033,0)</f>
        <v/>
      </c>
      <c r="T1033" s="31">
        <f>IFERROR(IF(N1033&gt;0,(N1033/K1033),MIN(1,M1033/J1033)),0)</f>
        <v/>
      </c>
      <c r="U1033" s="33" t="n"/>
    </row>
    <row r="1034" hidden="1" s="40">
      <c r="A1034" s="18" t="inlineStr">
        <is>
          <t>Semana 2 - Junho</t>
        </is>
      </c>
      <c r="B1034" s="27">
        <f>YEAR(E1034)</f>
        <v/>
      </c>
      <c r="C1034" s="18">
        <f>INDEX({"Janeiro";"Fevereiro";"Março";"Abril";"Maio";"Junho";"Julho";"Agosto";"Setembro";"Outubro";"Novembro";"Dezembro"},Q1034)</f>
        <v/>
      </c>
      <c r="D1034" s="19" t="n">
        <v>2</v>
      </c>
      <c r="E1034" s="20" t="n">
        <v>46181</v>
      </c>
      <c r="F1034" s="18" t="inlineStr">
        <is>
          <t>Doce de Leite Cacau 5kg - Bombeável</t>
        </is>
      </c>
      <c r="G1034" s="18" t="inlineStr">
        <is>
          <t>DOCE</t>
        </is>
      </c>
      <c r="H1034" s="21" t="n">
        <v>5</v>
      </c>
      <c r="I1034" s="36" t="n">
        <v>0</v>
      </c>
      <c r="J1034" s="21">
        <f>I1034*H1034</f>
        <v/>
      </c>
      <c r="K1034" s="21">
        <f>IFERROR(IF(J1034/P1034&gt;1,P1034,J1034),0)</f>
        <v/>
      </c>
      <c r="L1034" s="36" t="n">
        <v>0</v>
      </c>
      <c r="M1034" s="21">
        <f>L1034*H1034</f>
        <v/>
      </c>
      <c r="N1034" s="21">
        <f>IFERROR(IF(M1034/K1034&gt;1,K1034,M1034),0)</f>
        <v/>
      </c>
      <c r="O1034" s="36" t="n">
        <v>0</v>
      </c>
      <c r="P1034" s="21">
        <f>O1034*H1034</f>
        <v/>
      </c>
      <c r="Q1034" s="30">
        <f>IF(MONTH(E1034+1)=MONTH(E1034+6),MONTH(E1034+1),IF(MIN(EOMONTH(E1034+1,0),E1034+6)-(E1034+1)+1&gt;=3,MONTH(E1034+1),MONTH(E1034+6)))</f>
        <v/>
      </c>
      <c r="R1034" s="22">
        <f>IFERROR(K1034/P1034, 0)</f>
        <v/>
      </c>
      <c r="S1034" s="38">
        <f>IFERROR(N1034/P1034,0)</f>
        <v/>
      </c>
      <c r="T1034" s="31">
        <f>IFERROR(IF(N1034&gt;0,(N1034/K1034),MIN(1,M1034/J1034)),0)</f>
        <v/>
      </c>
      <c r="U1034" s="33" t="n"/>
    </row>
    <row r="1035" hidden="1" s="40">
      <c r="A1035" s="23" t="inlineStr">
        <is>
          <t>Semana 2 - Junho</t>
        </is>
      </c>
      <c r="B1035" s="27">
        <f>YEAR(E1035)</f>
        <v/>
      </c>
      <c r="C1035" s="18">
        <f>INDEX({"Janeiro";"Fevereiro";"Março";"Abril";"Maio";"Junho";"Julho";"Agosto";"Setembro";"Outubro";"Novembro";"Dezembro"},Q1035)</f>
        <v/>
      </c>
      <c r="D1035" s="24" t="n">
        <v>2</v>
      </c>
      <c r="E1035" s="25" t="n">
        <v>46181</v>
      </c>
      <c r="F1035" s="23" t="inlineStr">
        <is>
          <t>Doce de Leite Cacau 5kg - FOOD</t>
        </is>
      </c>
      <c r="G1035" s="23" t="inlineStr">
        <is>
          <t>DOCE</t>
        </is>
      </c>
      <c r="H1035" s="26" t="n">
        <v>5</v>
      </c>
      <c r="I1035" s="36" t="n">
        <v>465</v>
      </c>
      <c r="J1035" s="21">
        <f>I1035*H1035</f>
        <v/>
      </c>
      <c r="K1035" s="21">
        <f>IFERROR(IF(J1035/P1035&gt;1,P1035,J1035),0)</f>
        <v/>
      </c>
      <c r="L1035" s="36" t="n">
        <v>515</v>
      </c>
      <c r="M1035" s="21">
        <f>L1035*H1035</f>
        <v/>
      </c>
      <c r="N1035" s="21">
        <f>IFERROR(IF(M1035/K1035&gt;1,K1035,M1035),0)</f>
        <v/>
      </c>
      <c r="O1035" s="36" t="n">
        <v>0</v>
      </c>
      <c r="P1035" s="21">
        <f>O1035*H1035</f>
        <v/>
      </c>
      <c r="Q1035" s="30">
        <f>IF(MONTH(E1035+1)=MONTH(E1035+6),MONTH(E1035+1),IF(MIN(EOMONTH(E1035+1,0),E1035+6)-(E1035+1)+1&gt;=3,MONTH(E1035+1),MONTH(E1035+6)))</f>
        <v/>
      </c>
      <c r="R1035" s="22">
        <f>IFERROR(K1035/P1035, 0)</f>
        <v/>
      </c>
      <c r="S1035" s="38">
        <f>IFERROR(N1035/P1035,0)</f>
        <v/>
      </c>
      <c r="T1035" s="31">
        <f>IFERROR(IF(N1035&gt;0,(N1035/K1035),MIN(1,M1035/J1035)),0)</f>
        <v/>
      </c>
      <c r="U1035" s="33" t="n"/>
    </row>
    <row r="1036" hidden="1" s="40">
      <c r="A1036" s="18" t="inlineStr">
        <is>
          <t>Semana 2 - Junho</t>
        </is>
      </c>
      <c r="B1036" s="27">
        <f>YEAR(E1036)</f>
        <v/>
      </c>
      <c r="C1036" s="18">
        <f>INDEX({"Janeiro";"Fevereiro";"Março";"Abril";"Maio";"Junho";"Julho";"Agosto";"Setembro";"Outubro";"Novembro";"Dezembro"},Q1036)</f>
        <v/>
      </c>
      <c r="D1036" s="19" t="n">
        <v>2</v>
      </c>
      <c r="E1036" s="20" t="n">
        <v>46181</v>
      </c>
      <c r="F1036" s="18" t="inlineStr">
        <is>
          <t>Doce de Leite Zero Açúcar e Lactose 400g</t>
        </is>
      </c>
      <c r="G1036" s="18" t="inlineStr">
        <is>
          <t>DOCE</t>
        </is>
      </c>
      <c r="H1036" s="21" t="n">
        <v>0.4</v>
      </c>
      <c r="I1036" s="36" t="n">
        <v>30000</v>
      </c>
      <c r="J1036" s="21">
        <f>I1036*H1036</f>
        <v/>
      </c>
      <c r="K1036" s="21">
        <f>IFERROR(IF(J1036/P1036&gt;1,P1036,J1036),0)</f>
        <v/>
      </c>
      <c r="L1036" s="36" t="n">
        <v>19621</v>
      </c>
      <c r="M1036" s="21">
        <f>L1036*H1036</f>
        <v/>
      </c>
      <c r="N1036" s="21">
        <f>IFERROR(IF(M1036/K1036&gt;1,K1036,M1036),0)</f>
        <v/>
      </c>
      <c r="O1036" s="36" t="n">
        <v>36000</v>
      </c>
      <c r="P1036" s="21">
        <f>O1036*H1036</f>
        <v/>
      </c>
      <c r="Q1036" s="30">
        <f>IF(MONTH(E1036+1)=MONTH(E1036+6),MONTH(E1036+1),IF(MIN(EOMONTH(E1036+1,0),E1036+6)-(E1036+1)+1&gt;=3,MONTH(E1036+1),MONTH(E1036+6)))</f>
        <v/>
      </c>
      <c r="R1036" s="22">
        <f>IFERROR(K1036/P1036, 0)</f>
        <v/>
      </c>
      <c r="S1036" s="38">
        <f>IFERROR(N1036/P1036,0)</f>
        <v/>
      </c>
      <c r="T1036" s="31">
        <f>IFERROR(IF(N1036&gt;0,(N1036/K1036),MIN(1,M1036/J1036)),0)</f>
        <v/>
      </c>
      <c r="U1036" s="33" t="n"/>
    </row>
    <row r="1037" hidden="1" s="40">
      <c r="A1037" s="23" t="inlineStr">
        <is>
          <t>Semana 2 - Junho</t>
        </is>
      </c>
      <c r="B1037" s="27">
        <f>YEAR(E1037)</f>
        <v/>
      </c>
      <c r="C1037" s="18">
        <f>INDEX({"Janeiro";"Fevereiro";"Março";"Abril";"Maio";"Junho";"Julho";"Agosto";"Setembro";"Outubro";"Novembro";"Dezembro"},Q1037)</f>
        <v/>
      </c>
      <c r="D1037" s="24" t="n">
        <v>2</v>
      </c>
      <c r="E1037" s="25" t="n">
        <v>46181</v>
      </c>
      <c r="F1037" s="23" t="inlineStr">
        <is>
          <t>Iogurte Abacaxi c/ Coco 120g</t>
        </is>
      </c>
      <c r="G1037" s="23" t="inlineStr">
        <is>
          <t>IOGURTE</t>
        </is>
      </c>
      <c r="H1037" s="26" t="n">
        <v>0.12</v>
      </c>
      <c r="I1037" s="36" t="n">
        <v>2000</v>
      </c>
      <c r="J1037" s="21">
        <f>I1037*H1037</f>
        <v/>
      </c>
      <c r="K1037" s="21">
        <f>IFERROR(IF(J1037/P1037&gt;1,P1037,J1037),0)</f>
        <v/>
      </c>
      <c r="L1037" s="36" t="n">
        <v>2207</v>
      </c>
      <c r="M1037" s="21">
        <f>L1037*H1037</f>
        <v/>
      </c>
      <c r="N1037" s="21">
        <f>IFERROR(IF(M1037/K1037&gt;1,K1037,M1037),0)</f>
        <v/>
      </c>
      <c r="O1037" s="36" t="n">
        <v>2000</v>
      </c>
      <c r="P1037" s="21">
        <f>O1037*H1037</f>
        <v/>
      </c>
      <c r="Q1037" s="30">
        <f>IF(MONTH(E1037+1)=MONTH(E1037+6),MONTH(E1037+1),IF(MIN(EOMONTH(E1037+1,0),E1037+6)-(E1037+1)+1&gt;=3,MONTH(E1037+1),MONTH(E1037+6)))</f>
        <v/>
      </c>
      <c r="R1037" s="22">
        <f>IFERROR(K1037/P1037, 0)</f>
        <v/>
      </c>
      <c r="S1037" s="38">
        <f>IFERROR(N1037/P1037,0)</f>
        <v/>
      </c>
      <c r="T1037" s="31">
        <f>IFERROR(IF(N1037&gt;0,(N1037/K1037),MIN(1,M1037/J1037)),0)</f>
        <v/>
      </c>
      <c r="U1037" s="33" t="n"/>
    </row>
    <row r="1038" hidden="1" s="40">
      <c r="A1038" s="18" t="inlineStr">
        <is>
          <t>Semana 2 - Junho</t>
        </is>
      </c>
      <c r="B1038" s="27">
        <f>YEAR(E1038)</f>
        <v/>
      </c>
      <c r="C1038" s="18">
        <f>INDEX({"Janeiro";"Fevereiro";"Março";"Abril";"Maio";"Junho";"Julho";"Agosto";"Setembro";"Outubro";"Novembro";"Dezembro"},Q1038)</f>
        <v/>
      </c>
      <c r="D1038" s="19" t="n">
        <v>2</v>
      </c>
      <c r="E1038" s="20" t="n">
        <v>46181</v>
      </c>
      <c r="F1038" s="18" t="inlineStr">
        <is>
          <t>Iogurte Abacaxi c/ Coco 185g</t>
        </is>
      </c>
      <c r="G1038" s="18" t="inlineStr">
        <is>
          <t>IOGURTE</t>
        </is>
      </c>
      <c r="H1038" s="21" t="n">
        <v>0.185</v>
      </c>
      <c r="I1038" s="36" t="n">
        <v>520</v>
      </c>
      <c r="J1038" s="21">
        <f>I1038*H1038</f>
        <v/>
      </c>
      <c r="K1038" s="21">
        <f>IFERROR(IF(J1038/P1038&gt;1,P1038,J1038),0)</f>
        <v/>
      </c>
      <c r="L1038" s="36" t="n">
        <v>492</v>
      </c>
      <c r="M1038" s="21">
        <f>L1038*H1038</f>
        <v/>
      </c>
      <c r="N1038" s="21">
        <f>IFERROR(IF(M1038/K1038&gt;1,K1038,M1038),0)</f>
        <v/>
      </c>
      <c r="O1038" s="36" t="n">
        <v>520</v>
      </c>
      <c r="P1038" s="21">
        <f>O1038*H1038</f>
        <v/>
      </c>
      <c r="Q1038" s="30">
        <f>IF(MONTH(E1038+1)=MONTH(E1038+6),MONTH(E1038+1),IF(MIN(EOMONTH(E1038+1,0),E1038+6)-(E1038+1)+1&gt;=3,MONTH(E1038+1),MONTH(E1038+6)))</f>
        <v/>
      </c>
      <c r="R1038" s="22">
        <f>IFERROR(K1038/P1038, 0)</f>
        <v/>
      </c>
      <c r="S1038" s="38">
        <f>IFERROR(N1038/P1038,0)</f>
        <v/>
      </c>
      <c r="T1038" s="31">
        <f>IFERROR(IF(N1038&gt;0,(N1038/K1038),MIN(1,M1038/J1038)),0)</f>
        <v/>
      </c>
      <c r="U1038" s="33" t="n"/>
    </row>
    <row r="1039" hidden="1" s="40">
      <c r="A1039" s="23" t="inlineStr">
        <is>
          <t>Semana 2 - Junho</t>
        </is>
      </c>
      <c r="B1039" s="27">
        <f>YEAR(E1039)</f>
        <v/>
      </c>
      <c r="C1039" s="18">
        <f>INDEX({"Janeiro";"Fevereiro";"Março";"Abril";"Maio";"Junho";"Julho";"Agosto";"Setembro";"Outubro";"Novembro";"Dezembro"},Q1039)</f>
        <v/>
      </c>
      <c r="D1039" s="24" t="n">
        <v>2</v>
      </c>
      <c r="E1039" s="25" t="n">
        <v>46181</v>
      </c>
      <c r="F1039" s="23" t="inlineStr">
        <is>
          <t>Iogurte Abacaxi c/ Coco 900g</t>
        </is>
      </c>
      <c r="G1039" s="23" t="inlineStr">
        <is>
          <t>IOGURTE</t>
        </is>
      </c>
      <c r="H1039" s="26" t="n">
        <v>0.9</v>
      </c>
      <c r="I1039" s="36" t="n">
        <v>1200</v>
      </c>
      <c r="J1039" s="21">
        <f>I1039*H1039</f>
        <v/>
      </c>
      <c r="K1039" s="21">
        <f>IFERROR(IF(J1039/P1039&gt;1,P1039,J1039),0)</f>
        <v/>
      </c>
      <c r="L1039" s="36" t="n">
        <v>1023</v>
      </c>
      <c r="M1039" s="21">
        <f>L1039*H1039</f>
        <v/>
      </c>
      <c r="N1039" s="21">
        <f>IFERROR(IF(M1039/K1039&gt;1,K1039,M1039),0)</f>
        <v/>
      </c>
      <c r="O1039" s="36" t="n">
        <v>1800</v>
      </c>
      <c r="P1039" s="21">
        <f>O1039*H1039</f>
        <v/>
      </c>
      <c r="Q1039" s="30">
        <f>IF(MONTH(E1039+1)=MONTH(E1039+6),MONTH(E1039+1),IF(MIN(EOMONTH(E1039+1,0),E1039+6)-(E1039+1)+1&gt;=3,MONTH(E1039+1),MONTH(E1039+6)))</f>
        <v/>
      </c>
      <c r="R1039" s="22">
        <f>IFERROR(K1039/P1039, 0)</f>
        <v/>
      </c>
      <c r="S1039" s="38">
        <f>IFERROR(N1039/P1039,0)</f>
        <v/>
      </c>
      <c r="T1039" s="31">
        <f>IFERROR(IF(N1039&gt;0,(N1039/K1039),MIN(1,M1039/J1039)),0)</f>
        <v/>
      </c>
      <c r="U1039" s="33" t="n"/>
    </row>
    <row r="1040" hidden="1" s="40">
      <c r="A1040" s="23" t="inlineStr">
        <is>
          <t>Semana 2 - Junho</t>
        </is>
      </c>
      <c r="B1040" s="27">
        <f>YEAR(E1040)</f>
        <v/>
      </c>
      <c r="C1040" s="18">
        <f>INDEX({"Janeiro";"Fevereiro";"Março";"Abril";"Maio";"Junho";"Julho";"Agosto";"Setembro";"Outubro";"Novembro";"Dezembro"},Q1040)</f>
        <v/>
      </c>
      <c r="D1040" s="24" t="n">
        <v>2</v>
      </c>
      <c r="E1040" s="25" t="n">
        <v>46181</v>
      </c>
      <c r="F1040" s="23" t="inlineStr">
        <is>
          <t>Iogurte Coco 120g</t>
        </is>
      </c>
      <c r="G1040" s="23" t="inlineStr">
        <is>
          <t>IOGURTE</t>
        </is>
      </c>
      <c r="H1040" s="26" t="n">
        <v>0.12</v>
      </c>
      <c r="I1040" s="36" t="n">
        <v>3000</v>
      </c>
      <c r="J1040" s="21">
        <f>I1040*H1040</f>
        <v/>
      </c>
      <c r="K1040" s="21">
        <f>IFERROR(IF(J1040/P1040&gt;1,P1040,J1040),0)</f>
        <v/>
      </c>
      <c r="L1040" s="36" t="n">
        <v>3394</v>
      </c>
      <c r="M1040" s="21">
        <f>L1040*H1040</f>
        <v/>
      </c>
      <c r="N1040" s="21">
        <f>IFERROR(IF(M1040/K1040&gt;1,K1040,M1040),0)</f>
        <v/>
      </c>
      <c r="O1040" s="36" t="n">
        <v>2000</v>
      </c>
      <c r="P1040" s="21">
        <f>O1040*H1040</f>
        <v/>
      </c>
      <c r="Q1040" s="30">
        <f>IF(MONTH(E1040+1)=MONTH(E1040+6),MONTH(E1040+1),IF(MIN(EOMONTH(E1040+1,0),E1040+6)-(E1040+1)+1&gt;=3,MONTH(E1040+1),MONTH(E1040+6)))</f>
        <v/>
      </c>
      <c r="R1040" s="22">
        <f>IFERROR(K1040/P1040, 0)</f>
        <v/>
      </c>
      <c r="S1040" s="38">
        <f>IFERROR(N1040/P1040,0)</f>
        <v/>
      </c>
      <c r="T1040" s="31">
        <f>IFERROR(IF(N1040&gt;0,(N1040/K1040),MIN(1,M1040/J1040)),0)</f>
        <v/>
      </c>
      <c r="U1040" s="33" t="n"/>
    </row>
    <row r="1041" hidden="1" s="40">
      <c r="A1041" s="18" t="inlineStr">
        <is>
          <t>Semana 2 - Junho</t>
        </is>
      </c>
      <c r="B1041" s="27">
        <f>YEAR(E1041)</f>
        <v/>
      </c>
      <c r="C1041" s="18">
        <f>INDEX({"Janeiro";"Fevereiro";"Março";"Abril";"Maio";"Junho";"Julho";"Agosto";"Setembro";"Outubro";"Novembro";"Dezembro"},Q1041)</f>
        <v/>
      </c>
      <c r="D1041" s="19" t="n">
        <v>2</v>
      </c>
      <c r="E1041" s="20" t="n">
        <v>46181</v>
      </c>
      <c r="F1041" s="18" t="inlineStr">
        <is>
          <t>Iogurte Coco 185g</t>
        </is>
      </c>
      <c r="G1041" s="18" t="inlineStr">
        <is>
          <t>IOGURTE</t>
        </is>
      </c>
      <c r="H1041" s="21" t="n">
        <v>0.185</v>
      </c>
      <c r="I1041" s="36" t="n">
        <v>520</v>
      </c>
      <c r="J1041" s="21">
        <f>I1041*H1041</f>
        <v/>
      </c>
      <c r="K1041" s="21">
        <f>IFERROR(IF(J1041/P1041&gt;1,P1041,J1041),0)</f>
        <v/>
      </c>
      <c r="L1041" s="36" t="n">
        <v>517</v>
      </c>
      <c r="M1041" s="21">
        <f>L1041*H1041</f>
        <v/>
      </c>
      <c r="N1041" s="21">
        <f>IFERROR(IF(M1041/K1041&gt;1,K1041,M1041),0)</f>
        <v/>
      </c>
      <c r="O1041" s="36" t="n">
        <v>520</v>
      </c>
      <c r="P1041" s="21">
        <f>O1041*H1041</f>
        <v/>
      </c>
      <c r="Q1041" s="30">
        <f>IF(MONTH(E1041+1)=MONTH(E1041+6),MONTH(E1041+1),IF(MIN(EOMONTH(E1041+1,0),E1041+6)-(E1041+1)+1&gt;=3,MONTH(E1041+1),MONTH(E1041+6)))</f>
        <v/>
      </c>
      <c r="R1041" s="22">
        <f>IFERROR(K1041/P1041, 0)</f>
        <v/>
      </c>
      <c r="S1041" s="38">
        <f>IFERROR(N1041/P1041,0)</f>
        <v/>
      </c>
      <c r="T1041" s="31">
        <f>IFERROR(IF(N1041&gt;0,(N1041/K1041),MIN(1,M1041/J1041)),0)</f>
        <v/>
      </c>
      <c r="U1041" s="33" t="n"/>
    </row>
    <row r="1042" hidden="1" s="40">
      <c r="A1042" s="23" t="inlineStr">
        <is>
          <t>Semana 2 - Junho</t>
        </is>
      </c>
      <c r="B1042" s="27">
        <f>YEAR(E1042)</f>
        <v/>
      </c>
      <c r="C1042" s="18">
        <f>INDEX({"Janeiro";"Fevereiro";"Março";"Abril";"Maio";"Junho";"Julho";"Agosto";"Setembro";"Outubro";"Novembro";"Dezembro"},Q1042)</f>
        <v/>
      </c>
      <c r="D1042" s="24" t="n">
        <v>2</v>
      </c>
      <c r="E1042" s="25" t="n">
        <v>46181</v>
      </c>
      <c r="F1042" s="23" t="inlineStr">
        <is>
          <t>Iogurte Coco 900g</t>
        </is>
      </c>
      <c r="G1042" s="23" t="inlineStr">
        <is>
          <t>IOGURTE</t>
        </is>
      </c>
      <c r="H1042" s="26" t="n">
        <v>0.9</v>
      </c>
      <c r="I1042" s="36" t="n">
        <v>2160</v>
      </c>
      <c r="J1042" s="21">
        <f>I1042*H1042</f>
        <v/>
      </c>
      <c r="K1042" s="21">
        <f>IFERROR(IF(J1042/P1042&gt;1,P1042,J1042),0)</f>
        <v/>
      </c>
      <c r="L1042" s="36" t="n">
        <v>2099</v>
      </c>
      <c r="M1042" s="21">
        <f>L1042*H1042</f>
        <v/>
      </c>
      <c r="N1042" s="21">
        <f>IFERROR(IF(M1042/K1042&gt;1,K1042,M1042),0)</f>
        <v/>
      </c>
      <c r="O1042" s="36" t="n">
        <v>1600</v>
      </c>
      <c r="P1042" s="21">
        <f>O1042*H1042</f>
        <v/>
      </c>
      <c r="Q1042" s="30">
        <f>IF(MONTH(E1042+1)=MONTH(E1042+6),MONTH(E1042+1),IF(MIN(EOMONTH(E1042+1,0),E1042+6)-(E1042+1)+1&gt;=3,MONTH(E1042+1),MONTH(E1042+6)))</f>
        <v/>
      </c>
      <c r="R1042" s="22">
        <f>IFERROR(K1042/P1042, 0)</f>
        <v/>
      </c>
      <c r="S1042" s="38">
        <f>IFERROR(N1042/P1042,0)</f>
        <v/>
      </c>
      <c r="T1042" s="31">
        <f>IFERROR(IF(N1042&gt;0,(N1042/K1042),MIN(1,M1042/J1042)),0)</f>
        <v/>
      </c>
      <c r="U1042" s="33" t="n"/>
    </row>
    <row r="1043" hidden="1" s="40">
      <c r="A1043" s="18" t="inlineStr">
        <is>
          <t>Semana 2 - Junho</t>
        </is>
      </c>
      <c r="B1043" s="27">
        <f>YEAR(E1043)</f>
        <v/>
      </c>
      <c r="C1043" s="18">
        <f>INDEX({"Janeiro";"Fevereiro";"Março";"Abril";"Maio";"Junho";"Julho";"Agosto";"Setembro";"Outubro";"Novembro";"Dezembro"},Q1043)</f>
        <v/>
      </c>
      <c r="D1043" s="19" t="n">
        <v>2</v>
      </c>
      <c r="E1043" s="20" t="n">
        <v>46181</v>
      </c>
      <c r="F1043" s="18" t="inlineStr">
        <is>
          <t>Iogurte Grego Frutas vermelhas 120g</t>
        </is>
      </c>
      <c r="G1043" s="18" t="inlineStr">
        <is>
          <t>IOGURTE</t>
        </is>
      </c>
      <c r="H1043" s="21" t="n">
        <v>0.17</v>
      </c>
      <c r="I1043" s="36" t="n">
        <v>0</v>
      </c>
      <c r="J1043" s="21">
        <f>I1043*H1043</f>
        <v/>
      </c>
      <c r="K1043" s="21">
        <f>IFERROR(IF(J1043/P1043&gt;1,P1043,J1043),0)</f>
        <v/>
      </c>
      <c r="L1043" s="36" t="n">
        <v>0</v>
      </c>
      <c r="M1043" s="21">
        <f>L1043*H1043</f>
        <v/>
      </c>
      <c r="N1043" s="21">
        <f>IFERROR(IF(M1043/K1043&gt;1,K1043,M1043),0)</f>
        <v/>
      </c>
      <c r="O1043" s="36" t="n">
        <v>0</v>
      </c>
      <c r="P1043" s="21">
        <f>O1043*H1043</f>
        <v/>
      </c>
      <c r="Q1043" s="30">
        <f>IF(MONTH(E1043+1)=MONTH(E1043+6),MONTH(E1043+1),IF(MIN(EOMONTH(E1043+1,0),E1043+6)-(E1043+1)+1&gt;=3,MONTH(E1043+1),MONTH(E1043+6)))</f>
        <v/>
      </c>
      <c r="R1043" s="22">
        <f>IFERROR(K1043/P1043, 0)</f>
        <v/>
      </c>
      <c r="S1043" s="38">
        <f>IFERROR(N1043/P1043,0)</f>
        <v/>
      </c>
      <c r="T1043" s="31">
        <f>IFERROR(IF(N1043&gt;0,(N1043/K1043),MIN(1,M1043/J1043)),0)</f>
        <v/>
      </c>
      <c r="U1043" s="33" t="n"/>
    </row>
    <row r="1044" hidden="1" s="40">
      <c r="A1044" s="18" t="inlineStr">
        <is>
          <t>Semana 2 - Junho</t>
        </is>
      </c>
      <c r="B1044" s="27">
        <f>YEAR(E1044)</f>
        <v/>
      </c>
      <c r="C1044" s="18">
        <f>INDEX({"Janeiro";"Fevereiro";"Março";"Abril";"Maio";"Junho";"Julho";"Agosto";"Setembro";"Outubro";"Novembro";"Dezembro"},Q1044)</f>
        <v/>
      </c>
      <c r="D1044" s="19" t="n">
        <v>2</v>
      </c>
      <c r="E1044" s="20" t="n">
        <v>46181</v>
      </c>
      <c r="F1044" s="18" t="inlineStr">
        <is>
          <t>Iogurte Morango 120g</t>
        </is>
      </c>
      <c r="G1044" s="18" t="inlineStr">
        <is>
          <t>IOGURTE</t>
        </is>
      </c>
      <c r="H1044" s="21" t="n">
        <v>0.12</v>
      </c>
      <c r="I1044" s="36" t="n">
        <v>18000</v>
      </c>
      <c r="J1044" s="21">
        <f>I1044*H1044</f>
        <v/>
      </c>
      <c r="K1044" s="21">
        <f>IFERROR(IF(J1044/P1044&gt;1,P1044,J1044),0)</f>
        <v/>
      </c>
      <c r="L1044" s="36" t="n">
        <v>16835</v>
      </c>
      <c r="M1044" s="21">
        <f>L1044*H1044</f>
        <v/>
      </c>
      <c r="N1044" s="21">
        <f>IFERROR(IF(M1044/K1044&gt;1,K1044,M1044),0)</f>
        <v/>
      </c>
      <c r="O1044" s="36" t="n">
        <v>18000</v>
      </c>
      <c r="P1044" s="21">
        <f>O1044*H1044</f>
        <v/>
      </c>
      <c r="Q1044" s="30">
        <f>IF(MONTH(E1044+1)=MONTH(E1044+6),MONTH(E1044+1),IF(MIN(EOMONTH(E1044+1,0),E1044+6)-(E1044+1)+1&gt;=3,MONTH(E1044+1),MONTH(E1044+6)))</f>
        <v/>
      </c>
      <c r="R1044" s="22">
        <f>IFERROR(K1044/P1044, 0)</f>
        <v/>
      </c>
      <c r="S1044" s="38">
        <f>IFERROR(N1044/P1044,0)</f>
        <v/>
      </c>
      <c r="T1044" s="31">
        <f>IFERROR(IF(N1044&gt;0,(N1044/K1044),MIN(1,M1044/J1044)),0)</f>
        <v/>
      </c>
      <c r="U1044" s="33" t="n"/>
    </row>
    <row r="1045" hidden="1" s="40">
      <c r="A1045" s="23" t="inlineStr">
        <is>
          <t>Semana 2 - Junho</t>
        </is>
      </c>
      <c r="B1045" s="27">
        <f>YEAR(E1045)</f>
        <v/>
      </c>
      <c r="C1045" s="18">
        <f>INDEX({"Janeiro";"Fevereiro";"Março";"Abril";"Maio";"Junho";"Julho";"Agosto";"Setembro";"Outubro";"Novembro";"Dezembro"},Q1045)</f>
        <v/>
      </c>
      <c r="D1045" s="24" t="n">
        <v>2</v>
      </c>
      <c r="E1045" s="25" t="n">
        <v>46181</v>
      </c>
      <c r="F1045" s="23" t="inlineStr">
        <is>
          <t>Iogurte Morango 185g</t>
        </is>
      </c>
      <c r="G1045" s="23" t="inlineStr">
        <is>
          <t>IOGURTE</t>
        </is>
      </c>
      <c r="H1045" s="26" t="n">
        <v>0.185</v>
      </c>
      <c r="I1045" s="36" t="n">
        <v>1300</v>
      </c>
      <c r="J1045" s="21">
        <f>I1045*H1045</f>
        <v/>
      </c>
      <c r="K1045" s="21">
        <f>IFERROR(IF(J1045/P1045&gt;1,P1045,J1045),0)</f>
        <v/>
      </c>
      <c r="L1045" s="36" t="n">
        <v>1298</v>
      </c>
      <c r="M1045" s="21">
        <f>L1045*H1045</f>
        <v/>
      </c>
      <c r="N1045" s="21">
        <f>IFERROR(IF(M1045/K1045&gt;1,K1045,M1045),0)</f>
        <v/>
      </c>
      <c r="O1045" s="36" t="n">
        <v>1040</v>
      </c>
      <c r="P1045" s="21">
        <f>O1045*H1045</f>
        <v/>
      </c>
      <c r="Q1045" s="30">
        <f>IF(MONTH(E1045+1)=MONTH(E1045+6),MONTH(E1045+1),IF(MIN(EOMONTH(E1045+1,0),E1045+6)-(E1045+1)+1&gt;=3,MONTH(E1045+1),MONTH(E1045+6)))</f>
        <v/>
      </c>
      <c r="R1045" s="22">
        <f>IFERROR(K1045/P1045, 0)</f>
        <v/>
      </c>
      <c r="S1045" s="38">
        <f>IFERROR(N1045/P1045,0)</f>
        <v/>
      </c>
      <c r="T1045" s="31">
        <f>IFERROR(IF(N1045&gt;0,(N1045/K1045),MIN(1,M1045/J1045)),0)</f>
        <v/>
      </c>
      <c r="U1045" s="33" t="n"/>
    </row>
    <row r="1046" hidden="1" s="40">
      <c r="A1046" s="18" t="inlineStr">
        <is>
          <t>Semana 2 - Junho</t>
        </is>
      </c>
      <c r="B1046" s="27">
        <f>YEAR(E1046)</f>
        <v/>
      </c>
      <c r="C1046" s="18">
        <f>INDEX({"Janeiro";"Fevereiro";"Março";"Abril";"Maio";"Junho";"Julho";"Agosto";"Setembro";"Outubro";"Novembro";"Dezembro"},Q1046)</f>
        <v/>
      </c>
      <c r="D1046" s="19" t="n">
        <v>2</v>
      </c>
      <c r="E1046" s="20" t="n">
        <v>46181</v>
      </c>
      <c r="F1046" s="18" t="inlineStr">
        <is>
          <t>Iogurte Morango 900G</t>
        </is>
      </c>
      <c r="G1046" s="18" t="inlineStr">
        <is>
          <t>IOGURTE</t>
        </is>
      </c>
      <c r="H1046" s="21" t="n">
        <v>0.9</v>
      </c>
      <c r="I1046" s="36" t="n">
        <v>4410</v>
      </c>
      <c r="J1046" s="21">
        <f>I1046*H1046</f>
        <v/>
      </c>
      <c r="K1046" s="21">
        <f>IFERROR(IF(J1046/P1046&gt;1,P1046,J1046),0)</f>
        <v/>
      </c>
      <c r="L1046" s="36" t="n">
        <v>4252</v>
      </c>
      <c r="M1046" s="21">
        <f>L1046*H1046</f>
        <v/>
      </c>
      <c r="N1046" s="21">
        <f>IFERROR(IF(M1046/K1046&gt;1,K1046,M1046),0)</f>
        <v/>
      </c>
      <c r="O1046" s="36" t="n">
        <v>4500</v>
      </c>
      <c r="P1046" s="21">
        <f>O1046*H1046</f>
        <v/>
      </c>
      <c r="Q1046" s="30">
        <f>IF(MONTH(E1046+1)=MONTH(E1046+6),MONTH(E1046+1),IF(MIN(EOMONTH(E1046+1,0),E1046+6)-(E1046+1)+1&gt;=3,MONTH(E1046+1),MONTH(E1046+6)))</f>
        <v/>
      </c>
      <c r="R1046" s="22">
        <f>IFERROR(K1046/P1046, 0)</f>
        <v/>
      </c>
      <c r="S1046" s="38">
        <f>IFERROR(N1046/P1046,0)</f>
        <v/>
      </c>
      <c r="T1046" s="31">
        <f>IFERROR(IF(N1046&gt;0,(N1046/K1046),MIN(1,M1046/J1046)),0)</f>
        <v/>
      </c>
      <c r="U1046" s="33" t="n"/>
    </row>
    <row r="1047" hidden="1" s="40">
      <c r="A1047" s="23" t="inlineStr">
        <is>
          <t>Semana 2 - Junho</t>
        </is>
      </c>
      <c r="B1047" s="27">
        <f>YEAR(E1047)</f>
        <v/>
      </c>
      <c r="C1047" s="18">
        <f>INDEX({"Janeiro";"Fevereiro";"Março";"Abril";"Maio";"Junho";"Julho";"Agosto";"Setembro";"Outubro";"Novembro";"Dezembro"},Q1047)</f>
        <v/>
      </c>
      <c r="D1047" s="24" t="n">
        <v>2</v>
      </c>
      <c r="E1047" s="25" t="n">
        <v>46181</v>
      </c>
      <c r="F1047" s="23" t="inlineStr">
        <is>
          <t>Iogurte Natural Integral 170g</t>
        </is>
      </c>
      <c r="G1047" s="23" t="inlineStr">
        <is>
          <t>IOGURTE</t>
        </is>
      </c>
      <c r="H1047" s="26" t="n">
        <v>0.17</v>
      </c>
      <c r="I1047" s="36" t="n">
        <v>0</v>
      </c>
      <c r="J1047" s="21">
        <f>I1047*H1047</f>
        <v/>
      </c>
      <c r="K1047" s="21">
        <f>IFERROR(IF(J1047/P1047&gt;1,P1047,J1047),0)</f>
        <v/>
      </c>
      <c r="L1047" s="36" t="n">
        <v>0</v>
      </c>
      <c r="M1047" s="21">
        <f>L1047*H1047</f>
        <v/>
      </c>
      <c r="N1047" s="21">
        <f>IFERROR(IF(M1047/K1047&gt;1,K1047,M1047),0)</f>
        <v/>
      </c>
      <c r="O1047" s="36" t="n">
        <v>0</v>
      </c>
      <c r="P1047" s="21">
        <f>O1047*H1047</f>
        <v/>
      </c>
      <c r="Q1047" s="30">
        <f>IF(MONTH(E1047+1)=MONTH(E1047+6),MONTH(E1047+1),IF(MIN(EOMONTH(E1047+1,0),E1047+6)-(E1047+1)+1&gt;=3,MONTH(E1047+1),MONTH(E1047+6)))</f>
        <v/>
      </c>
      <c r="R1047" s="22">
        <f>IFERROR(K1047/P1047, 0)</f>
        <v/>
      </c>
      <c r="S1047" s="38">
        <f>IFERROR(N1047/P1047,0)</f>
        <v/>
      </c>
      <c r="T1047" s="31">
        <f>IFERROR(IF(N1047&gt;0,(N1047/K1047),MIN(1,M1047/J1047)),0)</f>
        <v/>
      </c>
      <c r="U1047" s="33" t="n"/>
    </row>
    <row r="1048" hidden="1" s="40">
      <c r="A1048" s="18" t="inlineStr">
        <is>
          <t>Semana 2 - Junho</t>
        </is>
      </c>
      <c r="B1048" s="27">
        <f>YEAR(E1048)</f>
        <v/>
      </c>
      <c r="C1048" s="18">
        <f>INDEX({"Janeiro";"Fevereiro";"Março";"Abril";"Maio";"Junho";"Julho";"Agosto";"Setembro";"Outubro";"Novembro";"Dezembro"},Q1048)</f>
        <v/>
      </c>
      <c r="D1048" s="19" t="n">
        <v>2</v>
      </c>
      <c r="E1048" s="20" t="n">
        <v>46181</v>
      </c>
      <c r="F1048" s="18" t="inlineStr">
        <is>
          <t>Iogurte Natural Triplo Zero 170g</t>
        </is>
      </c>
      <c r="G1048" s="18" t="inlineStr">
        <is>
          <t>IOGURTE</t>
        </is>
      </c>
      <c r="H1048" s="21" t="n">
        <v>0.17</v>
      </c>
      <c r="I1048" s="36" t="n">
        <v>0</v>
      </c>
      <c r="J1048" s="21">
        <f>I1048*H1048</f>
        <v/>
      </c>
      <c r="K1048" s="21">
        <f>IFERROR(IF(J1048/P1048&gt;1,P1048,J1048),0)</f>
        <v/>
      </c>
      <c r="L1048" s="36" t="n">
        <v>0</v>
      </c>
      <c r="M1048" s="21">
        <f>L1048*H1048</f>
        <v/>
      </c>
      <c r="N1048" s="21">
        <f>IFERROR(IF(M1048/K1048&gt;1,K1048,M1048),0)</f>
        <v/>
      </c>
      <c r="O1048" s="36" t="n">
        <v>0</v>
      </c>
      <c r="P1048" s="21">
        <f>O1048*H1048</f>
        <v/>
      </c>
      <c r="Q1048" s="30">
        <f>IF(MONTH(E1048+1)=MONTH(E1048+6),MONTH(E1048+1),IF(MIN(EOMONTH(E1048+1,0),E1048+6)-(E1048+1)+1&gt;=3,MONTH(E1048+1),MONTH(E1048+6)))</f>
        <v/>
      </c>
      <c r="R1048" s="22">
        <f>IFERROR(K1048/P1048, 0)</f>
        <v/>
      </c>
      <c r="S1048" s="38">
        <f>IFERROR(N1048/P1048,0)</f>
        <v/>
      </c>
      <c r="T1048" s="31">
        <f>IFERROR(IF(N1048&gt;0,(N1048/K1048),MIN(1,M1048/J1048)),0)</f>
        <v/>
      </c>
      <c r="U1048" s="33" t="n"/>
    </row>
    <row r="1049" hidden="1" s="40">
      <c r="A1049" s="18" t="inlineStr">
        <is>
          <t>Semana 2 - Junho</t>
        </is>
      </c>
      <c r="B1049" s="27">
        <f>YEAR(E1049)</f>
        <v/>
      </c>
      <c r="C1049" s="18">
        <f>INDEX({"Janeiro";"Fevereiro";"Março";"Abril";"Maio";"Junho";"Julho";"Agosto";"Setembro";"Outubro";"Novembro";"Dezembro"},Q1049)</f>
        <v/>
      </c>
      <c r="D1049" s="19" t="n">
        <v>2</v>
      </c>
      <c r="E1049" s="20" t="n">
        <v>46181</v>
      </c>
      <c r="F1049" s="18" t="inlineStr">
        <is>
          <t>Iogurte Salada 120g</t>
        </is>
      </c>
      <c r="G1049" s="18" t="inlineStr">
        <is>
          <t>IOGURTE</t>
        </is>
      </c>
      <c r="H1049" s="21" t="n">
        <v>0.12</v>
      </c>
      <c r="I1049" s="36" t="n">
        <v>2000</v>
      </c>
      <c r="J1049" s="21">
        <f>I1049*H1049</f>
        <v/>
      </c>
      <c r="K1049" s="21">
        <f>IFERROR(IF(J1049/P1049&gt;1,P1049,J1049),0)</f>
        <v/>
      </c>
      <c r="L1049" s="36" t="n">
        <v>2079</v>
      </c>
      <c r="M1049" s="21">
        <f>L1049*H1049</f>
        <v/>
      </c>
      <c r="N1049" s="21">
        <f>IFERROR(IF(M1049/K1049&gt;1,K1049,M1049),0)</f>
        <v/>
      </c>
      <c r="O1049" s="36" t="n">
        <v>2000</v>
      </c>
      <c r="P1049" s="21">
        <f>O1049*H1049</f>
        <v/>
      </c>
      <c r="Q1049" s="30">
        <f>IF(MONTH(E1049+1)=MONTH(E1049+6),MONTH(E1049+1),IF(MIN(EOMONTH(E1049+1,0),E1049+6)-(E1049+1)+1&gt;=3,MONTH(E1049+1),MONTH(E1049+6)))</f>
        <v/>
      </c>
      <c r="R1049" s="22">
        <f>IFERROR(K1049/P1049, 0)</f>
        <v/>
      </c>
      <c r="S1049" s="38">
        <f>IFERROR(N1049/P1049,0)</f>
        <v/>
      </c>
      <c r="T1049" s="31">
        <f>IFERROR(IF(N1049&gt;0,(N1049/K1049),MIN(1,M1049/J1049)),0)</f>
        <v/>
      </c>
      <c r="U1049" s="33" t="n"/>
    </row>
    <row r="1050" hidden="1" s="40">
      <c r="A1050" s="23" t="inlineStr">
        <is>
          <t>Semana 2 - Junho</t>
        </is>
      </c>
      <c r="B1050" s="27">
        <f>YEAR(E1050)</f>
        <v/>
      </c>
      <c r="C1050" s="18">
        <f>INDEX({"Janeiro";"Fevereiro";"Março";"Abril";"Maio";"Junho";"Julho";"Agosto";"Setembro";"Outubro";"Novembro";"Dezembro"},Q1050)</f>
        <v/>
      </c>
      <c r="D1050" s="24" t="n">
        <v>2</v>
      </c>
      <c r="E1050" s="25" t="n">
        <v>46181</v>
      </c>
      <c r="F1050" s="23" t="inlineStr">
        <is>
          <t>Iogurte Salada 185g</t>
        </is>
      </c>
      <c r="G1050" s="23" t="inlineStr">
        <is>
          <t>IOGURTE</t>
        </is>
      </c>
      <c r="H1050" s="26" t="n">
        <v>0.185</v>
      </c>
      <c r="I1050" s="36" t="n">
        <v>260</v>
      </c>
      <c r="J1050" s="21">
        <f>I1050*H1050</f>
        <v/>
      </c>
      <c r="K1050" s="21">
        <f>IFERROR(IF(J1050/P1050&gt;1,P1050,J1050),0)</f>
        <v/>
      </c>
      <c r="L1050" s="36" t="n">
        <v>258</v>
      </c>
      <c r="M1050" s="21">
        <f>L1050*H1050</f>
        <v/>
      </c>
      <c r="N1050" s="21">
        <f>IFERROR(IF(M1050/K1050&gt;1,K1050,M1050),0)</f>
        <v/>
      </c>
      <c r="O1050" s="36" t="n">
        <v>260</v>
      </c>
      <c r="P1050" s="21">
        <f>O1050*H1050</f>
        <v/>
      </c>
      <c r="Q1050" s="30">
        <f>IF(MONTH(E1050+1)=MONTH(E1050+6),MONTH(E1050+1),IF(MIN(EOMONTH(E1050+1,0),E1050+6)-(E1050+1)+1&gt;=3,MONTH(E1050+1),MONTH(E1050+6)))</f>
        <v/>
      </c>
      <c r="R1050" s="22">
        <f>IFERROR(K1050/P1050, 0)</f>
        <v/>
      </c>
      <c r="S1050" s="38">
        <f>IFERROR(N1050/P1050,0)</f>
        <v/>
      </c>
      <c r="T1050" s="31">
        <f>IFERROR(IF(N1050&gt;0,(N1050/K1050),MIN(1,M1050/J1050)),0)</f>
        <v/>
      </c>
      <c r="U1050" s="33" t="n"/>
    </row>
    <row r="1051" hidden="1" s="40">
      <c r="A1051" s="18" t="inlineStr">
        <is>
          <t>Semana 2 - Junho</t>
        </is>
      </c>
      <c r="B1051" s="27">
        <f>YEAR(E1051)</f>
        <v/>
      </c>
      <c r="C1051" s="18">
        <f>INDEX({"Janeiro";"Fevereiro";"Março";"Abril";"Maio";"Junho";"Julho";"Agosto";"Setembro";"Outubro";"Novembro";"Dezembro"},Q1051)</f>
        <v/>
      </c>
      <c r="D1051" s="19" t="n">
        <v>2</v>
      </c>
      <c r="E1051" s="20" t="n">
        <v>46181</v>
      </c>
      <c r="F1051" s="18" t="inlineStr">
        <is>
          <t>Iogurte Salada 900g</t>
        </is>
      </c>
      <c r="G1051" s="18" t="inlineStr">
        <is>
          <t>IOGURTE</t>
        </is>
      </c>
      <c r="H1051" s="21" t="n">
        <v>0.9</v>
      </c>
      <c r="I1051" s="36" t="n">
        <v>1260</v>
      </c>
      <c r="J1051" s="21">
        <f>I1051*H1051</f>
        <v/>
      </c>
      <c r="K1051" s="21">
        <f>IFERROR(IF(J1051/P1051&gt;1,P1051,J1051),0)</f>
        <v/>
      </c>
      <c r="L1051" s="36" t="n">
        <v>1271</v>
      </c>
      <c r="M1051" s="21">
        <f>L1051*H1051</f>
        <v/>
      </c>
      <c r="N1051" s="21">
        <f>IFERROR(IF(M1051/K1051&gt;1,K1051,M1051),0)</f>
        <v/>
      </c>
      <c r="O1051" s="36" t="n">
        <v>900</v>
      </c>
      <c r="P1051" s="21">
        <f>O1051*H1051</f>
        <v/>
      </c>
      <c r="Q1051" s="30">
        <f>IF(MONTH(E1051+1)=MONTH(E1051+6),MONTH(E1051+1),IF(MIN(EOMONTH(E1051+1,0),E1051+6)-(E1051+1)+1&gt;=3,MONTH(E1051+1),MONTH(E1051+6)))</f>
        <v/>
      </c>
      <c r="R1051" s="22">
        <f>IFERROR(K1051/P1051, 0)</f>
        <v/>
      </c>
      <c r="S1051" s="38">
        <f>IFERROR(N1051/P1051,0)</f>
        <v/>
      </c>
      <c r="T1051" s="31">
        <f>IFERROR(IF(N1051&gt;0,(N1051/K1051),MIN(1,M1051/J1051)),0)</f>
        <v/>
      </c>
      <c r="U1051" s="33" t="n"/>
    </row>
    <row r="1052" hidden="1" s="40">
      <c r="A1052" s="18" t="inlineStr">
        <is>
          <t>Semana 2 - Junho</t>
        </is>
      </c>
      <c r="B1052" s="27">
        <f>YEAR(E1052)</f>
        <v/>
      </c>
      <c r="C1052" s="18">
        <f>INDEX({"Janeiro";"Fevereiro";"Março";"Abril";"Maio";"Junho";"Julho";"Agosto";"Setembro";"Outubro";"Novembro";"Dezembro"},Q1052)</f>
        <v/>
      </c>
      <c r="D1052" s="19" t="n">
        <v>2</v>
      </c>
      <c r="E1052" s="20" t="n">
        <v>46181</v>
      </c>
      <c r="F1052" s="18" t="inlineStr">
        <is>
          <t>IOGURTE VIÇOSA MORANGO LIGHT 180g</t>
        </is>
      </c>
      <c r="G1052" s="18" t="inlineStr">
        <is>
          <t>IOGURTE</t>
        </is>
      </c>
      <c r="H1052" s="21" t="n">
        <v>0.18</v>
      </c>
      <c r="I1052" s="36" t="n">
        <v>0</v>
      </c>
      <c r="J1052" s="21">
        <f>I1052*H1052</f>
        <v/>
      </c>
      <c r="K1052" s="21">
        <f>IFERROR(IF(J1052/P1052&gt;1,P1052,J1052),0)</f>
        <v/>
      </c>
      <c r="L1052" s="36" t="n">
        <v>0</v>
      </c>
      <c r="M1052" s="21">
        <f>L1052*H1052</f>
        <v/>
      </c>
      <c r="N1052" s="21">
        <f>IFERROR(IF(M1052/K1052&gt;1,K1052,M1052),0)</f>
        <v/>
      </c>
      <c r="O1052" s="36" t="n">
        <v>0</v>
      </c>
      <c r="P1052" s="21">
        <f>O1052*H1052</f>
        <v/>
      </c>
      <c r="Q1052" s="30">
        <f>IF(MONTH(E1052+1)=MONTH(E1052+6),MONTH(E1052+1),IF(MIN(EOMONTH(E1052+1,0),E1052+6)-(E1052+1)+1&gt;=3,MONTH(E1052+1),MONTH(E1052+6)))</f>
        <v/>
      </c>
      <c r="R1052" s="22">
        <f>IFERROR(K1052/P1052, 0)</f>
        <v/>
      </c>
      <c r="S1052" s="38">
        <f>IFERROR(N1052/P1052,0)</f>
        <v/>
      </c>
      <c r="T1052" s="31">
        <f>IFERROR(IF(N1052&gt;0,(N1052/K1052),MIN(1,M1052/J1052)),0)</f>
        <v/>
      </c>
      <c r="U1052" s="33" t="n"/>
    </row>
    <row r="1053" hidden="1" s="40">
      <c r="A1053" s="23" t="inlineStr">
        <is>
          <t>Semana 2 - Junho</t>
        </is>
      </c>
      <c r="B1053" s="27">
        <f>YEAR(E1053)</f>
        <v/>
      </c>
      <c r="C1053" s="18">
        <f>INDEX({"Janeiro";"Fevereiro";"Março";"Abril";"Maio";"Junho";"Julho";"Agosto";"Setembro";"Outubro";"Novembro";"Dezembro"},Q1053)</f>
        <v/>
      </c>
      <c r="D1053" s="24" t="n">
        <v>2</v>
      </c>
      <c r="E1053" s="25" t="n">
        <v>46181</v>
      </c>
      <c r="F1053" s="23" t="inlineStr">
        <is>
          <t>IOGURTE VIÇOSA MORANGO LIGHT 800g</t>
        </is>
      </c>
      <c r="G1053" s="23" t="inlineStr">
        <is>
          <t>IOGURTE</t>
        </is>
      </c>
      <c r="H1053" s="26" t="n">
        <v>0.8</v>
      </c>
      <c r="I1053" s="36" t="n">
        <v>0</v>
      </c>
      <c r="J1053" s="21">
        <f>I1053*H1053</f>
        <v/>
      </c>
      <c r="K1053" s="21">
        <f>IFERROR(IF(J1053/P1053&gt;1,P1053,J1053),0)</f>
        <v/>
      </c>
      <c r="L1053" s="36" t="n">
        <v>0</v>
      </c>
      <c r="M1053" s="21">
        <f>L1053*H1053</f>
        <v/>
      </c>
      <c r="N1053" s="21">
        <f>IFERROR(IF(M1053/K1053&gt;1,K1053,M1053),0)</f>
        <v/>
      </c>
      <c r="O1053" s="36" t="n">
        <v>0</v>
      </c>
      <c r="P1053" s="21">
        <f>O1053*H1053</f>
        <v/>
      </c>
      <c r="Q1053" s="30">
        <f>IF(MONTH(E1053+1)=MONTH(E1053+6),MONTH(E1053+1),IF(MIN(EOMONTH(E1053+1,0),E1053+6)-(E1053+1)+1&gt;=3,MONTH(E1053+1),MONTH(E1053+6)))</f>
        <v/>
      </c>
      <c r="R1053" s="22">
        <f>IFERROR(K1053/P1053, 0)</f>
        <v/>
      </c>
      <c r="S1053" s="38">
        <f>IFERROR(N1053/P1053,0)</f>
        <v/>
      </c>
      <c r="T1053" s="31">
        <f>IFERROR(IF(N1053&gt;0,(N1053/K1053),MIN(1,M1053/J1053)),0)</f>
        <v/>
      </c>
      <c r="U1053" s="33" t="n"/>
    </row>
    <row r="1054" hidden="1" s="40">
      <c r="A1054" s="23" t="inlineStr">
        <is>
          <t>Semana 2 - Junho</t>
        </is>
      </c>
      <c r="B1054" s="27">
        <f>YEAR(E1054)</f>
        <v/>
      </c>
      <c r="C1054" s="18">
        <f>INDEX({"Janeiro";"Fevereiro";"Março";"Abril";"Maio";"Junho";"Julho";"Agosto";"Setembro";"Outubro";"Novembro";"Dezembro"},Q1054)</f>
        <v/>
      </c>
      <c r="D1054" s="24" t="n">
        <v>2</v>
      </c>
      <c r="E1054" s="25" t="n">
        <v>46181</v>
      </c>
      <c r="F1054" s="23" t="inlineStr">
        <is>
          <t>Iogurte Vida Leve Ameixa c/ Grãos 180g</t>
        </is>
      </c>
      <c r="G1054" s="23" t="inlineStr">
        <is>
          <t>IOGURTE</t>
        </is>
      </c>
      <c r="H1054" s="26" t="n">
        <v>0.18</v>
      </c>
      <c r="I1054" s="36" t="n">
        <v>2080</v>
      </c>
      <c r="J1054" s="21">
        <f>I1054*H1054</f>
        <v/>
      </c>
      <c r="K1054" s="21">
        <f>IFERROR(IF(J1054/P1054&gt;1,P1054,J1054),0)</f>
        <v/>
      </c>
      <c r="L1054" s="36" t="n">
        <v>1752</v>
      </c>
      <c r="M1054" s="21">
        <f>L1054*H1054</f>
        <v/>
      </c>
      <c r="N1054" s="21">
        <f>IFERROR(IF(M1054/K1054&gt;1,K1054,M1054),0)</f>
        <v/>
      </c>
      <c r="O1054" s="36" t="n">
        <v>800</v>
      </c>
      <c r="P1054" s="21">
        <f>O1054*H1054</f>
        <v/>
      </c>
      <c r="Q1054" s="30">
        <f>IF(MONTH(E1054+1)=MONTH(E1054+6),MONTH(E1054+1),IF(MIN(EOMONTH(E1054+1,0),E1054+6)-(E1054+1)+1&gt;=3,MONTH(E1054+1),MONTH(E1054+6)))</f>
        <v/>
      </c>
      <c r="R1054" s="22">
        <f>IFERROR(K1054/P1054, 0)</f>
        <v/>
      </c>
      <c r="S1054" s="38">
        <f>IFERROR(N1054/P1054,0)</f>
        <v/>
      </c>
      <c r="T1054" s="31">
        <f>IFERROR(IF(N1054&gt;0,(N1054/K1054),MIN(1,M1054/J1054)),0)</f>
        <v/>
      </c>
      <c r="U1054" s="33" t="n"/>
    </row>
    <row r="1055" hidden="1" s="40">
      <c r="A1055" s="18" t="inlineStr">
        <is>
          <t>Semana 2 - Junho</t>
        </is>
      </c>
      <c r="B1055" s="27">
        <f>YEAR(E1055)</f>
        <v/>
      </c>
      <c r="C1055" s="18">
        <f>INDEX({"Janeiro";"Fevereiro";"Março";"Abril";"Maio";"Junho";"Julho";"Agosto";"Setembro";"Outubro";"Novembro";"Dezembro"},Q1055)</f>
        <v/>
      </c>
      <c r="D1055" s="19" t="n">
        <v>2</v>
      </c>
      <c r="E1055" s="20" t="n">
        <v>46181</v>
      </c>
      <c r="F1055" s="18" t="inlineStr">
        <is>
          <t>Iogurte Vida Leve Ameixa c/ Grãos 500g</t>
        </is>
      </c>
      <c r="G1055" s="18" t="inlineStr">
        <is>
          <t>IOGURTE</t>
        </is>
      </c>
      <c r="H1055" s="21" t="n">
        <v>0.5</v>
      </c>
      <c r="I1055" s="36" t="n">
        <v>2142</v>
      </c>
      <c r="J1055" s="21">
        <f>I1055*H1055</f>
        <v/>
      </c>
      <c r="K1055" s="21">
        <f>IFERROR(IF(J1055/P1055&gt;1,P1055,J1055),0)</f>
        <v/>
      </c>
      <c r="L1055" s="36" t="n">
        <v>2116</v>
      </c>
      <c r="M1055" s="21">
        <f>L1055*H1055</f>
        <v/>
      </c>
      <c r="N1055" s="21">
        <f>IFERROR(IF(M1055/K1055&gt;1,K1055,M1055),0)</f>
        <v/>
      </c>
      <c r="O1055" s="36" t="n">
        <v>900</v>
      </c>
      <c r="P1055" s="21">
        <f>O1055*H1055</f>
        <v/>
      </c>
      <c r="Q1055" s="30">
        <f>IF(MONTH(E1055+1)=MONTH(E1055+6),MONTH(E1055+1),IF(MIN(EOMONTH(E1055+1,0),E1055+6)-(E1055+1)+1&gt;=3,MONTH(E1055+1),MONTH(E1055+6)))</f>
        <v/>
      </c>
      <c r="R1055" s="22">
        <f>IFERROR(K1055/P1055, 0)</f>
        <v/>
      </c>
      <c r="S1055" s="38">
        <f>IFERROR(N1055/P1055,0)</f>
        <v/>
      </c>
      <c r="T1055" s="31">
        <f>IFERROR(IF(N1055&gt;0,(N1055/K1055),MIN(1,M1055/J1055)),0)</f>
        <v/>
      </c>
      <c r="U1055" s="33" t="n"/>
    </row>
    <row r="1056" hidden="1" s="40">
      <c r="A1056" s="23" t="inlineStr">
        <is>
          <t>Semana 2 - Junho</t>
        </is>
      </c>
      <c r="B1056" s="27">
        <f>YEAR(E1056)</f>
        <v/>
      </c>
      <c r="C1056" s="18">
        <f>INDEX({"Janeiro";"Fevereiro";"Março";"Abril";"Maio";"Junho";"Julho";"Agosto";"Setembro";"Outubro";"Novembro";"Dezembro"},Q1056)</f>
        <v/>
      </c>
      <c r="D1056" s="24" t="n">
        <v>2</v>
      </c>
      <c r="E1056" s="25" t="n">
        <v>46181</v>
      </c>
      <c r="F1056" s="23" t="inlineStr">
        <is>
          <t>Iogurte Vida Leve Morango 180g</t>
        </is>
      </c>
      <c r="G1056" s="23" t="inlineStr">
        <is>
          <t>IOGURTE</t>
        </is>
      </c>
      <c r="H1056" s="26" t="n">
        <v>0.185</v>
      </c>
      <c r="I1056" s="36" t="n">
        <v>1820</v>
      </c>
      <c r="J1056" s="21">
        <f>I1056*H1056</f>
        <v/>
      </c>
      <c r="K1056" s="21">
        <f>IFERROR(IF(J1056/P1056&gt;1,P1056,J1056),0)</f>
        <v/>
      </c>
      <c r="L1056" s="36" t="n">
        <v>1815</v>
      </c>
      <c r="M1056" s="21">
        <f>L1056*H1056</f>
        <v/>
      </c>
      <c r="N1056" s="21">
        <f>IFERROR(IF(M1056/K1056&gt;1,K1056,M1056),0)</f>
        <v/>
      </c>
      <c r="O1056" s="36" t="n">
        <v>1200</v>
      </c>
      <c r="P1056" s="21">
        <f>O1056*H1056</f>
        <v/>
      </c>
      <c r="Q1056" s="30">
        <f>IF(MONTH(E1056+1)=MONTH(E1056+6),MONTH(E1056+1),IF(MIN(EOMONTH(E1056+1,0),E1056+6)-(E1056+1)+1&gt;=3,MONTH(E1056+1),MONTH(E1056+6)))</f>
        <v/>
      </c>
      <c r="R1056" s="22">
        <f>IFERROR(K1056/P1056, 0)</f>
        <v/>
      </c>
      <c r="S1056" s="38">
        <f>IFERROR(N1056/P1056,0)</f>
        <v/>
      </c>
      <c r="T1056" s="31">
        <f>IFERROR(IF(N1056&gt;0,(N1056/K1056),MIN(1,M1056/J1056)),0)</f>
        <v/>
      </c>
      <c r="U1056" s="33" t="n"/>
    </row>
    <row r="1057" hidden="1" s="40">
      <c r="A1057" s="18" t="inlineStr">
        <is>
          <t>Semana 2 - Junho</t>
        </is>
      </c>
      <c r="B1057" s="27">
        <f>YEAR(E1057)</f>
        <v/>
      </c>
      <c r="C1057" s="18">
        <f>INDEX({"Janeiro";"Fevereiro";"Março";"Abril";"Maio";"Junho";"Julho";"Agosto";"Setembro";"Outubro";"Novembro";"Dezembro"},Q1057)</f>
        <v/>
      </c>
      <c r="D1057" s="19" t="n">
        <v>2</v>
      </c>
      <c r="E1057" s="20" t="n">
        <v>46181</v>
      </c>
      <c r="F1057" s="18" t="inlineStr">
        <is>
          <t>Iogurte Vida Leve Morango 500g</t>
        </is>
      </c>
      <c r="G1057" s="18" t="inlineStr">
        <is>
          <t>IOGURTE</t>
        </is>
      </c>
      <c r="H1057" s="21" t="n">
        <v>0.5</v>
      </c>
      <c r="I1057" s="36" t="n">
        <v>2394</v>
      </c>
      <c r="J1057" s="21">
        <f>I1057*H1057</f>
        <v/>
      </c>
      <c r="K1057" s="21">
        <f>IFERROR(IF(J1057/P1057&gt;1,P1057,J1057),0)</f>
        <v/>
      </c>
      <c r="L1057" s="36" t="n">
        <v>2208</v>
      </c>
      <c r="M1057" s="21">
        <f>L1057*H1057</f>
        <v/>
      </c>
      <c r="N1057" s="21">
        <f>IFERROR(IF(M1057/K1057&gt;1,K1057,M1057),0)</f>
        <v/>
      </c>
      <c r="O1057" s="36" t="n">
        <v>1500</v>
      </c>
      <c r="P1057" s="21">
        <f>O1057*H1057</f>
        <v/>
      </c>
      <c r="Q1057" s="30">
        <f>IF(MONTH(E1057+1)=MONTH(E1057+6),MONTH(E1057+1),IF(MIN(EOMONTH(E1057+1,0),E1057+6)-(E1057+1)+1&gt;=3,MONTH(E1057+1),MONTH(E1057+6)))</f>
        <v/>
      </c>
      <c r="R1057" s="22">
        <f>IFERROR(K1057/P1057, 0)</f>
        <v/>
      </c>
      <c r="S1057" s="38">
        <f>IFERROR(N1057/P1057,0)</f>
        <v/>
      </c>
      <c r="T1057" s="31">
        <f>IFERROR(IF(N1057&gt;0,(N1057/K1057),MIN(1,M1057/J1057)),0)</f>
        <v/>
      </c>
      <c r="U1057" s="33" t="n"/>
    </row>
    <row r="1058" hidden="1" s="40">
      <c r="A1058" s="23" t="inlineStr">
        <is>
          <t>Semana 2 - Junho</t>
        </is>
      </c>
      <c r="B1058" s="27">
        <f>YEAR(E1058)</f>
        <v/>
      </c>
      <c r="C1058" s="18">
        <f>INDEX({"Janeiro";"Fevereiro";"Março";"Abril";"Maio";"Junho";"Julho";"Agosto";"Setembro";"Outubro";"Novembro";"Dezembro"},Q1058)</f>
        <v/>
      </c>
      <c r="D1058" s="24" t="n">
        <v>2</v>
      </c>
      <c r="E1058" s="25" t="n">
        <v>46181</v>
      </c>
      <c r="F1058" s="23" t="inlineStr">
        <is>
          <t>LEITE PASTEURIZADO VIÇOSA DESNATADO</t>
        </is>
      </c>
      <c r="G1058" s="23" t="inlineStr">
        <is>
          <t>LEITE PAST.</t>
        </is>
      </c>
      <c r="H1058" s="26" t="n">
        <v>1</v>
      </c>
      <c r="I1058" s="36" t="n">
        <v>600</v>
      </c>
      <c r="J1058" s="21">
        <f>I1058*H1058</f>
        <v/>
      </c>
      <c r="K1058" s="21">
        <f>IFERROR(IF(J1058/P1058&gt;1,P1058,J1058),0)</f>
        <v/>
      </c>
      <c r="L1058" s="36" t="n">
        <v>682</v>
      </c>
      <c r="M1058" s="21">
        <f>L1058*H1058</f>
        <v/>
      </c>
      <c r="N1058" s="21">
        <f>IFERROR(IF(M1058/K1058&gt;1,K1058,M1058),0)</f>
        <v/>
      </c>
      <c r="O1058" s="36" t="n">
        <v>600</v>
      </c>
      <c r="P1058" s="21">
        <f>O1058*H1058</f>
        <v/>
      </c>
      <c r="Q1058" s="30">
        <f>IF(MONTH(E1058+1)=MONTH(E1058+6),MONTH(E1058+1),IF(MIN(EOMONTH(E1058+1,0),E1058+6)-(E1058+1)+1&gt;=3,MONTH(E1058+1),MONTH(E1058+6)))</f>
        <v/>
      </c>
      <c r="R1058" s="22">
        <f>IFERROR(K1058/P1058, 0)</f>
        <v/>
      </c>
      <c r="S1058" s="38">
        <f>IFERROR(N1058/P1058,0)</f>
        <v/>
      </c>
      <c r="T1058" s="31">
        <f>IFERROR(IF(N1058&gt;0,(N1058/K1058),MIN(1,M1058/J1058)),0)</f>
        <v/>
      </c>
      <c r="U1058" s="33" t="n"/>
    </row>
    <row r="1059" hidden="1" s="40">
      <c r="A1059" s="18" t="inlineStr">
        <is>
          <t>Semana 2 - Junho</t>
        </is>
      </c>
      <c r="B1059" s="27">
        <f>YEAR(E1059)</f>
        <v/>
      </c>
      <c r="C1059" s="18">
        <f>INDEX({"Janeiro";"Fevereiro";"Março";"Abril";"Maio";"Junho";"Julho";"Agosto";"Setembro";"Outubro";"Novembro";"Dezembro"},Q1059)</f>
        <v/>
      </c>
      <c r="D1059" s="19" t="n">
        <v>2</v>
      </c>
      <c r="E1059" s="20" t="n">
        <v>46181</v>
      </c>
      <c r="F1059" s="18" t="inlineStr">
        <is>
          <t>LEITE PASTEURIZADO VIÇOSA INTEGRAL</t>
        </is>
      </c>
      <c r="G1059" s="18" t="inlineStr">
        <is>
          <t>LEITE PAST.</t>
        </is>
      </c>
      <c r="H1059" s="21" t="n">
        <v>1</v>
      </c>
      <c r="I1059" s="36" t="n">
        <v>22800</v>
      </c>
      <c r="J1059" s="21">
        <f>I1059*H1059</f>
        <v/>
      </c>
      <c r="K1059" s="21">
        <f>IFERROR(IF(J1059/P1059&gt;1,P1059,J1059),0)</f>
        <v/>
      </c>
      <c r="L1059" s="36" t="n">
        <v>23242</v>
      </c>
      <c r="M1059" s="21">
        <f>L1059*H1059</f>
        <v/>
      </c>
      <c r="N1059" s="21">
        <f>IFERROR(IF(M1059/K1059&gt;1,K1059,M1059),0)</f>
        <v/>
      </c>
      <c r="O1059" s="36" t="n">
        <v>22800</v>
      </c>
      <c r="P1059" s="21">
        <f>O1059*H1059</f>
        <v/>
      </c>
      <c r="Q1059" s="30">
        <f>IF(MONTH(E1059+1)=MONTH(E1059+6),MONTH(E1059+1),IF(MIN(EOMONTH(E1059+1,0),E1059+6)-(E1059+1)+1&gt;=3,MONTH(E1059+1),MONTH(E1059+6)))</f>
        <v/>
      </c>
      <c r="R1059" s="22">
        <f>IFERROR(K1059/P1059, 0)</f>
        <v/>
      </c>
      <c r="S1059" s="38">
        <f>IFERROR(N1059/P1059,0)</f>
        <v/>
      </c>
      <c r="T1059" s="31">
        <f>IFERROR(IF(N1059&gt;0,(N1059/K1059),MIN(1,M1059/J1059)),0)</f>
        <v/>
      </c>
      <c r="U1059" s="33" t="n"/>
    </row>
    <row r="1060" hidden="1" s="40">
      <c r="A1060" s="23" t="inlineStr">
        <is>
          <t>Semana 2 - Junho</t>
        </is>
      </c>
      <c r="B1060" s="27">
        <f>YEAR(E1060)</f>
        <v/>
      </c>
      <c r="C1060" s="18">
        <f>INDEX({"Janeiro";"Fevereiro";"Março";"Abril";"Maio";"Junho";"Julho";"Agosto";"Setembro";"Outubro";"Novembro";"Dezembro"},Q1060)</f>
        <v/>
      </c>
      <c r="D1060" s="24" t="n">
        <v>2</v>
      </c>
      <c r="E1060" s="25" t="n">
        <v>46181</v>
      </c>
      <c r="F1060" s="23" t="inlineStr">
        <is>
          <t>LEITE PASTEURIZADO VIÇOSA ZERO LACTOSE INTEGRAL 1 L</t>
        </is>
      </c>
      <c r="G1060" s="23" t="inlineStr">
        <is>
          <t>LEITE PAST.</t>
        </is>
      </c>
      <c r="H1060" s="26" t="n">
        <v>1</v>
      </c>
      <c r="I1060" s="36" t="n">
        <v>990</v>
      </c>
      <c r="J1060" s="21">
        <f>I1060*H1060</f>
        <v/>
      </c>
      <c r="K1060" s="21">
        <f>IFERROR(IF(J1060/P1060&gt;1,P1060,J1060),0)</f>
        <v/>
      </c>
      <c r="L1060" s="36" t="n">
        <v>960</v>
      </c>
      <c r="M1060" s="21">
        <f>L1060*H1060</f>
        <v/>
      </c>
      <c r="N1060" s="21">
        <f>IFERROR(IF(M1060/K1060&gt;1,K1060,M1060),0)</f>
        <v/>
      </c>
      <c r="O1060" s="36" t="n">
        <v>990</v>
      </c>
      <c r="P1060" s="21">
        <f>O1060*H1060</f>
        <v/>
      </c>
      <c r="Q1060" s="30">
        <f>IF(MONTH(E1060+1)=MONTH(E1060+6),MONTH(E1060+1),IF(MIN(EOMONTH(E1060+1,0),E1060+6)-(E1060+1)+1&gt;=3,MONTH(E1060+1),MONTH(E1060+6)))</f>
        <v/>
      </c>
      <c r="R1060" s="22">
        <f>IFERROR(K1060/P1060, 0)</f>
        <v/>
      </c>
      <c r="S1060" s="38">
        <f>IFERROR(N1060/P1060,0)</f>
        <v/>
      </c>
      <c r="T1060" s="31">
        <f>IFERROR(IF(N1060&gt;0,(N1060/K1060),MIN(1,M1060/J1060)),0)</f>
        <v/>
      </c>
      <c r="U1060" s="33" t="n"/>
    </row>
    <row r="1061" hidden="1" s="40">
      <c r="A1061" s="18" t="inlineStr">
        <is>
          <t>Semana 2 - Junho</t>
        </is>
      </c>
      <c r="B1061" s="27">
        <f>YEAR(E1061)</f>
        <v/>
      </c>
      <c r="C1061" s="18">
        <f>INDEX({"Janeiro";"Fevereiro";"Março";"Abril";"Maio";"Junho";"Julho";"Agosto";"Setembro";"Outubro";"Novembro";"Dezembro"},Q1061)</f>
        <v/>
      </c>
      <c r="D1061" s="19" t="n">
        <v>2</v>
      </c>
      <c r="E1061" s="20" t="n">
        <v>46181</v>
      </c>
      <c r="F1061" s="18" t="inlineStr">
        <is>
          <t>Manteiga 200g</t>
        </is>
      </c>
      <c r="G1061" s="18" t="inlineStr">
        <is>
          <t>MANTEIGA</t>
        </is>
      </c>
      <c r="H1061" s="21" t="n">
        <v>0.2</v>
      </c>
      <c r="I1061" s="36" t="n">
        <v>4400</v>
      </c>
      <c r="J1061" s="21">
        <f>I1061*H1061</f>
        <v/>
      </c>
      <c r="K1061" s="21">
        <f>IFERROR(IF(J1061/P1061&gt;1,P1061,J1061),0)</f>
        <v/>
      </c>
      <c r="L1061" s="36" t="n">
        <v>4848</v>
      </c>
      <c r="M1061" s="21">
        <f>L1061*H1061</f>
        <v/>
      </c>
      <c r="N1061" s="21">
        <f>IFERROR(IF(M1061/K1061&gt;1,K1061,M1061),0)</f>
        <v/>
      </c>
      <c r="O1061" s="36" t="n">
        <v>2304</v>
      </c>
      <c r="P1061" s="21">
        <f>O1061*H1061</f>
        <v/>
      </c>
      <c r="Q1061" s="30">
        <f>IF(MONTH(E1061+1)=MONTH(E1061+6),MONTH(E1061+1),IF(MIN(EOMONTH(E1061+1,0),E1061+6)-(E1061+1)+1&gt;=3,MONTH(E1061+1),MONTH(E1061+6)))</f>
        <v/>
      </c>
      <c r="R1061" s="22">
        <f>IFERROR(K1061/P1061, 0)</f>
        <v/>
      </c>
      <c r="S1061" s="38">
        <f>IFERROR(N1061/P1061,0)</f>
        <v/>
      </c>
      <c r="T1061" s="31">
        <f>IFERROR(IF(N1061&gt;0,(N1061/K1061),MIN(1,M1061/J1061)),0)</f>
        <v/>
      </c>
      <c r="U1061" s="33" t="n"/>
    </row>
    <row r="1062" hidden="1" s="40">
      <c r="A1062" s="23" t="inlineStr">
        <is>
          <t>Semana 2 - Junho</t>
        </is>
      </c>
      <c r="B1062" s="27">
        <f>YEAR(E1062)</f>
        <v/>
      </c>
      <c r="C1062" s="18">
        <f>INDEX({"Janeiro";"Fevereiro";"Março";"Abril";"Maio";"Junho";"Julho";"Agosto";"Setembro";"Outubro";"Novembro";"Dezembro"},Q1062)</f>
        <v/>
      </c>
      <c r="D1062" s="24" t="n">
        <v>2</v>
      </c>
      <c r="E1062" s="25" t="n">
        <v>46181</v>
      </c>
      <c r="F1062" s="23" t="inlineStr">
        <is>
          <t>Manteiga 500g</t>
        </is>
      </c>
      <c r="G1062" s="23" t="inlineStr">
        <is>
          <t>MANTEIGA</t>
        </is>
      </c>
      <c r="H1062" s="26" t="n">
        <v>0.5</v>
      </c>
      <c r="I1062" s="36" t="n">
        <v>550</v>
      </c>
      <c r="J1062" s="21">
        <f>I1062*H1062</f>
        <v/>
      </c>
      <c r="K1062" s="21">
        <f>IFERROR(IF(J1062/P1062&gt;1,P1062,J1062),0)</f>
        <v/>
      </c>
      <c r="L1062" s="36" t="n">
        <v>516</v>
      </c>
      <c r="M1062" s="21">
        <f>L1062*H1062</f>
        <v/>
      </c>
      <c r="N1062" s="21">
        <f>IFERROR(IF(M1062/K1062&gt;1,K1062,M1062),0)</f>
        <v/>
      </c>
      <c r="O1062" s="36" t="n">
        <v>1100</v>
      </c>
      <c r="P1062" s="21">
        <f>O1062*H1062</f>
        <v/>
      </c>
      <c r="Q1062" s="30">
        <f>IF(MONTH(E1062+1)=MONTH(E1062+6),MONTH(E1062+1),IF(MIN(EOMONTH(E1062+1,0),E1062+6)-(E1062+1)+1&gt;=3,MONTH(E1062+1),MONTH(E1062+6)))</f>
        <v/>
      </c>
      <c r="R1062" s="22">
        <f>IFERROR(K1062/P1062, 0)</f>
        <v/>
      </c>
      <c r="S1062" s="38">
        <f>IFERROR(N1062/P1062,0)</f>
        <v/>
      </c>
      <c r="T1062" s="31">
        <f>IFERROR(IF(N1062&gt;0,(N1062/K1062),MIN(1,M1062/J1062)),0)</f>
        <v/>
      </c>
      <c r="U1062" s="33" t="n"/>
    </row>
    <row r="1063" hidden="1" s="40">
      <c r="A1063" s="18" t="inlineStr">
        <is>
          <t>Semana 2 - Junho</t>
        </is>
      </c>
      <c r="B1063" s="27">
        <f>YEAR(E1063)</f>
        <v/>
      </c>
      <c r="C1063" s="18">
        <f>INDEX({"Janeiro";"Fevereiro";"Março";"Abril";"Maio";"Junho";"Julho";"Agosto";"Setembro";"Outubro";"Novembro";"Dezembro"},Q1063)</f>
        <v/>
      </c>
      <c r="D1063" s="19" t="n">
        <v>2</v>
      </c>
      <c r="E1063" s="20" t="n">
        <v>46181</v>
      </c>
      <c r="F1063" s="18" t="inlineStr">
        <is>
          <t>QUEIJO MINAS MEIA CURA (FRACIONADO)</t>
        </is>
      </c>
      <c r="G1063" s="18" t="inlineStr">
        <is>
          <t>QUEIJO</t>
        </is>
      </c>
      <c r="H1063" s="21" t="n">
        <v>1</v>
      </c>
      <c r="I1063" s="36" t="n">
        <v>0</v>
      </c>
      <c r="J1063" s="21">
        <f>I1063*H1063</f>
        <v/>
      </c>
      <c r="K1063" s="21">
        <f>IFERROR(IF(J1063/P1063&gt;1,P1063,J1063),0)</f>
        <v/>
      </c>
      <c r="L1063" s="36" t="n">
        <v>0</v>
      </c>
      <c r="M1063" s="21">
        <f>L1063*H1063</f>
        <v/>
      </c>
      <c r="N1063" s="21">
        <f>IFERROR(IF(M1063/K1063&gt;1,K1063,M1063),0)</f>
        <v/>
      </c>
      <c r="O1063" s="36" t="n">
        <v>0</v>
      </c>
      <c r="P1063" s="21">
        <f>O1063*H1063</f>
        <v/>
      </c>
      <c r="Q1063" s="30">
        <f>IF(MONTH(E1063+1)=MONTH(E1063+6),MONTH(E1063+1),IF(MIN(EOMONTH(E1063+1,0),E1063+6)-(E1063+1)+1&gt;=3,MONTH(E1063+1),MONTH(E1063+6)))</f>
        <v/>
      </c>
      <c r="R1063" s="22">
        <f>IFERROR(K1063/P1063, 0)</f>
        <v/>
      </c>
      <c r="S1063" s="38">
        <f>IFERROR(N1063/P1063,0)</f>
        <v/>
      </c>
      <c r="T1063" s="31">
        <f>IFERROR(IF(N1063&gt;0,(N1063/K1063),MIN(1,M1063/J1063)),0)</f>
        <v/>
      </c>
      <c r="U1063" s="33" t="n"/>
    </row>
    <row r="1064" hidden="1" s="40">
      <c r="A1064" s="23" t="inlineStr">
        <is>
          <t>Semana 2 - Junho</t>
        </is>
      </c>
      <c r="B1064" s="27">
        <f>YEAR(E1064)</f>
        <v/>
      </c>
      <c r="C1064" s="18">
        <f>INDEX({"Janeiro";"Fevereiro";"Março";"Abril";"Maio";"Junho";"Julho";"Agosto";"Setembro";"Outubro";"Novembro";"Dezembro"},Q1064)</f>
        <v/>
      </c>
      <c r="D1064" s="24" t="n">
        <v>2</v>
      </c>
      <c r="E1064" s="25" t="n">
        <v>46181</v>
      </c>
      <c r="F1064" s="23" t="inlineStr">
        <is>
          <t>QUEIJO MINAS MEIA CURA (INTEIRO)</t>
        </is>
      </c>
      <c r="G1064" s="23" t="inlineStr">
        <is>
          <t>QUEIJO</t>
        </is>
      </c>
      <c r="H1064" s="26" t="n">
        <v>1</v>
      </c>
      <c r="I1064" s="36" t="n">
        <v>0</v>
      </c>
      <c r="J1064" s="21">
        <f>I1064*H1064</f>
        <v/>
      </c>
      <c r="K1064" s="21">
        <f>IFERROR(IF(J1064/P1064&gt;1,P1064,J1064),0)</f>
        <v/>
      </c>
      <c r="L1064" s="36" t="n">
        <v>0</v>
      </c>
      <c r="M1064" s="21">
        <f>L1064*H1064</f>
        <v/>
      </c>
      <c r="N1064" s="21">
        <f>IFERROR(IF(M1064/K1064&gt;1,K1064,M1064),0)</f>
        <v/>
      </c>
      <c r="O1064" s="36" t="n">
        <v>0</v>
      </c>
      <c r="P1064" s="21">
        <f>O1064*H1064</f>
        <v/>
      </c>
      <c r="Q1064" s="30">
        <f>IF(MONTH(E1064+1)=MONTH(E1064+6),MONTH(E1064+1),IF(MIN(EOMONTH(E1064+1,0),E1064+6)-(E1064+1)+1&gt;=3,MONTH(E1064+1),MONTH(E1064+6)))</f>
        <v/>
      </c>
      <c r="R1064" s="22">
        <f>IFERROR(K1064/P1064, 0)</f>
        <v/>
      </c>
      <c r="S1064" s="38">
        <f>IFERROR(N1064/P1064,0)</f>
        <v/>
      </c>
      <c r="T1064" s="31">
        <f>IFERROR(IF(N1064&gt;0,(N1064/K1064),MIN(1,M1064/J1064)),0)</f>
        <v/>
      </c>
      <c r="U1064" s="33" t="n"/>
    </row>
    <row r="1065" hidden="1" s="40">
      <c r="A1065" s="18" t="inlineStr">
        <is>
          <t>Semana 2 - Junho</t>
        </is>
      </c>
      <c r="B1065" s="27">
        <f>YEAR(E1065)</f>
        <v/>
      </c>
      <c r="C1065" s="18">
        <f>INDEX({"Janeiro";"Fevereiro";"Março";"Abril";"Maio";"Junho";"Julho";"Agosto";"Setembro";"Outubro";"Novembro";"Dezembro"},Q1065)</f>
        <v/>
      </c>
      <c r="D1065" s="19" t="n">
        <v>2</v>
      </c>
      <c r="E1065" s="20" t="n">
        <v>46181</v>
      </c>
      <c r="F1065" s="18" t="inlineStr">
        <is>
          <t xml:space="preserve">QUEIJO MINAS PADRÃO VIÇOSA FRACIONADO </t>
        </is>
      </c>
      <c r="G1065" s="18" t="inlineStr">
        <is>
          <t>QUEIJO</t>
        </is>
      </c>
      <c r="H1065" s="21" t="n">
        <v>1</v>
      </c>
      <c r="I1065" s="36" t="n">
        <v>0</v>
      </c>
      <c r="J1065" s="21">
        <f>I1065*H1065</f>
        <v/>
      </c>
      <c r="K1065" s="21">
        <f>IFERROR(IF(J1065/P1065&gt;1,P1065,J1065),0)</f>
        <v/>
      </c>
      <c r="L1065" s="36" t="n">
        <v>0</v>
      </c>
      <c r="M1065" s="21">
        <f>L1065*H1065</f>
        <v/>
      </c>
      <c r="N1065" s="21">
        <f>IFERROR(IF(M1065/K1065&gt;1,K1065,M1065),0)</f>
        <v/>
      </c>
      <c r="O1065" s="36" t="n">
        <v>0</v>
      </c>
      <c r="P1065" s="21">
        <f>O1065*H1065</f>
        <v/>
      </c>
      <c r="Q1065" s="30">
        <f>IF(MONTH(E1065+1)=MONTH(E1065+6),MONTH(E1065+1),IF(MIN(EOMONTH(E1065+1,0),E1065+6)-(E1065+1)+1&gt;=3,MONTH(E1065+1),MONTH(E1065+6)))</f>
        <v/>
      </c>
      <c r="R1065" s="22">
        <f>IFERROR(K1065/P1065, 0)</f>
        <v/>
      </c>
      <c r="S1065" s="38">
        <f>IFERROR(N1065/P1065,0)</f>
        <v/>
      </c>
      <c r="T1065" s="31">
        <f>IFERROR(IF(N1065&gt;0,(N1065/K1065),MIN(1,M1065/J1065)),0)</f>
        <v/>
      </c>
      <c r="U1065" s="33" t="n"/>
    </row>
    <row r="1066" hidden="1" s="40">
      <c r="A1066" s="23" t="inlineStr">
        <is>
          <t>Semana 2 - Junho</t>
        </is>
      </c>
      <c r="B1066" s="27">
        <f>YEAR(E1066)</f>
        <v/>
      </c>
      <c r="C1066" s="18">
        <f>INDEX({"Janeiro";"Fevereiro";"Março";"Abril";"Maio";"Junho";"Julho";"Agosto";"Setembro";"Outubro";"Novembro";"Dezembro"},Q1066)</f>
        <v/>
      </c>
      <c r="D1066" s="24" t="n">
        <v>2</v>
      </c>
      <c r="E1066" s="25" t="n">
        <v>46181</v>
      </c>
      <c r="F1066" s="23" t="inlineStr">
        <is>
          <t>QUEIJO MUSSARELA 3KG</t>
        </is>
      </c>
      <c r="G1066" s="23" t="inlineStr">
        <is>
          <t>QUEIJO</t>
        </is>
      </c>
      <c r="H1066" s="26" t="n">
        <v>1</v>
      </c>
      <c r="I1066" s="36" t="n">
        <v>2400</v>
      </c>
      <c r="J1066" s="21">
        <f>I1066*H1066</f>
        <v/>
      </c>
      <c r="K1066" s="21">
        <f>IFERROR(IF(J1066/P1066&gt;1,P1066,J1066),0)</f>
        <v/>
      </c>
      <c r="L1066" s="36" t="n">
        <v>2400</v>
      </c>
      <c r="M1066" s="21">
        <f>L1066*H1066</f>
        <v/>
      </c>
      <c r="N1066" s="21">
        <f>IFERROR(IF(M1066/K1066&gt;1,K1066,M1066),0)</f>
        <v/>
      </c>
      <c r="O1066" s="36" t="n">
        <v>800</v>
      </c>
      <c r="P1066" s="21">
        <f>O1066*H1066</f>
        <v/>
      </c>
      <c r="Q1066" s="30">
        <f>IF(MONTH(E1066+1)=MONTH(E1066+6),MONTH(E1066+1),IF(MIN(EOMONTH(E1066+1,0),E1066+6)-(E1066+1)+1&gt;=3,MONTH(E1066+1),MONTH(E1066+6)))</f>
        <v/>
      </c>
      <c r="R1066" s="22">
        <f>IFERROR(K1066/P1066, 0)</f>
        <v/>
      </c>
      <c r="S1066" s="38">
        <f>IFERROR(N1066/P1066,0)</f>
        <v/>
      </c>
      <c r="T1066" s="31">
        <f>IFERROR(IF(N1066&gt;0,(N1066/K1066),MIN(1,M1066/J1066)),0)</f>
        <v/>
      </c>
      <c r="U1066" s="33" t="n"/>
    </row>
    <row r="1067" hidden="1" s="40">
      <c r="A1067" s="18" t="inlineStr">
        <is>
          <t>Semana 2 - Junho</t>
        </is>
      </c>
      <c r="B1067" s="27">
        <f>YEAR(E1067)</f>
        <v/>
      </c>
      <c r="C1067" s="18">
        <f>INDEX({"Janeiro";"Fevereiro";"Março";"Abril";"Maio";"Junho";"Julho";"Agosto";"Setembro";"Outubro";"Novembro";"Dezembro"},Q1067)</f>
        <v/>
      </c>
      <c r="D1067" s="19" t="n">
        <v>2</v>
      </c>
      <c r="E1067" s="20" t="n">
        <v>46181</v>
      </c>
      <c r="F1067" s="18" t="inlineStr">
        <is>
          <t>QUEIJO MUSSARELA LANCHE</t>
        </is>
      </c>
      <c r="G1067" s="18" t="inlineStr">
        <is>
          <t>QUEIJO</t>
        </is>
      </c>
      <c r="H1067" s="21" t="n">
        <v>1</v>
      </c>
      <c r="I1067" s="36" t="n">
        <v>600</v>
      </c>
      <c r="J1067" s="21">
        <f>I1067*H1067</f>
        <v/>
      </c>
      <c r="K1067" s="21">
        <f>IFERROR(IF(J1067/P1067&gt;1,P1067,J1067),0)</f>
        <v/>
      </c>
      <c r="L1067" s="36" t="n">
        <v>600</v>
      </c>
      <c r="M1067" s="21">
        <f>L1067*H1067</f>
        <v/>
      </c>
      <c r="N1067" s="21">
        <f>IFERROR(IF(M1067/K1067&gt;1,K1067,M1067),0)</f>
        <v/>
      </c>
      <c r="O1067" s="36" t="n">
        <v>200</v>
      </c>
      <c r="P1067" s="21">
        <f>O1067*H1067</f>
        <v/>
      </c>
      <c r="Q1067" s="30">
        <f>IF(MONTH(E1067+1)=MONTH(E1067+6),MONTH(E1067+1),IF(MIN(EOMONTH(E1067+1,0),E1067+6)-(E1067+1)+1&gt;=3,MONTH(E1067+1),MONTH(E1067+6)))</f>
        <v/>
      </c>
      <c r="R1067" s="22">
        <f>IFERROR(K1067/P1067, 0)</f>
        <v/>
      </c>
      <c r="S1067" s="38">
        <f>IFERROR(N1067/P1067,0)</f>
        <v/>
      </c>
      <c r="T1067" s="31">
        <f>IFERROR(IF(N1067&gt;0,(N1067/K1067),MIN(1,M1067/J1067)),0)</f>
        <v/>
      </c>
      <c r="U1067" s="33" t="n"/>
    </row>
    <row r="1068" hidden="1" s="40">
      <c r="A1068" s="23" t="inlineStr">
        <is>
          <t>Semana 2 - Junho</t>
        </is>
      </c>
      <c r="B1068" s="27">
        <f>YEAR(E1068)</f>
        <v/>
      </c>
      <c r="C1068" s="18">
        <f>INDEX({"Janeiro";"Fevereiro";"Março";"Abril";"Maio";"Junho";"Julho";"Agosto";"Setembro";"Outubro";"Novembro";"Dezembro"},Q1068)</f>
        <v/>
      </c>
      <c r="D1068" s="24" t="n">
        <v>2</v>
      </c>
      <c r="E1068" s="25" t="n">
        <v>46181</v>
      </c>
      <c r="F1068" s="23" t="inlineStr">
        <is>
          <t>Requeijão Light 200g</t>
        </is>
      </c>
      <c r="G1068" s="23" t="inlineStr">
        <is>
          <t>REQUEIJÃO</t>
        </is>
      </c>
      <c r="H1068" s="26" t="n">
        <v>0.2</v>
      </c>
      <c r="I1068" s="36" t="n">
        <v>0</v>
      </c>
      <c r="J1068" s="21">
        <f>I1068*H1068</f>
        <v/>
      </c>
      <c r="K1068" s="21">
        <f>IFERROR(IF(J1068/P1068&gt;1,P1068,J1068),0)</f>
        <v/>
      </c>
      <c r="L1068" s="36" t="n">
        <v>0</v>
      </c>
      <c r="M1068" s="21">
        <f>L1068*H1068</f>
        <v/>
      </c>
      <c r="N1068" s="21">
        <f>IFERROR(IF(M1068/K1068&gt;1,K1068,M1068),0)</f>
        <v/>
      </c>
      <c r="O1068" s="36" t="n">
        <v>0</v>
      </c>
      <c r="P1068" s="21">
        <f>O1068*H1068</f>
        <v/>
      </c>
      <c r="Q1068" s="30">
        <f>IF(MONTH(E1068+1)=MONTH(E1068+6),MONTH(E1068+1),IF(MIN(EOMONTH(E1068+1,0),E1068+6)-(E1068+1)+1&gt;=3,MONTH(E1068+1),MONTH(E1068+6)))</f>
        <v/>
      </c>
      <c r="R1068" s="22">
        <f>IFERROR(K1068/P1068, 0)</f>
        <v/>
      </c>
      <c r="S1068" s="38">
        <f>IFERROR(N1068/P1068,0)</f>
        <v/>
      </c>
      <c r="T1068" s="31">
        <f>IFERROR(IF(N1068&gt;0,(N1068/K1068),MIN(1,M1068/J1068)),0)</f>
        <v/>
      </c>
      <c r="U1068" s="33" t="n"/>
    </row>
    <row r="1069" hidden="1" s="40">
      <c r="A1069" s="23" t="inlineStr">
        <is>
          <t>Semana 2 - Junho</t>
        </is>
      </c>
      <c r="B1069" s="27">
        <f>YEAR(E1069)</f>
        <v/>
      </c>
      <c r="C1069" s="18">
        <f>INDEX({"Janeiro";"Fevereiro";"Março";"Abril";"Maio";"Junho";"Julho";"Agosto";"Setembro";"Outubro";"Novembro";"Dezembro"},Q1069)</f>
        <v/>
      </c>
      <c r="D1069" s="24" t="n">
        <v>2</v>
      </c>
      <c r="E1069" s="25" t="n">
        <v>46181</v>
      </c>
      <c r="F1069" s="23" t="inlineStr">
        <is>
          <t>REQUEIJÃO VIÇOSA 200g</t>
        </is>
      </c>
      <c r="G1069" s="23" t="inlineStr">
        <is>
          <t>REQUEIJÃO</t>
        </is>
      </c>
      <c r="H1069" s="26" t="n">
        <v>0.2</v>
      </c>
      <c r="I1069" s="36" t="n">
        <v>3300</v>
      </c>
      <c r="J1069" s="21">
        <f>I1069*H1069</f>
        <v/>
      </c>
      <c r="K1069" s="21">
        <f>IFERROR(IF(J1069/P1069&gt;1,P1069,J1069),0)</f>
        <v/>
      </c>
      <c r="L1069" s="36" t="n">
        <v>3226</v>
      </c>
      <c r="M1069" s="21">
        <f>L1069*H1069</f>
        <v/>
      </c>
      <c r="N1069" s="21">
        <f>IFERROR(IF(M1069/K1069&gt;1,K1069,M1069),0)</f>
        <v/>
      </c>
      <c r="O1069" s="36" t="n">
        <v>3200</v>
      </c>
      <c r="P1069" s="21">
        <f>O1069*H1069</f>
        <v/>
      </c>
      <c r="Q1069" s="30">
        <f>IF(MONTH(E1069+1)=MONTH(E1069+6),MONTH(E1069+1),IF(MIN(EOMONTH(E1069+1,0),E1069+6)-(E1069+1)+1&gt;=3,MONTH(E1069+1),MONTH(E1069+6)))</f>
        <v/>
      </c>
      <c r="R1069" s="22">
        <f>IFERROR(K1069/P1069, 0)</f>
        <v/>
      </c>
      <c r="S1069" s="38">
        <f>IFERROR(N1069/P1069,0)</f>
        <v/>
      </c>
      <c r="T1069" s="31">
        <f>IFERROR(IF(N1069&gt;0,(N1069/K1069),MIN(1,M1069/J1069)),0)</f>
        <v/>
      </c>
      <c r="U1069" s="33" t="n"/>
    </row>
    <row r="1070" hidden="1" s="40">
      <c r="A1070" s="18" t="inlineStr">
        <is>
          <t>Semana 2 - Junho</t>
        </is>
      </c>
      <c r="B1070" s="27">
        <f>YEAR(E1070)</f>
        <v/>
      </c>
      <c r="C1070" s="18">
        <f>INDEX({"Janeiro";"Fevereiro";"Março";"Abril";"Maio";"Junho";"Julho";"Agosto";"Setembro";"Outubro";"Novembro";"Dezembro"},Q1070)</f>
        <v/>
      </c>
      <c r="D1070" s="19" t="n">
        <v>2</v>
      </c>
      <c r="E1070" s="20" t="n">
        <v>46181</v>
      </c>
      <c r="F1070" s="18" t="inlineStr">
        <is>
          <t>REQUEIJÃO VIÇOSA 400g</t>
        </is>
      </c>
      <c r="G1070" s="18" t="inlineStr">
        <is>
          <t>REQUEIJÃO</t>
        </is>
      </c>
      <c r="H1070" s="21" t="n">
        <v>0.4</v>
      </c>
      <c r="I1070" s="36" t="n">
        <v>1200</v>
      </c>
      <c r="J1070" s="21">
        <f>I1070*H1070</f>
        <v/>
      </c>
      <c r="K1070" s="21">
        <f>IFERROR(IF(J1070/P1070&gt;1,P1070,J1070),0)</f>
        <v/>
      </c>
      <c r="L1070" s="36" t="n">
        <v>1868</v>
      </c>
      <c r="M1070" s="21">
        <f>L1070*H1070</f>
        <v/>
      </c>
      <c r="N1070" s="21">
        <f>IFERROR(IF(M1070/K1070&gt;1,K1070,M1070),0)</f>
        <v/>
      </c>
      <c r="O1070" s="36" t="n">
        <v>1200</v>
      </c>
      <c r="P1070" s="21">
        <f>O1070*H1070</f>
        <v/>
      </c>
      <c r="Q1070" s="30">
        <f>IF(MONTH(E1070+1)=MONTH(E1070+6),MONTH(E1070+1),IF(MIN(EOMONTH(E1070+1,0),E1070+6)-(E1070+1)+1&gt;=3,MONTH(E1070+1),MONTH(E1070+6)))</f>
        <v/>
      </c>
      <c r="R1070" s="22">
        <f>IFERROR(K1070/P1070, 0)</f>
        <v/>
      </c>
      <c r="S1070" s="38">
        <f>IFERROR(N1070/P1070,0)</f>
        <v/>
      </c>
      <c r="T1070" s="31">
        <f>IFERROR(IF(N1070&gt;0,(N1070/K1070),MIN(1,M1070/J1070)),0)</f>
        <v/>
      </c>
      <c r="U1070" s="33" t="n"/>
    </row>
    <row r="1071" hidden="1" s="40">
      <c r="A1071" s="23" t="inlineStr">
        <is>
          <t>Semana 3 - Junho</t>
        </is>
      </c>
      <c r="B1071" s="27">
        <f>YEAR(E1071)</f>
        <v/>
      </c>
      <c r="C1071" s="18">
        <f>INDEX({"Janeiro";"Fevereiro";"Março";"Abril";"Maio";"Junho";"Julho";"Agosto";"Setembro";"Outubro";"Novembro";"Dezembro"},Q1071)</f>
        <v/>
      </c>
      <c r="D1071" s="24" t="n">
        <v>3</v>
      </c>
      <c r="E1071" s="25" t="n">
        <v>46188</v>
      </c>
      <c r="F1071" s="23" t="inlineStr">
        <is>
          <t>Creme de Ricota 200g</t>
        </is>
      </c>
      <c r="G1071" s="23" t="inlineStr">
        <is>
          <t>RICOTA</t>
        </is>
      </c>
      <c r="H1071" s="26" t="n">
        <v>0.2</v>
      </c>
      <c r="I1071" s="36" t="n">
        <v>0</v>
      </c>
      <c r="J1071" s="21">
        <f>I1071*H1071</f>
        <v/>
      </c>
      <c r="K1071" s="21">
        <f>IFERROR(IF(J1071/P1071&gt;1,P1071,J1071),0)</f>
        <v/>
      </c>
      <c r="L1071" s="36" t="n">
        <v>0</v>
      </c>
      <c r="M1071" s="21">
        <f>L1071*H1071</f>
        <v/>
      </c>
      <c r="N1071" s="21">
        <f>IFERROR(IF(M1071/K1071&gt;1,K1071,M1071),0)</f>
        <v/>
      </c>
      <c r="O1071" s="36" t="n">
        <v>0</v>
      </c>
      <c r="P1071" s="21">
        <f>O1071*H1071</f>
        <v/>
      </c>
      <c r="Q1071" s="30">
        <f>IF(MONTH(E1071+1)=MONTH(E1071+6),MONTH(E1071+1),IF(MIN(EOMONTH(E1071+1,0),E1071+6)-(E1071+1)+1&gt;=3,MONTH(E1071+1),MONTH(E1071+6)))</f>
        <v/>
      </c>
      <c r="R1071" s="22">
        <f>IFERROR(K1071/P1071, 0)</f>
        <v/>
      </c>
      <c r="S1071" s="38">
        <f>IFERROR(N1071/P1071,0)</f>
        <v/>
      </c>
      <c r="T1071" s="31">
        <f>IFERROR(IF(N1071&gt;0,(N1071/K1071),MIN(1,M1071/J1071)),0)</f>
        <v/>
      </c>
      <c r="U1071" s="33" t="inlineStr">
        <is>
          <t>Na quarta-feira (17/06), uma falha na máquina do iogurte 120g aumentou a produção da versão de 900g. Para recuperar o volume perdido do produto de 120g, um lote extra foi realizado na sexta-feira.</t>
        </is>
      </c>
    </row>
    <row r="1072" hidden="1" s="40">
      <c r="A1072" s="23" t="inlineStr">
        <is>
          <t>Semana 3 - Junho</t>
        </is>
      </c>
      <c r="B1072" s="27">
        <f>YEAR(E1072)</f>
        <v/>
      </c>
      <c r="C1072" s="18">
        <f>INDEX({"Janeiro";"Fevereiro";"Março";"Abril";"Maio";"Junho";"Julho";"Agosto";"Setembro";"Outubro";"Novembro";"Dezembro"},Q1072)</f>
        <v/>
      </c>
      <c r="D1072" s="24" t="n">
        <v>3</v>
      </c>
      <c r="E1072" s="25" t="n">
        <v>46188</v>
      </c>
      <c r="F1072" s="23" t="inlineStr">
        <is>
          <t>Doce de Leite 400g</t>
        </is>
      </c>
      <c r="G1072" s="23" t="inlineStr">
        <is>
          <t>DOCE</t>
        </is>
      </c>
      <c r="H1072" s="26" t="n">
        <v>0.4</v>
      </c>
      <c r="I1072" s="36" t="n">
        <v>42000</v>
      </c>
      <c r="J1072" s="21">
        <f>I1072*H1072</f>
        <v/>
      </c>
      <c r="K1072" s="21">
        <f>IFERROR(IF(J1072/P1072&gt;1,P1072,J1072),0)</f>
        <v/>
      </c>
      <c r="L1072" s="36" t="n">
        <v>42981</v>
      </c>
      <c r="M1072" s="21">
        <f>L1072*H1072</f>
        <v/>
      </c>
      <c r="N1072" s="21">
        <f>IFERROR(IF(M1072/K1072&gt;1,K1072,M1072),0)</f>
        <v/>
      </c>
      <c r="O1072" s="36" t="n">
        <v>30000</v>
      </c>
      <c r="P1072" s="21">
        <f>O1072*H1072</f>
        <v/>
      </c>
      <c r="Q1072" s="30">
        <f>IF(MONTH(E1072+1)=MONTH(E1072+6),MONTH(E1072+1),IF(MIN(EOMONTH(E1072+1,0),E1072+6)-(E1072+1)+1&gt;=3,MONTH(E1072+1),MONTH(E1072+6)))</f>
        <v/>
      </c>
      <c r="R1072" s="22">
        <f>IFERROR(K1072/P1072, 0)</f>
        <v/>
      </c>
      <c r="S1072" s="38">
        <f>IFERROR(N1072/P1072,0)</f>
        <v/>
      </c>
      <c r="T1072" s="31">
        <f>IFERROR(IF(N1072&gt;0,(N1072/K1072),MIN(1,M1072/J1072)),0)</f>
        <v/>
      </c>
      <c r="U1072" s="33" t="inlineStr">
        <is>
          <t>Na sexta-feira, ocorreu um acidente com a batedeira na linha de produção de manteiga, resultando no desperdício de aprox. 400 litros de creme. Em decorrência do incidente, um dos lotes de 200g (1100 unidades), precisou ser cancelado.</t>
        </is>
      </c>
    </row>
    <row r="1073" hidden="1" s="40">
      <c r="A1073" s="18" t="inlineStr">
        <is>
          <t>Semana 3 - Junho</t>
        </is>
      </c>
      <c r="B1073" s="27">
        <f>YEAR(E1073)</f>
        <v/>
      </c>
      <c r="C1073" s="18">
        <f>INDEX({"Janeiro";"Fevereiro";"Março";"Abril";"Maio";"Junho";"Julho";"Agosto";"Setembro";"Outubro";"Novembro";"Dezembro"},Q1073)</f>
        <v/>
      </c>
      <c r="D1073" s="19" t="n">
        <v>3</v>
      </c>
      <c r="E1073" s="20" t="n">
        <v>46188</v>
      </c>
      <c r="F1073" s="18" t="inlineStr">
        <is>
          <t>Doce de Leite 5kg</t>
        </is>
      </c>
      <c r="G1073" s="18" t="inlineStr">
        <is>
          <t>DOCE</t>
        </is>
      </c>
      <c r="H1073" s="21" t="n">
        <v>5</v>
      </c>
      <c r="I1073" s="36" t="n">
        <v>1860</v>
      </c>
      <c r="J1073" s="21">
        <f>I1073*H1073</f>
        <v/>
      </c>
      <c r="K1073" s="21">
        <f>IFERROR(IF(J1073/P1073&gt;1,P1073,J1073),0)</f>
        <v/>
      </c>
      <c r="L1073" s="36" t="n">
        <v>2028</v>
      </c>
      <c r="M1073" s="21">
        <f>L1073*H1073</f>
        <v/>
      </c>
      <c r="N1073" s="21">
        <f>IFERROR(IF(M1073/K1073&gt;1,K1073,M1073),0)</f>
        <v/>
      </c>
      <c r="O1073" s="36" t="n">
        <v>2325</v>
      </c>
      <c r="P1073" s="21">
        <f>O1073*H1073</f>
        <v/>
      </c>
      <c r="Q1073" s="30">
        <f>IF(MONTH(E1073+1)=MONTH(E1073+6),MONTH(E1073+1),IF(MIN(EOMONTH(E1073+1,0),E1073+6)-(E1073+1)+1&gt;=3,MONTH(E1073+1),MONTH(E1073+6)))</f>
        <v/>
      </c>
      <c r="R1073" s="22">
        <f>IFERROR(K1073/P1073, 0)</f>
        <v/>
      </c>
      <c r="S1073" s="38">
        <f>IFERROR(N1073/P1073,0)</f>
        <v/>
      </c>
      <c r="T1073" s="31">
        <f>IFERROR(IF(N1073&gt;0,(N1073/K1073),MIN(1,M1073/J1073)),0)</f>
        <v/>
      </c>
      <c r="U1073" s="33" t="inlineStr">
        <is>
          <t>A pedido do P&amp;D, foi produzido um lote extra de 1.500 litros de iogurte de morango 900g. A produção foi direcionada para testes com um novo fermento. (17/06/26)</t>
        </is>
      </c>
    </row>
    <row r="1074" hidden="1" s="40">
      <c r="A1074" s="23" t="inlineStr">
        <is>
          <t>Semana 3 - Junho</t>
        </is>
      </c>
      <c r="B1074" s="27">
        <f>YEAR(E1074)</f>
        <v/>
      </c>
      <c r="C1074" s="18">
        <f>INDEX({"Janeiro";"Fevereiro";"Março";"Abril";"Maio";"Junho";"Julho";"Agosto";"Setembro";"Outubro";"Novembro";"Dezembro"},Q1074)</f>
        <v/>
      </c>
      <c r="D1074" s="24" t="n">
        <v>3</v>
      </c>
      <c r="E1074" s="25" t="n">
        <v>46188</v>
      </c>
      <c r="F1074" s="23" t="inlineStr">
        <is>
          <t>Doce de Leite 5kg - Bombeável</t>
        </is>
      </c>
      <c r="G1074" s="23" t="inlineStr">
        <is>
          <t>DOCE</t>
        </is>
      </c>
      <c r="H1074" s="26" t="n">
        <v>5</v>
      </c>
      <c r="I1074" s="36" t="n">
        <v>0</v>
      </c>
      <c r="J1074" s="21">
        <f>I1074*H1074</f>
        <v/>
      </c>
      <c r="K1074" s="21">
        <f>IFERROR(IF(J1074/P1074&gt;1,P1074,J1074),0)</f>
        <v/>
      </c>
      <c r="L1074" s="36" t="n">
        <v>0</v>
      </c>
      <c r="M1074" s="21">
        <f>L1074*H1074</f>
        <v/>
      </c>
      <c r="N1074" s="21">
        <f>IFERROR(IF(M1074/K1074&gt;1,K1074,M1074),0)</f>
        <v/>
      </c>
      <c r="O1074" s="36" t="n">
        <v>0</v>
      </c>
      <c r="P1074" s="21">
        <f>O1074*H1074</f>
        <v/>
      </c>
      <c r="Q1074" s="30">
        <f>IF(MONTH(E1074+1)=MONTH(E1074+6),MONTH(E1074+1),IF(MIN(EOMONTH(E1074+1,0),E1074+6)-(E1074+1)+1&gt;=3,MONTH(E1074+1),MONTH(E1074+6)))</f>
        <v/>
      </c>
      <c r="R1074" s="22">
        <f>IFERROR(K1074/P1074, 0)</f>
        <v/>
      </c>
      <c r="S1074" s="38">
        <f>IFERROR(N1074/P1074,0)</f>
        <v/>
      </c>
      <c r="T1074" s="31">
        <f>IFERROR(IF(N1074&gt;0,(N1074/K1074),MIN(1,M1074/J1074)),0)</f>
        <v/>
      </c>
      <c r="U1074" s="33" t="n"/>
    </row>
    <row r="1075" hidden="1" s="40">
      <c r="A1075" s="18" t="inlineStr">
        <is>
          <t>Semana 3 - Junho</t>
        </is>
      </c>
      <c r="B1075" s="27">
        <f>YEAR(E1075)</f>
        <v/>
      </c>
      <c r="C1075" s="18">
        <f>INDEX({"Janeiro";"Fevereiro";"Março";"Abril";"Maio";"Junho";"Julho";"Agosto";"Setembro";"Outubro";"Novembro";"Dezembro"},Q1075)</f>
        <v/>
      </c>
      <c r="D1075" s="19" t="n">
        <v>3</v>
      </c>
      <c r="E1075" s="20" t="n">
        <v>46188</v>
      </c>
      <c r="F1075" s="18" t="inlineStr">
        <is>
          <t>Doce de Leite 5kg - Forneável</t>
        </is>
      </c>
      <c r="G1075" s="18" t="inlineStr">
        <is>
          <t>DOCE</t>
        </is>
      </c>
      <c r="H1075" s="21" t="n">
        <v>5</v>
      </c>
      <c r="I1075" s="36" t="n">
        <v>465</v>
      </c>
      <c r="J1075" s="21">
        <f>I1075*H1075</f>
        <v/>
      </c>
      <c r="K1075" s="21">
        <f>IFERROR(IF(J1075/P1075&gt;1,P1075,J1075),0)</f>
        <v/>
      </c>
      <c r="L1075" s="36" t="n">
        <v>454</v>
      </c>
      <c r="M1075" s="21">
        <f>L1075*H1075</f>
        <v/>
      </c>
      <c r="N1075" s="21">
        <f>IFERROR(IF(M1075/K1075&gt;1,K1075,M1075),0)</f>
        <v/>
      </c>
      <c r="O1075" s="36" t="n">
        <v>465</v>
      </c>
      <c r="P1075" s="21">
        <f>O1075*H1075</f>
        <v/>
      </c>
      <c r="Q1075" s="30">
        <f>IF(MONTH(E1075+1)=MONTH(E1075+6),MONTH(E1075+1),IF(MIN(EOMONTH(E1075+1,0),E1075+6)-(E1075+1)+1&gt;=3,MONTH(E1075+1),MONTH(E1075+6)))</f>
        <v/>
      </c>
      <c r="R1075" s="22">
        <f>IFERROR(K1075/P1075, 0)</f>
        <v/>
      </c>
      <c r="S1075" s="38">
        <f>IFERROR(N1075/P1075,0)</f>
        <v/>
      </c>
      <c r="T1075" s="31">
        <f>IFERROR(IF(N1075&gt;0,(N1075/K1075),MIN(1,M1075/J1075)),0)</f>
        <v/>
      </c>
      <c r="U1075" s="33" t="n"/>
    </row>
    <row r="1076" hidden="1" s="40">
      <c r="A1076" s="23" t="inlineStr">
        <is>
          <t>Semana 3 - Junho</t>
        </is>
      </c>
      <c r="B1076" s="27">
        <f>YEAR(E1076)</f>
        <v/>
      </c>
      <c r="C1076" s="18">
        <f>INDEX({"Janeiro";"Fevereiro";"Março";"Abril";"Maio";"Junho";"Julho";"Agosto";"Setembro";"Outubro";"Novembro";"Dezembro"},Q1076)</f>
        <v/>
      </c>
      <c r="D1076" s="24" t="n">
        <v>3</v>
      </c>
      <c r="E1076" s="25" t="n">
        <v>46188</v>
      </c>
      <c r="F1076" s="23" t="inlineStr">
        <is>
          <t>Doce de Leite 800g</t>
        </is>
      </c>
      <c r="G1076" s="23" t="inlineStr">
        <is>
          <t>DOCE</t>
        </is>
      </c>
      <c r="H1076" s="26" t="n">
        <v>0.8</v>
      </c>
      <c r="I1076" s="36" t="n">
        <v>12000</v>
      </c>
      <c r="J1076" s="21">
        <f>I1076*H1076</f>
        <v/>
      </c>
      <c r="K1076" s="21">
        <f>IFERROR(IF(J1076/P1076&gt;1,P1076,J1076),0)</f>
        <v/>
      </c>
      <c r="L1076" s="36" t="n">
        <v>13724</v>
      </c>
      <c r="M1076" s="21">
        <f>L1076*H1076</f>
        <v/>
      </c>
      <c r="N1076" s="21">
        <f>IFERROR(IF(M1076/K1076&gt;1,K1076,M1076),0)</f>
        <v/>
      </c>
      <c r="O1076" s="36" t="n">
        <v>12000</v>
      </c>
      <c r="P1076" s="21">
        <f>O1076*H1076</f>
        <v/>
      </c>
      <c r="Q1076" s="30">
        <f>IF(MONTH(E1076+1)=MONTH(E1076+6),MONTH(E1076+1),IF(MIN(EOMONTH(E1076+1,0),E1076+6)-(E1076+1)+1&gt;=3,MONTH(E1076+1),MONTH(E1076+6)))</f>
        <v/>
      </c>
      <c r="R1076" s="22">
        <f>IFERROR(K1076/P1076, 0)</f>
        <v/>
      </c>
      <c r="S1076" s="38">
        <f>IFERROR(N1076/P1076,0)</f>
        <v/>
      </c>
      <c r="T1076" s="31">
        <f>IFERROR(IF(N1076&gt;0,(N1076/K1076),MIN(1,M1076/J1076)),0)</f>
        <v/>
      </c>
      <c r="U1076" s="33" t="n"/>
    </row>
    <row r="1077" hidden="1" s="40">
      <c r="A1077" s="18" t="inlineStr">
        <is>
          <t>Semana 3 - Junho</t>
        </is>
      </c>
      <c r="B1077" s="27">
        <f>YEAR(E1077)</f>
        <v/>
      </c>
      <c r="C1077" s="18">
        <f>INDEX({"Janeiro";"Fevereiro";"Março";"Abril";"Maio";"Junho";"Julho";"Agosto";"Setembro";"Outubro";"Novembro";"Dezembro"},Q1077)</f>
        <v/>
      </c>
      <c r="D1077" s="19" t="n">
        <v>3</v>
      </c>
      <c r="E1077" s="20" t="n">
        <v>46188</v>
      </c>
      <c r="F1077" s="18" t="inlineStr">
        <is>
          <t>Doce de Leite c/ Café 400</t>
        </is>
      </c>
      <c r="G1077" s="18" t="inlineStr">
        <is>
          <t>DOCE</t>
        </is>
      </c>
      <c r="H1077" s="21" t="n">
        <v>0.4</v>
      </c>
      <c r="I1077" s="36" t="n">
        <v>0</v>
      </c>
      <c r="J1077" s="21">
        <f>I1077*H1077</f>
        <v/>
      </c>
      <c r="K1077" s="21">
        <f>IFERROR(IF(J1077/P1077&gt;1,P1077,J1077),0)</f>
        <v/>
      </c>
      <c r="L1077" s="36" t="n">
        <v>0</v>
      </c>
      <c r="M1077" s="21">
        <f>L1077*H1077</f>
        <v/>
      </c>
      <c r="N1077" s="21">
        <f>IFERROR(IF(M1077/K1077&gt;1,K1077,M1077),0)</f>
        <v/>
      </c>
      <c r="O1077" s="36" t="n">
        <v>0</v>
      </c>
      <c r="P1077" s="21">
        <f>O1077*H1077</f>
        <v/>
      </c>
      <c r="Q1077" s="30">
        <f>IF(MONTH(E1077+1)=MONTH(E1077+6),MONTH(E1077+1),IF(MIN(EOMONTH(E1077+1,0),E1077+6)-(E1077+1)+1&gt;=3,MONTH(E1077+1),MONTH(E1077+6)))</f>
        <v/>
      </c>
      <c r="R1077" s="22">
        <f>IFERROR(K1077/P1077, 0)</f>
        <v/>
      </c>
      <c r="S1077" s="38">
        <f>IFERROR(N1077/P1077,0)</f>
        <v/>
      </c>
      <c r="T1077" s="31">
        <f>IFERROR(IF(N1077&gt;0,(N1077/K1077),MIN(1,M1077/J1077)),0)</f>
        <v/>
      </c>
      <c r="U1077" s="33" t="n"/>
    </row>
    <row r="1078" hidden="1" s="40">
      <c r="A1078" s="23" t="inlineStr">
        <is>
          <t>Semana 3 - Junho</t>
        </is>
      </c>
      <c r="B1078" s="27">
        <f>YEAR(E1078)</f>
        <v/>
      </c>
      <c r="C1078" s="18">
        <f>INDEX({"Janeiro";"Fevereiro";"Março";"Abril";"Maio";"Junho";"Julho";"Agosto";"Setembro";"Outubro";"Novembro";"Dezembro"},Q1078)</f>
        <v/>
      </c>
      <c r="D1078" s="24" t="n">
        <v>3</v>
      </c>
      <c r="E1078" s="25" t="n">
        <v>46188</v>
      </c>
      <c r="F1078" s="23" t="inlineStr">
        <is>
          <t>Doce de Leite c/ Café 5kg</t>
        </is>
      </c>
      <c r="G1078" s="23" t="inlineStr">
        <is>
          <t>DOCE</t>
        </is>
      </c>
      <c r="H1078" s="26" t="n">
        <v>5</v>
      </c>
      <c r="I1078" s="36" t="n">
        <v>0</v>
      </c>
      <c r="J1078" s="21">
        <f>I1078*H1078</f>
        <v/>
      </c>
      <c r="K1078" s="21">
        <f>IFERROR(IF(J1078/P1078&gt;1,P1078,J1078),0)</f>
        <v/>
      </c>
      <c r="L1078" s="36" t="n">
        <v>0</v>
      </c>
      <c r="M1078" s="21">
        <f>L1078*H1078</f>
        <v/>
      </c>
      <c r="N1078" s="21">
        <f>IFERROR(IF(M1078/K1078&gt;1,K1078,M1078),0)</f>
        <v/>
      </c>
      <c r="O1078" s="36" t="n">
        <v>0</v>
      </c>
      <c r="P1078" s="21">
        <f>O1078*H1078</f>
        <v/>
      </c>
      <c r="Q1078" s="30">
        <f>IF(MONTH(E1078+1)=MONTH(E1078+6),MONTH(E1078+1),IF(MIN(EOMONTH(E1078+1,0),E1078+6)-(E1078+1)+1&gt;=3,MONTH(E1078+1),MONTH(E1078+6)))</f>
        <v/>
      </c>
      <c r="R1078" s="22">
        <f>IFERROR(K1078/P1078, 0)</f>
        <v/>
      </c>
      <c r="S1078" s="38">
        <f>IFERROR(N1078/P1078,0)</f>
        <v/>
      </c>
      <c r="T1078" s="31">
        <f>IFERROR(IF(N1078&gt;0,(N1078/K1078),MIN(1,M1078/J1078)),0)</f>
        <v/>
      </c>
      <c r="U1078" s="33" t="n"/>
    </row>
    <row r="1079" hidden="1" s="40">
      <c r="A1079" s="18" t="inlineStr">
        <is>
          <t>Semana 3 - Junho</t>
        </is>
      </c>
      <c r="B1079" s="27">
        <f>YEAR(E1079)</f>
        <v/>
      </c>
      <c r="C1079" s="18">
        <f>INDEX({"Janeiro";"Fevereiro";"Março";"Abril";"Maio";"Junho";"Julho";"Agosto";"Setembro";"Outubro";"Novembro";"Dezembro"},Q1079)</f>
        <v/>
      </c>
      <c r="D1079" s="19" t="n">
        <v>3</v>
      </c>
      <c r="E1079" s="20" t="n">
        <v>46188</v>
      </c>
      <c r="F1079" s="18" t="inlineStr">
        <is>
          <t>Doce de Leite c/ coco 400</t>
        </is>
      </c>
      <c r="G1079" s="18" t="inlineStr">
        <is>
          <t>DOCE</t>
        </is>
      </c>
      <c r="H1079" s="21" t="n">
        <v>0.4</v>
      </c>
      <c r="I1079" s="36" t="n">
        <v>6000</v>
      </c>
      <c r="J1079" s="21">
        <f>I1079*H1079</f>
        <v/>
      </c>
      <c r="K1079" s="21">
        <f>IFERROR(IF(J1079/P1079&gt;1,P1079,J1079),0)</f>
        <v/>
      </c>
      <c r="L1079" s="36" t="n">
        <v>6646</v>
      </c>
      <c r="M1079" s="21">
        <f>L1079*H1079</f>
        <v/>
      </c>
      <c r="N1079" s="21">
        <f>IFERROR(IF(M1079/K1079&gt;1,K1079,M1079),0)</f>
        <v/>
      </c>
      <c r="O1079" s="36" t="n">
        <v>6000</v>
      </c>
      <c r="P1079" s="21">
        <f>O1079*H1079</f>
        <v/>
      </c>
      <c r="Q1079" s="30">
        <f>IF(MONTH(E1079+1)=MONTH(E1079+6),MONTH(E1079+1),IF(MIN(EOMONTH(E1079+1,0),E1079+6)-(E1079+1)+1&gt;=3,MONTH(E1079+1),MONTH(E1079+6)))</f>
        <v/>
      </c>
      <c r="R1079" s="22">
        <f>IFERROR(K1079/P1079, 0)</f>
        <v/>
      </c>
      <c r="S1079" s="38">
        <f>IFERROR(N1079/P1079,0)</f>
        <v/>
      </c>
      <c r="T1079" s="31">
        <f>IFERROR(IF(N1079&gt;0,(N1079/K1079),MIN(1,M1079/J1079)),0)</f>
        <v/>
      </c>
      <c r="U1079" s="33" t="n"/>
    </row>
    <row r="1080" hidden="1" s="40">
      <c r="A1080" s="18" t="inlineStr">
        <is>
          <t>Semana 3 - Junho</t>
        </is>
      </c>
      <c r="B1080" s="27">
        <f>YEAR(E1080)</f>
        <v/>
      </c>
      <c r="C1080" s="18">
        <f>INDEX({"Janeiro";"Fevereiro";"Março";"Abril";"Maio";"Junho";"Julho";"Agosto";"Setembro";"Outubro";"Novembro";"Dezembro"},Q1080)</f>
        <v/>
      </c>
      <c r="D1080" s="19" t="n">
        <v>3</v>
      </c>
      <c r="E1080" s="20" t="n">
        <v>46188</v>
      </c>
      <c r="F1080" s="18" t="inlineStr">
        <is>
          <t>Doce de Leite Cacau 400g</t>
        </is>
      </c>
      <c r="G1080" s="18" t="inlineStr">
        <is>
          <t>DOCE</t>
        </is>
      </c>
      <c r="H1080" s="21" t="n">
        <v>0.4</v>
      </c>
      <c r="I1080" s="36" t="n">
        <v>0</v>
      </c>
      <c r="J1080" s="21">
        <f>I1080*H1080</f>
        <v/>
      </c>
      <c r="K1080" s="21">
        <f>IFERROR(IF(J1080/P1080&gt;1,P1080,J1080),0)</f>
        <v/>
      </c>
      <c r="L1080" s="36" t="n">
        <v>0</v>
      </c>
      <c r="M1080" s="21">
        <f>L1080*H1080</f>
        <v/>
      </c>
      <c r="N1080" s="21">
        <f>IFERROR(IF(M1080/K1080&gt;1,K1080,M1080),0)</f>
        <v/>
      </c>
      <c r="O1080" s="36" t="n">
        <v>0</v>
      </c>
      <c r="P1080" s="21">
        <f>O1080*H1080</f>
        <v/>
      </c>
      <c r="Q1080" s="30">
        <f>IF(MONTH(E1080+1)=MONTH(E1080+6),MONTH(E1080+1),IF(MIN(EOMONTH(E1080+1,0),E1080+6)-(E1080+1)+1&gt;=3,MONTH(E1080+1),MONTH(E1080+6)))</f>
        <v/>
      </c>
      <c r="R1080" s="22">
        <f>IFERROR(K1080/P1080, 0)</f>
        <v/>
      </c>
      <c r="S1080" s="38">
        <f>IFERROR(N1080/P1080,0)</f>
        <v/>
      </c>
      <c r="T1080" s="31">
        <f>IFERROR(IF(N1080&gt;0,(N1080/K1080),MIN(1,M1080/J1080)),0)</f>
        <v/>
      </c>
      <c r="U1080" s="33" t="n"/>
    </row>
    <row r="1081" hidden="1" s="40">
      <c r="A1081" s="23" t="inlineStr">
        <is>
          <t>Semana 3 - Junho</t>
        </is>
      </c>
      <c r="B1081" s="27">
        <f>YEAR(E1081)</f>
        <v/>
      </c>
      <c r="C1081" s="18">
        <f>INDEX({"Janeiro";"Fevereiro";"Março";"Abril";"Maio";"Junho";"Julho";"Agosto";"Setembro";"Outubro";"Novembro";"Dezembro"},Q1081)</f>
        <v/>
      </c>
      <c r="D1081" s="24" t="n">
        <v>3</v>
      </c>
      <c r="E1081" s="25" t="n">
        <v>46188</v>
      </c>
      <c r="F1081" s="23" t="inlineStr">
        <is>
          <t>Doce de Leite Cacau 5kg - Bombeável</t>
        </is>
      </c>
      <c r="G1081" s="23" t="inlineStr">
        <is>
          <t>DOCE</t>
        </is>
      </c>
      <c r="H1081" s="26" t="n">
        <v>5</v>
      </c>
      <c r="I1081" s="36" t="n">
        <v>0</v>
      </c>
      <c r="J1081" s="21">
        <f>I1081*H1081</f>
        <v/>
      </c>
      <c r="K1081" s="21">
        <f>IFERROR(IF(J1081/P1081&gt;1,P1081,J1081),0)</f>
        <v/>
      </c>
      <c r="L1081" s="36" t="n">
        <v>0</v>
      </c>
      <c r="M1081" s="21">
        <f>L1081*H1081</f>
        <v/>
      </c>
      <c r="N1081" s="21">
        <f>IFERROR(IF(M1081/K1081&gt;1,K1081,M1081),0)</f>
        <v/>
      </c>
      <c r="O1081" s="36" t="n">
        <v>0</v>
      </c>
      <c r="P1081" s="21">
        <f>O1081*H1081</f>
        <v/>
      </c>
      <c r="Q1081" s="30">
        <f>IF(MONTH(E1081+1)=MONTH(E1081+6),MONTH(E1081+1),IF(MIN(EOMONTH(E1081+1,0),E1081+6)-(E1081+1)+1&gt;=3,MONTH(E1081+1),MONTH(E1081+6)))</f>
        <v/>
      </c>
      <c r="R1081" s="22">
        <f>IFERROR(K1081/P1081, 0)</f>
        <v/>
      </c>
      <c r="S1081" s="38">
        <f>IFERROR(N1081/P1081,0)</f>
        <v/>
      </c>
      <c r="T1081" s="31">
        <f>IFERROR(IF(N1081&gt;0,(N1081/K1081),MIN(1,M1081/J1081)),0)</f>
        <v/>
      </c>
      <c r="U1081" s="33" t="n"/>
    </row>
    <row r="1082" hidden="1" s="40">
      <c r="A1082" s="18" t="inlineStr">
        <is>
          <t>Semana 3 - Junho</t>
        </is>
      </c>
      <c r="B1082" s="27">
        <f>YEAR(E1082)</f>
        <v/>
      </c>
      <c r="C1082" s="18">
        <f>INDEX({"Janeiro";"Fevereiro";"Março";"Abril";"Maio";"Junho";"Julho";"Agosto";"Setembro";"Outubro";"Novembro";"Dezembro"},Q1082)</f>
        <v/>
      </c>
      <c r="D1082" s="19" t="n">
        <v>3</v>
      </c>
      <c r="E1082" s="20" t="n">
        <v>46188</v>
      </c>
      <c r="F1082" s="18" t="inlineStr">
        <is>
          <t>Doce de Leite Cacau 5kg - FOOD</t>
        </is>
      </c>
      <c r="G1082" s="18" t="inlineStr">
        <is>
          <t>DOCE</t>
        </is>
      </c>
      <c r="H1082" s="21" t="n">
        <v>5</v>
      </c>
      <c r="I1082" s="36" t="n">
        <v>0</v>
      </c>
      <c r="J1082" s="21">
        <f>I1082*H1082</f>
        <v/>
      </c>
      <c r="K1082" s="21">
        <f>IFERROR(IF(J1082/P1082&gt;1,P1082,J1082),0)</f>
        <v/>
      </c>
      <c r="L1082" s="36" t="n">
        <v>0</v>
      </c>
      <c r="M1082" s="21">
        <f>L1082*H1082</f>
        <v/>
      </c>
      <c r="N1082" s="21">
        <f>IFERROR(IF(M1082/K1082&gt;1,K1082,M1082),0)</f>
        <v/>
      </c>
      <c r="O1082" s="36" t="n">
        <v>0</v>
      </c>
      <c r="P1082" s="21">
        <f>O1082*H1082</f>
        <v/>
      </c>
      <c r="Q1082" s="30">
        <f>IF(MONTH(E1082+1)=MONTH(E1082+6),MONTH(E1082+1),IF(MIN(EOMONTH(E1082+1,0),E1082+6)-(E1082+1)+1&gt;=3,MONTH(E1082+1),MONTH(E1082+6)))</f>
        <v/>
      </c>
      <c r="R1082" s="22">
        <f>IFERROR(K1082/P1082, 0)</f>
        <v/>
      </c>
      <c r="S1082" s="38">
        <f>IFERROR(N1082/P1082,0)</f>
        <v/>
      </c>
      <c r="T1082" s="31">
        <f>IFERROR(IF(N1082&gt;0,(N1082/K1082),MIN(1,M1082/J1082)),0)</f>
        <v/>
      </c>
      <c r="U1082" s="33" t="n"/>
    </row>
    <row r="1083" hidden="1" s="40">
      <c r="A1083" s="23" t="inlineStr">
        <is>
          <t>Semana 3 - Junho</t>
        </is>
      </c>
      <c r="B1083" s="27">
        <f>YEAR(E1083)</f>
        <v/>
      </c>
      <c r="C1083" s="18">
        <f>INDEX({"Janeiro";"Fevereiro";"Março";"Abril";"Maio";"Junho";"Julho";"Agosto";"Setembro";"Outubro";"Novembro";"Dezembro"},Q1083)</f>
        <v/>
      </c>
      <c r="D1083" s="24" t="n">
        <v>3</v>
      </c>
      <c r="E1083" s="25" t="n">
        <v>46188</v>
      </c>
      <c r="F1083" s="23" t="inlineStr">
        <is>
          <t>Doce de Leite Zero Açúcar e Lactose 400g</t>
        </is>
      </c>
      <c r="G1083" s="23" t="inlineStr">
        <is>
          <t>DOCE</t>
        </is>
      </c>
      <c r="H1083" s="26" t="n">
        <v>0.4</v>
      </c>
      <c r="I1083" s="36" t="n">
        <v>24000</v>
      </c>
      <c r="J1083" s="21">
        <f>I1083*H1083</f>
        <v/>
      </c>
      <c r="K1083" s="21">
        <f>IFERROR(IF(J1083/P1083&gt;1,P1083,J1083),0)</f>
        <v/>
      </c>
      <c r="L1083" s="36" t="n">
        <v>22537</v>
      </c>
      <c r="M1083" s="21">
        <f>L1083*H1083</f>
        <v/>
      </c>
      <c r="N1083" s="21">
        <f>IFERROR(IF(M1083/K1083&gt;1,K1083,M1083),0)</f>
        <v/>
      </c>
      <c r="O1083" s="36" t="n">
        <v>36000</v>
      </c>
      <c r="P1083" s="21">
        <f>O1083*H1083</f>
        <v/>
      </c>
      <c r="Q1083" s="30">
        <f>IF(MONTH(E1083+1)=MONTH(E1083+6),MONTH(E1083+1),IF(MIN(EOMONTH(E1083+1,0),E1083+6)-(E1083+1)+1&gt;=3,MONTH(E1083+1),MONTH(E1083+6)))</f>
        <v/>
      </c>
      <c r="R1083" s="22">
        <f>IFERROR(K1083/P1083, 0)</f>
        <v/>
      </c>
      <c r="S1083" s="38">
        <f>IFERROR(N1083/P1083,0)</f>
        <v/>
      </c>
      <c r="T1083" s="31">
        <f>IFERROR(IF(N1083&gt;0,(N1083/K1083),MIN(1,M1083/J1083)),0)</f>
        <v/>
      </c>
      <c r="U1083" s="33" t="n"/>
    </row>
    <row r="1084" hidden="1" s="40">
      <c r="A1084" s="18" t="inlineStr">
        <is>
          <t>Semana 3 - Junho</t>
        </is>
      </c>
      <c r="B1084" s="27">
        <f>YEAR(E1084)</f>
        <v/>
      </c>
      <c r="C1084" s="18">
        <f>INDEX({"Janeiro";"Fevereiro";"Março";"Abril";"Maio";"Junho";"Julho";"Agosto";"Setembro";"Outubro";"Novembro";"Dezembro"},Q1084)</f>
        <v/>
      </c>
      <c r="D1084" s="19" t="n">
        <v>3</v>
      </c>
      <c r="E1084" s="20" t="n">
        <v>46188</v>
      </c>
      <c r="F1084" s="18" t="inlineStr">
        <is>
          <t>Iogurte Abacaxi c/ Coco 120g</t>
        </is>
      </c>
      <c r="G1084" s="18" t="inlineStr">
        <is>
          <t>IOGURTE</t>
        </is>
      </c>
      <c r="H1084" s="21" t="n">
        <v>0.12</v>
      </c>
      <c r="I1084" s="36" t="n">
        <v>3000</v>
      </c>
      <c r="J1084" s="21">
        <f>I1084*H1084</f>
        <v/>
      </c>
      <c r="K1084" s="21">
        <f>IFERROR(IF(J1084/P1084&gt;1,P1084,J1084),0)</f>
        <v/>
      </c>
      <c r="L1084" s="36" t="n">
        <v>2672</v>
      </c>
      <c r="M1084" s="21">
        <f>L1084*H1084</f>
        <v/>
      </c>
      <c r="N1084" s="21">
        <f>IFERROR(IF(M1084/K1084&gt;1,K1084,M1084),0)</f>
        <v/>
      </c>
      <c r="O1084" s="36" t="n">
        <v>3000</v>
      </c>
      <c r="P1084" s="21">
        <f>O1084*H1084</f>
        <v/>
      </c>
      <c r="Q1084" s="30">
        <f>IF(MONTH(E1084+1)=MONTH(E1084+6),MONTH(E1084+1),IF(MIN(EOMONTH(E1084+1,0),E1084+6)-(E1084+1)+1&gt;=3,MONTH(E1084+1),MONTH(E1084+6)))</f>
        <v/>
      </c>
      <c r="R1084" s="22">
        <f>IFERROR(K1084/P1084, 0)</f>
        <v/>
      </c>
      <c r="S1084" s="38">
        <f>IFERROR(N1084/P1084,0)</f>
        <v/>
      </c>
      <c r="T1084" s="31">
        <f>IFERROR(IF(N1084&gt;0,(N1084/K1084),MIN(1,M1084/J1084)),0)</f>
        <v/>
      </c>
      <c r="U1084" s="33" t="n"/>
    </row>
    <row r="1085" hidden="1" s="40">
      <c r="A1085" s="23" t="inlineStr">
        <is>
          <t>Semana 3 - Junho</t>
        </is>
      </c>
      <c r="B1085" s="27">
        <f>YEAR(E1085)</f>
        <v/>
      </c>
      <c r="C1085" s="18">
        <f>INDEX({"Janeiro";"Fevereiro";"Março";"Abril";"Maio";"Junho";"Julho";"Agosto";"Setembro";"Outubro";"Novembro";"Dezembro"},Q1085)</f>
        <v/>
      </c>
      <c r="D1085" s="24" t="n">
        <v>3</v>
      </c>
      <c r="E1085" s="25" t="n">
        <v>46188</v>
      </c>
      <c r="F1085" s="23" t="inlineStr">
        <is>
          <t>Iogurte Abacaxi c/ Coco 185g</t>
        </is>
      </c>
      <c r="G1085" s="23" t="inlineStr">
        <is>
          <t>IOGURTE</t>
        </is>
      </c>
      <c r="H1085" s="26" t="n">
        <v>0.185</v>
      </c>
      <c r="I1085" s="36" t="n">
        <v>520</v>
      </c>
      <c r="J1085" s="21">
        <f>I1085*H1085</f>
        <v/>
      </c>
      <c r="K1085" s="21">
        <f>IFERROR(IF(J1085/P1085&gt;1,P1085,J1085),0)</f>
        <v/>
      </c>
      <c r="L1085" s="36" t="n">
        <v>505</v>
      </c>
      <c r="M1085" s="21">
        <f>L1085*H1085</f>
        <v/>
      </c>
      <c r="N1085" s="21">
        <f>IFERROR(IF(M1085/K1085&gt;1,K1085,M1085),0)</f>
        <v/>
      </c>
      <c r="O1085" s="36" t="n">
        <v>520</v>
      </c>
      <c r="P1085" s="21">
        <f>O1085*H1085</f>
        <v/>
      </c>
      <c r="Q1085" s="30">
        <f>IF(MONTH(E1085+1)=MONTH(E1085+6),MONTH(E1085+1),IF(MIN(EOMONTH(E1085+1,0),E1085+6)-(E1085+1)+1&gt;=3,MONTH(E1085+1),MONTH(E1085+6)))</f>
        <v/>
      </c>
      <c r="R1085" s="22">
        <f>IFERROR(K1085/P1085, 0)</f>
        <v/>
      </c>
      <c r="S1085" s="38">
        <f>IFERROR(N1085/P1085,0)</f>
        <v/>
      </c>
      <c r="T1085" s="31">
        <f>IFERROR(IF(N1085&gt;0,(N1085/K1085),MIN(1,M1085/J1085)),0)</f>
        <v/>
      </c>
      <c r="U1085" s="33" t="n"/>
    </row>
    <row r="1086" hidden="1" s="40">
      <c r="A1086" s="18" t="inlineStr">
        <is>
          <t>Semana 3 - Junho</t>
        </is>
      </c>
      <c r="B1086" s="27">
        <f>YEAR(E1086)</f>
        <v/>
      </c>
      <c r="C1086" s="18">
        <f>INDEX({"Janeiro";"Fevereiro";"Março";"Abril";"Maio";"Junho";"Julho";"Agosto";"Setembro";"Outubro";"Novembro";"Dezembro"},Q1086)</f>
        <v/>
      </c>
      <c r="D1086" s="19" t="n">
        <v>3</v>
      </c>
      <c r="E1086" s="20" t="n">
        <v>46188</v>
      </c>
      <c r="F1086" s="18" t="inlineStr">
        <is>
          <t>Iogurte Abacaxi c/ Coco 900g</t>
        </is>
      </c>
      <c r="G1086" s="18" t="inlineStr">
        <is>
          <t>IOGURTE</t>
        </is>
      </c>
      <c r="H1086" s="21" t="n">
        <v>0.9</v>
      </c>
      <c r="I1086" s="36" t="n">
        <v>2070</v>
      </c>
      <c r="J1086" s="21">
        <f>I1086*H1086</f>
        <v/>
      </c>
      <c r="K1086" s="21">
        <f>IFERROR(IF(J1086/P1086&gt;1,P1086,J1086),0)</f>
        <v/>
      </c>
      <c r="L1086" s="36" t="n">
        <v>1624</v>
      </c>
      <c r="M1086" s="21">
        <f>L1086*H1086</f>
        <v/>
      </c>
      <c r="N1086" s="21">
        <f>IFERROR(IF(M1086/K1086&gt;1,K1086,M1086),0)</f>
        <v/>
      </c>
      <c r="O1086" s="36" t="n">
        <v>1800</v>
      </c>
      <c r="P1086" s="21">
        <f>O1086*H1086</f>
        <v/>
      </c>
      <c r="Q1086" s="30">
        <f>IF(MONTH(E1086+1)=MONTH(E1086+6),MONTH(E1086+1),IF(MIN(EOMONTH(E1086+1,0),E1086+6)-(E1086+1)+1&gt;=3,MONTH(E1086+1),MONTH(E1086+6)))</f>
        <v/>
      </c>
      <c r="R1086" s="22">
        <f>IFERROR(K1086/P1086, 0)</f>
        <v/>
      </c>
      <c r="S1086" s="38">
        <f>IFERROR(N1086/P1086,0)</f>
        <v/>
      </c>
      <c r="T1086" s="31">
        <f>IFERROR(IF(N1086&gt;0,(N1086/K1086),MIN(1,M1086/J1086)),0)</f>
        <v/>
      </c>
      <c r="U1086" s="33" t="n"/>
    </row>
    <row r="1087" hidden="1" s="40">
      <c r="A1087" s="18" t="inlineStr">
        <is>
          <t>Semana 3 - Junho</t>
        </is>
      </c>
      <c r="B1087" s="27">
        <f>YEAR(E1087)</f>
        <v/>
      </c>
      <c r="C1087" s="18">
        <f>INDEX({"Janeiro";"Fevereiro";"Março";"Abril";"Maio";"Junho";"Julho";"Agosto";"Setembro";"Outubro";"Novembro";"Dezembro"},Q1087)</f>
        <v/>
      </c>
      <c r="D1087" s="19" t="n">
        <v>3</v>
      </c>
      <c r="E1087" s="20" t="n">
        <v>46188</v>
      </c>
      <c r="F1087" s="18" t="inlineStr">
        <is>
          <t>Iogurte Coco 120g</t>
        </is>
      </c>
      <c r="G1087" s="18" t="inlineStr">
        <is>
          <t>IOGURTE</t>
        </is>
      </c>
      <c r="H1087" s="21" t="n">
        <v>0.12</v>
      </c>
      <c r="I1087" s="36" t="n">
        <v>4000</v>
      </c>
      <c r="J1087" s="21">
        <f>I1087*H1087</f>
        <v/>
      </c>
      <c r="K1087" s="21">
        <f>IFERROR(IF(J1087/P1087&gt;1,P1087,J1087),0)</f>
        <v/>
      </c>
      <c r="L1087" s="36" t="n">
        <v>3564</v>
      </c>
      <c r="M1087" s="21">
        <f>L1087*H1087</f>
        <v/>
      </c>
      <c r="N1087" s="21">
        <f>IFERROR(IF(M1087/K1087&gt;1,K1087,M1087),0)</f>
        <v/>
      </c>
      <c r="O1087" s="36" t="n">
        <v>4000</v>
      </c>
      <c r="P1087" s="21">
        <f>O1087*H1087</f>
        <v/>
      </c>
      <c r="Q1087" s="30">
        <f>IF(MONTH(E1087+1)=MONTH(E1087+6),MONTH(E1087+1),IF(MIN(EOMONTH(E1087+1,0),E1087+6)-(E1087+1)+1&gt;=3,MONTH(E1087+1),MONTH(E1087+6)))</f>
        <v/>
      </c>
      <c r="R1087" s="22">
        <f>IFERROR(K1087/P1087, 0)</f>
        <v/>
      </c>
      <c r="S1087" s="38">
        <f>IFERROR(N1087/P1087,0)</f>
        <v/>
      </c>
      <c r="T1087" s="31">
        <f>IFERROR(IF(N1087&gt;0,(N1087/K1087),MIN(1,M1087/J1087)),0)</f>
        <v/>
      </c>
      <c r="U1087" s="33" t="n"/>
    </row>
    <row r="1088" hidden="1" s="40">
      <c r="A1088" s="23" t="inlineStr">
        <is>
          <t>Semana 3 - Junho</t>
        </is>
      </c>
      <c r="B1088" s="27">
        <f>YEAR(E1088)</f>
        <v/>
      </c>
      <c r="C1088" s="18">
        <f>INDEX({"Janeiro";"Fevereiro";"Março";"Abril";"Maio";"Junho";"Julho";"Agosto";"Setembro";"Outubro";"Novembro";"Dezembro"},Q1088)</f>
        <v/>
      </c>
      <c r="D1088" s="24" t="n">
        <v>3</v>
      </c>
      <c r="E1088" s="25" t="n">
        <v>46188</v>
      </c>
      <c r="F1088" s="23" t="inlineStr">
        <is>
          <t>Iogurte Coco 185g</t>
        </is>
      </c>
      <c r="G1088" s="23" t="inlineStr">
        <is>
          <t>IOGURTE</t>
        </is>
      </c>
      <c r="H1088" s="26" t="n">
        <v>0.185</v>
      </c>
      <c r="I1088" s="36" t="n">
        <v>520</v>
      </c>
      <c r="J1088" s="21">
        <f>I1088*H1088</f>
        <v/>
      </c>
      <c r="K1088" s="21">
        <f>IFERROR(IF(J1088/P1088&gt;1,P1088,J1088),0)</f>
        <v/>
      </c>
      <c r="L1088" s="36" t="n">
        <v>515</v>
      </c>
      <c r="M1088" s="21">
        <f>L1088*H1088</f>
        <v/>
      </c>
      <c r="N1088" s="21">
        <f>IFERROR(IF(M1088/K1088&gt;1,K1088,M1088),0)</f>
        <v/>
      </c>
      <c r="O1088" s="36" t="n">
        <v>520</v>
      </c>
      <c r="P1088" s="21">
        <f>O1088*H1088</f>
        <v/>
      </c>
      <c r="Q1088" s="30">
        <f>IF(MONTH(E1088+1)=MONTH(E1088+6),MONTH(E1088+1),IF(MIN(EOMONTH(E1088+1,0),E1088+6)-(E1088+1)+1&gt;=3,MONTH(E1088+1),MONTH(E1088+6)))</f>
        <v/>
      </c>
      <c r="R1088" s="22">
        <f>IFERROR(K1088/P1088, 0)</f>
        <v/>
      </c>
      <c r="S1088" s="38">
        <f>IFERROR(N1088/P1088,0)</f>
        <v/>
      </c>
      <c r="T1088" s="31">
        <f>IFERROR(IF(N1088&gt;0,(N1088/K1088),MIN(1,M1088/J1088)),0)</f>
        <v/>
      </c>
      <c r="U1088" s="33" t="n"/>
    </row>
    <row r="1089" hidden="1" s="40">
      <c r="A1089" s="18" t="inlineStr">
        <is>
          <t>Semana 3 - Junho</t>
        </is>
      </c>
      <c r="B1089" s="27">
        <f>YEAR(E1089)</f>
        <v/>
      </c>
      <c r="C1089" s="18">
        <f>INDEX({"Janeiro";"Fevereiro";"Março";"Abril";"Maio";"Junho";"Julho";"Agosto";"Setembro";"Outubro";"Novembro";"Dezembro"},Q1089)</f>
        <v/>
      </c>
      <c r="D1089" s="19" t="n">
        <v>3</v>
      </c>
      <c r="E1089" s="20" t="n">
        <v>46188</v>
      </c>
      <c r="F1089" s="18" t="inlineStr">
        <is>
          <t>Iogurte Coco 900g</t>
        </is>
      </c>
      <c r="G1089" s="18" t="inlineStr">
        <is>
          <t>IOGURTE</t>
        </is>
      </c>
      <c r="H1089" s="21" t="n">
        <v>0.9</v>
      </c>
      <c r="I1089" s="36" t="n">
        <v>2070</v>
      </c>
      <c r="J1089" s="21">
        <f>I1089*H1089</f>
        <v/>
      </c>
      <c r="K1089" s="21">
        <f>IFERROR(IF(J1089/P1089&gt;1,P1089,J1089),0)</f>
        <v/>
      </c>
      <c r="L1089" s="36" t="n">
        <v>2089</v>
      </c>
      <c r="M1089" s="21">
        <f>L1089*H1089</f>
        <v/>
      </c>
      <c r="N1089" s="21">
        <f>IFERROR(IF(M1089/K1089&gt;1,K1089,M1089),0)</f>
        <v/>
      </c>
      <c r="O1089" s="36" t="n">
        <v>900</v>
      </c>
      <c r="P1089" s="21">
        <f>O1089*H1089</f>
        <v/>
      </c>
      <c r="Q1089" s="30">
        <f>IF(MONTH(E1089+1)=MONTH(E1089+6),MONTH(E1089+1),IF(MIN(EOMONTH(E1089+1,0),E1089+6)-(E1089+1)+1&gt;=3,MONTH(E1089+1),MONTH(E1089+6)))</f>
        <v/>
      </c>
      <c r="R1089" s="22">
        <f>IFERROR(K1089/P1089, 0)</f>
        <v/>
      </c>
      <c r="S1089" s="38">
        <f>IFERROR(N1089/P1089,0)</f>
        <v/>
      </c>
      <c r="T1089" s="31">
        <f>IFERROR(IF(N1089&gt;0,(N1089/K1089),MIN(1,M1089/J1089)),0)</f>
        <v/>
      </c>
      <c r="U1089" s="33" t="n"/>
    </row>
    <row r="1090" hidden="1" s="40">
      <c r="A1090" s="23" t="inlineStr">
        <is>
          <t>Semana 3 - Junho</t>
        </is>
      </c>
      <c r="B1090" s="27">
        <f>YEAR(E1090)</f>
        <v/>
      </c>
      <c r="C1090" s="18">
        <f>INDEX({"Janeiro";"Fevereiro";"Março";"Abril";"Maio";"Junho";"Julho";"Agosto";"Setembro";"Outubro";"Novembro";"Dezembro"},Q1090)</f>
        <v/>
      </c>
      <c r="D1090" s="24" t="n">
        <v>3</v>
      </c>
      <c r="E1090" s="25" t="n">
        <v>46188</v>
      </c>
      <c r="F1090" s="23" t="inlineStr">
        <is>
          <t>Iogurte Grego Frutas vermelhas 120g</t>
        </is>
      </c>
      <c r="G1090" s="23" t="inlineStr">
        <is>
          <t>IOGURTE</t>
        </is>
      </c>
      <c r="H1090" s="26" t="n">
        <v>0.17</v>
      </c>
      <c r="I1090" s="36" t="n">
        <v>1400</v>
      </c>
      <c r="J1090" s="21">
        <f>I1090*H1090</f>
        <v/>
      </c>
      <c r="K1090" s="21">
        <f>IFERROR(IF(J1090/P1090&gt;1,P1090,J1090),0)</f>
        <v/>
      </c>
      <c r="L1090" s="36" t="n">
        <v>1283</v>
      </c>
      <c r="M1090" s="21">
        <f>L1090*H1090</f>
        <v/>
      </c>
      <c r="N1090" s="21">
        <f>IFERROR(IF(M1090/K1090&gt;1,K1090,M1090),0)</f>
        <v/>
      </c>
      <c r="O1090" s="36" t="n">
        <v>1400</v>
      </c>
      <c r="P1090" s="21">
        <f>O1090*H1090</f>
        <v/>
      </c>
      <c r="Q1090" s="30">
        <f>IF(MONTH(E1090+1)=MONTH(E1090+6),MONTH(E1090+1),IF(MIN(EOMONTH(E1090+1,0),E1090+6)-(E1090+1)+1&gt;=3,MONTH(E1090+1),MONTH(E1090+6)))</f>
        <v/>
      </c>
      <c r="R1090" s="22">
        <f>IFERROR(K1090/P1090, 0)</f>
        <v/>
      </c>
      <c r="S1090" s="38">
        <f>IFERROR(N1090/P1090,0)</f>
        <v/>
      </c>
      <c r="T1090" s="31">
        <f>IFERROR(IF(N1090&gt;0,(N1090/K1090),MIN(1,M1090/J1090)),0)</f>
        <v/>
      </c>
      <c r="U1090" s="33" t="n"/>
    </row>
    <row r="1091" hidden="1" s="40">
      <c r="A1091" s="23" t="inlineStr">
        <is>
          <t>Semana 3 - Junho</t>
        </is>
      </c>
      <c r="B1091" s="27">
        <f>YEAR(E1091)</f>
        <v/>
      </c>
      <c r="C1091" s="18">
        <f>INDEX({"Janeiro";"Fevereiro";"Março";"Abril";"Maio";"Junho";"Julho";"Agosto";"Setembro";"Outubro";"Novembro";"Dezembro"},Q1091)</f>
        <v/>
      </c>
      <c r="D1091" s="24" t="n">
        <v>3</v>
      </c>
      <c r="E1091" s="25" t="n">
        <v>46188</v>
      </c>
      <c r="F1091" s="23" t="inlineStr">
        <is>
          <t>Iogurte Morango 120g</t>
        </is>
      </c>
      <c r="G1091" s="23" t="inlineStr">
        <is>
          <t>IOGURTE</t>
        </is>
      </c>
      <c r="H1091" s="26" t="n">
        <v>0.12</v>
      </c>
      <c r="I1091" s="36" t="n">
        <v>18000</v>
      </c>
      <c r="J1091" s="21">
        <f>I1091*H1091</f>
        <v/>
      </c>
      <c r="K1091" s="21">
        <f>IFERROR(IF(J1091/P1091&gt;1,P1091,J1091),0)</f>
        <v/>
      </c>
      <c r="L1091" s="36" t="n">
        <v>21061</v>
      </c>
      <c r="M1091" s="21">
        <f>L1091*H1091</f>
        <v/>
      </c>
      <c r="N1091" s="21">
        <f>IFERROR(IF(M1091/K1091&gt;1,K1091,M1091),0)</f>
        <v/>
      </c>
      <c r="O1091" s="36" t="n">
        <v>18000</v>
      </c>
      <c r="P1091" s="21">
        <f>O1091*H1091</f>
        <v/>
      </c>
      <c r="Q1091" s="30">
        <f>IF(MONTH(E1091+1)=MONTH(E1091+6),MONTH(E1091+1),IF(MIN(EOMONTH(E1091+1,0),E1091+6)-(E1091+1)+1&gt;=3,MONTH(E1091+1),MONTH(E1091+6)))</f>
        <v/>
      </c>
      <c r="R1091" s="22">
        <f>IFERROR(K1091/P1091, 0)</f>
        <v/>
      </c>
      <c r="S1091" s="38">
        <f>IFERROR(N1091/P1091,0)</f>
        <v/>
      </c>
      <c r="T1091" s="31">
        <f>IFERROR(IF(N1091&gt;0,(N1091/K1091),MIN(1,M1091/J1091)),0)</f>
        <v/>
      </c>
      <c r="U1091" s="33" t="n"/>
    </row>
    <row r="1092" hidden="1" s="40">
      <c r="A1092" s="18" t="inlineStr">
        <is>
          <t>Semana 3 - Junho</t>
        </is>
      </c>
      <c r="B1092" s="27">
        <f>YEAR(E1092)</f>
        <v/>
      </c>
      <c r="C1092" s="18">
        <f>INDEX({"Janeiro";"Fevereiro";"Março";"Abril";"Maio";"Junho";"Julho";"Agosto";"Setembro";"Outubro";"Novembro";"Dezembro"},Q1092)</f>
        <v/>
      </c>
      <c r="D1092" s="19" t="n">
        <v>3</v>
      </c>
      <c r="E1092" s="20" t="n">
        <v>46188</v>
      </c>
      <c r="F1092" s="18" t="inlineStr">
        <is>
          <t>Iogurte Morango 185g</t>
        </is>
      </c>
      <c r="G1092" s="18" t="inlineStr">
        <is>
          <t>IOGURTE</t>
        </is>
      </c>
      <c r="H1092" s="21" t="n">
        <v>0.185</v>
      </c>
      <c r="I1092" s="36" t="n">
        <v>1300</v>
      </c>
      <c r="J1092" s="21">
        <f>I1092*H1092</f>
        <v/>
      </c>
      <c r="K1092" s="21">
        <f>IFERROR(IF(J1092/P1092&gt;1,P1092,J1092),0)</f>
        <v/>
      </c>
      <c r="L1092" s="36" t="n">
        <v>1269</v>
      </c>
      <c r="M1092" s="21">
        <f>L1092*H1092</f>
        <v/>
      </c>
      <c r="N1092" s="21">
        <f>IFERROR(IF(M1092/K1092&gt;1,K1092,M1092),0)</f>
        <v/>
      </c>
      <c r="O1092" s="36" t="n">
        <v>1300</v>
      </c>
      <c r="P1092" s="21">
        <f>O1092*H1092</f>
        <v/>
      </c>
      <c r="Q1092" s="30">
        <f>IF(MONTH(E1092+1)=MONTH(E1092+6),MONTH(E1092+1),IF(MIN(EOMONTH(E1092+1,0),E1092+6)-(E1092+1)+1&gt;=3,MONTH(E1092+1),MONTH(E1092+6)))</f>
        <v/>
      </c>
      <c r="R1092" s="22">
        <f>IFERROR(K1092/P1092, 0)</f>
        <v/>
      </c>
      <c r="S1092" s="38">
        <f>IFERROR(N1092/P1092,0)</f>
        <v/>
      </c>
      <c r="T1092" s="31">
        <f>IFERROR(IF(N1092&gt;0,(N1092/K1092),MIN(1,M1092/J1092)),0)</f>
        <v/>
      </c>
      <c r="U1092" s="33" t="n"/>
    </row>
    <row r="1093" hidden="1" s="40">
      <c r="A1093" s="23" t="inlineStr">
        <is>
          <t>Semana 3 - Junho</t>
        </is>
      </c>
      <c r="B1093" s="27">
        <f>YEAR(E1093)</f>
        <v/>
      </c>
      <c r="C1093" s="18">
        <f>INDEX({"Janeiro";"Fevereiro";"Março";"Abril";"Maio";"Junho";"Julho";"Agosto";"Setembro";"Outubro";"Novembro";"Dezembro"},Q1093)</f>
        <v/>
      </c>
      <c r="D1093" s="24" t="n">
        <v>3</v>
      </c>
      <c r="E1093" s="25" t="n">
        <v>46188</v>
      </c>
      <c r="F1093" s="23" t="inlineStr">
        <is>
          <t>Iogurte Morango 900G</t>
        </is>
      </c>
      <c r="G1093" s="23" t="inlineStr">
        <is>
          <t>IOGURTE</t>
        </is>
      </c>
      <c r="H1093" s="26" t="n">
        <v>0.9</v>
      </c>
      <c r="I1093" s="36" t="n">
        <v>5850</v>
      </c>
      <c r="J1093" s="21">
        <f>I1093*H1093</f>
        <v/>
      </c>
      <c r="K1093" s="21">
        <f>IFERROR(IF(J1093/P1093&gt;1,P1093,J1093),0)</f>
        <v/>
      </c>
      <c r="L1093" s="36" t="n">
        <v>7035</v>
      </c>
      <c r="M1093" s="21">
        <f>L1093*H1093</f>
        <v/>
      </c>
      <c r="N1093" s="21">
        <f>IFERROR(IF(M1093/K1093&gt;1,K1093,M1093),0)</f>
        <v/>
      </c>
      <c r="O1093" s="36" t="n">
        <v>4500</v>
      </c>
      <c r="P1093" s="21">
        <f>O1093*H1093</f>
        <v/>
      </c>
      <c r="Q1093" s="30">
        <f>IF(MONTH(E1093+1)=MONTH(E1093+6),MONTH(E1093+1),IF(MIN(EOMONTH(E1093+1,0),E1093+6)-(E1093+1)+1&gt;=3,MONTH(E1093+1),MONTH(E1093+6)))</f>
        <v/>
      </c>
      <c r="R1093" s="22">
        <f>IFERROR(K1093/P1093, 0)</f>
        <v/>
      </c>
      <c r="S1093" s="38">
        <f>IFERROR(N1093/P1093,0)</f>
        <v/>
      </c>
      <c r="T1093" s="31">
        <f>IFERROR(IF(N1093&gt;0,(N1093/K1093),MIN(1,M1093/J1093)),0)</f>
        <v/>
      </c>
      <c r="U1093" s="33" t="n"/>
    </row>
    <row r="1094" hidden="1" s="40">
      <c r="A1094" s="18" t="inlineStr">
        <is>
          <t>Semana 3 - Junho</t>
        </is>
      </c>
      <c r="B1094" s="27">
        <f>YEAR(E1094)</f>
        <v/>
      </c>
      <c r="C1094" s="18">
        <f>INDEX({"Janeiro";"Fevereiro";"Março";"Abril";"Maio";"Junho";"Julho";"Agosto";"Setembro";"Outubro";"Novembro";"Dezembro"},Q1094)</f>
        <v/>
      </c>
      <c r="D1094" s="19" t="n">
        <v>3</v>
      </c>
      <c r="E1094" s="20" t="n">
        <v>46188</v>
      </c>
      <c r="F1094" s="18" t="inlineStr">
        <is>
          <t>Iogurte Natural Integral 170g</t>
        </is>
      </c>
      <c r="G1094" s="18" t="inlineStr">
        <is>
          <t>IOGURTE</t>
        </is>
      </c>
      <c r="H1094" s="21" t="n">
        <v>0.17</v>
      </c>
      <c r="I1094" s="36" t="n">
        <v>3820</v>
      </c>
      <c r="J1094" s="21">
        <f>I1094*H1094</f>
        <v/>
      </c>
      <c r="K1094" s="21">
        <f>IFERROR(IF(J1094/P1094&gt;1,P1094,J1094),0)</f>
        <v/>
      </c>
      <c r="L1094" s="36" t="n">
        <v>3465</v>
      </c>
      <c r="M1094" s="21">
        <f>L1094*H1094</f>
        <v/>
      </c>
      <c r="N1094" s="21">
        <f>IFERROR(IF(M1094/K1094&gt;1,K1094,M1094),0)</f>
        <v/>
      </c>
      <c r="O1094" s="36" t="n">
        <v>3800</v>
      </c>
      <c r="P1094" s="21">
        <f>O1094*H1094</f>
        <v/>
      </c>
      <c r="Q1094" s="30">
        <f>IF(MONTH(E1094+1)=MONTH(E1094+6),MONTH(E1094+1),IF(MIN(EOMONTH(E1094+1,0),E1094+6)-(E1094+1)+1&gt;=3,MONTH(E1094+1),MONTH(E1094+6)))</f>
        <v/>
      </c>
      <c r="R1094" s="22">
        <f>IFERROR(K1094/P1094, 0)</f>
        <v/>
      </c>
      <c r="S1094" s="38">
        <f>IFERROR(N1094/P1094,0)</f>
        <v/>
      </c>
      <c r="T1094" s="31">
        <f>IFERROR(IF(N1094&gt;0,(N1094/K1094),MIN(1,M1094/J1094)),0)</f>
        <v/>
      </c>
      <c r="U1094" s="33" t="n"/>
    </row>
    <row r="1095" hidden="1" s="40">
      <c r="A1095" s="23" t="inlineStr">
        <is>
          <t>Semana 3 - Junho</t>
        </is>
      </c>
      <c r="B1095" s="27">
        <f>YEAR(E1095)</f>
        <v/>
      </c>
      <c r="C1095" s="18">
        <f>INDEX({"Janeiro";"Fevereiro";"Março";"Abril";"Maio";"Junho";"Julho";"Agosto";"Setembro";"Outubro";"Novembro";"Dezembro"},Q1095)</f>
        <v/>
      </c>
      <c r="D1095" s="24" t="n">
        <v>3</v>
      </c>
      <c r="E1095" s="25" t="n">
        <v>46188</v>
      </c>
      <c r="F1095" s="23" t="inlineStr">
        <is>
          <t>Iogurte Natural Triplo Zero 170g</t>
        </is>
      </c>
      <c r="G1095" s="23" t="inlineStr">
        <is>
          <t>IOGURTE</t>
        </is>
      </c>
      <c r="H1095" s="26" t="n">
        <v>0.17</v>
      </c>
      <c r="I1095" s="36" t="n">
        <v>3820</v>
      </c>
      <c r="J1095" s="21">
        <f>I1095*H1095</f>
        <v/>
      </c>
      <c r="K1095" s="21">
        <f>IFERROR(IF(J1095/P1095&gt;1,P1095,J1095),0)</f>
        <v/>
      </c>
      <c r="L1095" s="36" t="n">
        <v>3456</v>
      </c>
      <c r="M1095" s="21">
        <f>L1095*H1095</f>
        <v/>
      </c>
      <c r="N1095" s="21">
        <f>IFERROR(IF(M1095/K1095&gt;1,K1095,M1095),0)</f>
        <v/>
      </c>
      <c r="O1095" s="36" t="n">
        <v>3800</v>
      </c>
      <c r="P1095" s="21">
        <f>O1095*H1095</f>
        <v/>
      </c>
      <c r="Q1095" s="30">
        <f>IF(MONTH(E1095+1)=MONTH(E1095+6),MONTH(E1095+1),IF(MIN(EOMONTH(E1095+1,0),E1095+6)-(E1095+1)+1&gt;=3,MONTH(E1095+1),MONTH(E1095+6)))</f>
        <v/>
      </c>
      <c r="R1095" s="22">
        <f>IFERROR(K1095/P1095, 0)</f>
        <v/>
      </c>
      <c r="S1095" s="38">
        <f>IFERROR(N1095/P1095,0)</f>
        <v/>
      </c>
      <c r="T1095" s="31">
        <f>IFERROR(IF(N1095&gt;0,(N1095/K1095),MIN(1,M1095/J1095)),0)</f>
        <v/>
      </c>
      <c r="U1095" s="33" t="n"/>
    </row>
    <row r="1096" hidden="1" s="40">
      <c r="A1096" s="23" t="inlineStr">
        <is>
          <t>Semana 3 - Junho</t>
        </is>
      </c>
      <c r="B1096" s="27">
        <f>YEAR(E1096)</f>
        <v/>
      </c>
      <c r="C1096" s="18">
        <f>INDEX({"Janeiro";"Fevereiro";"Março";"Abril";"Maio";"Junho";"Julho";"Agosto";"Setembro";"Outubro";"Novembro";"Dezembro"},Q1096)</f>
        <v/>
      </c>
      <c r="D1096" s="24" t="n">
        <v>3</v>
      </c>
      <c r="E1096" s="25" t="n">
        <v>46188</v>
      </c>
      <c r="F1096" s="23" t="inlineStr">
        <is>
          <t>Iogurte Salada 120g</t>
        </is>
      </c>
      <c r="G1096" s="23" t="inlineStr">
        <is>
          <t>IOGURTE</t>
        </is>
      </c>
      <c r="H1096" s="26" t="n">
        <v>0.12</v>
      </c>
      <c r="I1096" s="36" t="n">
        <v>2000</v>
      </c>
      <c r="J1096" s="21">
        <f>I1096*H1096</f>
        <v/>
      </c>
      <c r="K1096" s="21">
        <f>IFERROR(IF(J1096/P1096&gt;1,P1096,J1096),0)</f>
        <v/>
      </c>
      <c r="L1096" s="36" t="n">
        <v>2183</v>
      </c>
      <c r="M1096" s="21">
        <f>L1096*H1096</f>
        <v/>
      </c>
      <c r="N1096" s="21">
        <f>IFERROR(IF(M1096/K1096&gt;1,K1096,M1096),0)</f>
        <v/>
      </c>
      <c r="O1096" s="36" t="n">
        <v>2000</v>
      </c>
      <c r="P1096" s="21">
        <f>O1096*H1096</f>
        <v/>
      </c>
      <c r="Q1096" s="30">
        <f>IF(MONTH(E1096+1)=MONTH(E1096+6),MONTH(E1096+1),IF(MIN(EOMONTH(E1096+1,0),E1096+6)-(E1096+1)+1&gt;=3,MONTH(E1096+1),MONTH(E1096+6)))</f>
        <v/>
      </c>
      <c r="R1096" s="22">
        <f>IFERROR(K1096/P1096, 0)</f>
        <v/>
      </c>
      <c r="S1096" s="38">
        <f>IFERROR(N1096/P1096,0)</f>
        <v/>
      </c>
      <c r="T1096" s="31">
        <f>IFERROR(IF(N1096&gt;0,(N1096/K1096),MIN(1,M1096/J1096)),0)</f>
        <v/>
      </c>
      <c r="U1096" s="33" t="n"/>
    </row>
    <row r="1097" hidden="1" s="40">
      <c r="A1097" s="18" t="inlineStr">
        <is>
          <t>Semana 3 - Junho</t>
        </is>
      </c>
      <c r="B1097" s="27">
        <f>YEAR(E1097)</f>
        <v/>
      </c>
      <c r="C1097" s="18">
        <f>INDEX({"Janeiro";"Fevereiro";"Março";"Abril";"Maio";"Junho";"Julho";"Agosto";"Setembro";"Outubro";"Novembro";"Dezembro"},Q1097)</f>
        <v/>
      </c>
      <c r="D1097" s="19" t="n">
        <v>3</v>
      </c>
      <c r="E1097" s="20" t="n">
        <v>46188</v>
      </c>
      <c r="F1097" s="18" t="inlineStr">
        <is>
          <t>Iogurte Salada 185g</t>
        </is>
      </c>
      <c r="G1097" s="18" t="inlineStr">
        <is>
          <t>IOGURTE</t>
        </is>
      </c>
      <c r="H1097" s="21" t="n">
        <v>0.185</v>
      </c>
      <c r="I1097" s="36" t="n">
        <v>520</v>
      </c>
      <c r="J1097" s="21">
        <f>I1097*H1097</f>
        <v/>
      </c>
      <c r="K1097" s="21">
        <f>IFERROR(IF(J1097/P1097&gt;1,P1097,J1097),0)</f>
        <v/>
      </c>
      <c r="L1097" s="36" t="n">
        <v>513</v>
      </c>
      <c r="M1097" s="21">
        <f>L1097*H1097</f>
        <v/>
      </c>
      <c r="N1097" s="21">
        <f>IFERROR(IF(M1097/K1097&gt;1,K1097,M1097),0)</f>
        <v/>
      </c>
      <c r="O1097" s="36" t="n">
        <v>520</v>
      </c>
      <c r="P1097" s="21">
        <f>O1097*H1097</f>
        <v/>
      </c>
      <c r="Q1097" s="30">
        <f>IF(MONTH(E1097+1)=MONTH(E1097+6),MONTH(E1097+1),IF(MIN(EOMONTH(E1097+1,0),E1097+6)-(E1097+1)+1&gt;=3,MONTH(E1097+1),MONTH(E1097+6)))</f>
        <v/>
      </c>
      <c r="R1097" s="22">
        <f>IFERROR(K1097/P1097, 0)</f>
        <v/>
      </c>
      <c r="S1097" s="38">
        <f>IFERROR(N1097/P1097,0)</f>
        <v/>
      </c>
      <c r="T1097" s="31">
        <f>IFERROR(IF(N1097&gt;0,(N1097/K1097),MIN(1,M1097/J1097)),0)</f>
        <v/>
      </c>
      <c r="U1097" s="33" t="n"/>
    </row>
    <row r="1098" hidden="1" s="40">
      <c r="A1098" s="23" t="inlineStr">
        <is>
          <t>Semana 3 - Junho</t>
        </is>
      </c>
      <c r="B1098" s="27">
        <f>YEAR(E1098)</f>
        <v/>
      </c>
      <c r="C1098" s="18">
        <f>INDEX({"Janeiro";"Fevereiro";"Março";"Abril";"Maio";"Junho";"Julho";"Agosto";"Setembro";"Outubro";"Novembro";"Dezembro"},Q1098)</f>
        <v/>
      </c>
      <c r="D1098" s="24" t="n">
        <v>3</v>
      </c>
      <c r="E1098" s="25" t="n">
        <v>46188</v>
      </c>
      <c r="F1098" s="23" t="inlineStr">
        <is>
          <t>Iogurte Salada 900g</t>
        </is>
      </c>
      <c r="G1098" s="23" t="inlineStr">
        <is>
          <t>IOGURTE</t>
        </is>
      </c>
      <c r="H1098" s="26" t="n">
        <v>0.9</v>
      </c>
      <c r="I1098" s="36" t="n">
        <v>1260</v>
      </c>
      <c r="J1098" s="21">
        <f>I1098*H1098</f>
        <v/>
      </c>
      <c r="K1098" s="21">
        <f>IFERROR(IF(J1098/P1098&gt;1,P1098,J1098),0)</f>
        <v/>
      </c>
      <c r="L1098" s="36" t="n">
        <v>1214</v>
      </c>
      <c r="M1098" s="21">
        <f>L1098*H1098</f>
        <v/>
      </c>
      <c r="N1098" s="21">
        <f>IFERROR(IF(M1098/K1098&gt;1,K1098,M1098),0)</f>
        <v/>
      </c>
      <c r="O1098" s="36" t="n">
        <v>600</v>
      </c>
      <c r="P1098" s="21">
        <f>O1098*H1098</f>
        <v/>
      </c>
      <c r="Q1098" s="30">
        <f>IF(MONTH(E1098+1)=MONTH(E1098+6),MONTH(E1098+1),IF(MIN(EOMONTH(E1098+1,0),E1098+6)-(E1098+1)+1&gt;=3,MONTH(E1098+1),MONTH(E1098+6)))</f>
        <v/>
      </c>
      <c r="R1098" s="22">
        <f>IFERROR(K1098/P1098, 0)</f>
        <v/>
      </c>
      <c r="S1098" s="38">
        <f>IFERROR(N1098/P1098,0)</f>
        <v/>
      </c>
      <c r="T1098" s="31">
        <f>IFERROR(IF(N1098&gt;0,(N1098/K1098),MIN(1,M1098/J1098)),0)</f>
        <v/>
      </c>
      <c r="U1098" s="33" t="n"/>
    </row>
    <row r="1099" hidden="1" s="40">
      <c r="A1099" s="23" t="inlineStr">
        <is>
          <t>Semana 3 - Junho</t>
        </is>
      </c>
      <c r="B1099" s="27">
        <f>YEAR(E1099)</f>
        <v/>
      </c>
      <c r="C1099" s="18">
        <f>INDEX({"Janeiro";"Fevereiro";"Março";"Abril";"Maio";"Junho";"Julho";"Agosto";"Setembro";"Outubro";"Novembro";"Dezembro"},Q1099)</f>
        <v/>
      </c>
      <c r="D1099" s="24" t="n">
        <v>3</v>
      </c>
      <c r="E1099" s="25" t="n">
        <v>46188</v>
      </c>
      <c r="F1099" s="23" t="inlineStr">
        <is>
          <t>IOGURTE VIÇOSA MORANGO LIGHT 180g</t>
        </is>
      </c>
      <c r="G1099" s="23" t="inlineStr">
        <is>
          <t>IOGURTE</t>
        </is>
      </c>
      <c r="H1099" s="26" t="n">
        <v>0.18</v>
      </c>
      <c r="I1099" s="36" t="n">
        <v>0</v>
      </c>
      <c r="J1099" s="21">
        <f>I1099*H1099</f>
        <v/>
      </c>
      <c r="K1099" s="21">
        <f>IFERROR(IF(J1099/P1099&gt;1,P1099,J1099),0)</f>
        <v/>
      </c>
      <c r="L1099" s="36" t="n">
        <v>0</v>
      </c>
      <c r="M1099" s="21">
        <f>L1099*H1099</f>
        <v/>
      </c>
      <c r="N1099" s="21">
        <f>IFERROR(IF(M1099/K1099&gt;1,K1099,M1099),0)</f>
        <v/>
      </c>
      <c r="O1099" s="36" t="n">
        <v>0</v>
      </c>
      <c r="P1099" s="21">
        <f>O1099*H1099</f>
        <v/>
      </c>
      <c r="Q1099" s="30">
        <f>IF(MONTH(E1099+1)=MONTH(E1099+6),MONTH(E1099+1),IF(MIN(EOMONTH(E1099+1,0),E1099+6)-(E1099+1)+1&gt;=3,MONTH(E1099+1),MONTH(E1099+6)))</f>
        <v/>
      </c>
      <c r="R1099" s="22">
        <f>IFERROR(K1099/P1099, 0)</f>
        <v/>
      </c>
      <c r="S1099" s="38">
        <f>IFERROR(N1099/P1099,0)</f>
        <v/>
      </c>
      <c r="T1099" s="31">
        <f>IFERROR(IF(N1099&gt;0,(N1099/K1099),MIN(1,M1099/J1099)),0)</f>
        <v/>
      </c>
      <c r="U1099" s="33" t="n"/>
    </row>
    <row r="1100" hidden="1" s="40">
      <c r="A1100" s="18" t="inlineStr">
        <is>
          <t>Semana 3 - Junho</t>
        </is>
      </c>
      <c r="B1100" s="27">
        <f>YEAR(E1100)</f>
        <v/>
      </c>
      <c r="C1100" s="18">
        <f>INDEX({"Janeiro";"Fevereiro";"Março";"Abril";"Maio";"Junho";"Julho";"Agosto";"Setembro";"Outubro";"Novembro";"Dezembro"},Q1100)</f>
        <v/>
      </c>
      <c r="D1100" s="19" t="n">
        <v>3</v>
      </c>
      <c r="E1100" s="20" t="n">
        <v>46188</v>
      </c>
      <c r="F1100" s="18" t="inlineStr">
        <is>
          <t>IOGURTE VIÇOSA MORANGO LIGHT 800g</t>
        </is>
      </c>
      <c r="G1100" s="18" t="inlineStr">
        <is>
          <t>IOGURTE</t>
        </is>
      </c>
      <c r="H1100" s="21" t="n">
        <v>0.8</v>
      </c>
      <c r="I1100" s="36" t="n">
        <v>0</v>
      </c>
      <c r="J1100" s="21">
        <f>I1100*H1100</f>
        <v/>
      </c>
      <c r="K1100" s="21">
        <f>IFERROR(IF(J1100/P1100&gt;1,P1100,J1100),0)</f>
        <v/>
      </c>
      <c r="L1100" s="36" t="n">
        <v>0</v>
      </c>
      <c r="M1100" s="21">
        <f>L1100*H1100</f>
        <v/>
      </c>
      <c r="N1100" s="21">
        <f>IFERROR(IF(M1100/K1100&gt;1,K1100,M1100),0)</f>
        <v/>
      </c>
      <c r="O1100" s="36" t="n">
        <v>0</v>
      </c>
      <c r="P1100" s="21">
        <f>O1100*H1100</f>
        <v/>
      </c>
      <c r="Q1100" s="30">
        <f>IF(MONTH(E1100+1)=MONTH(E1100+6),MONTH(E1100+1),IF(MIN(EOMONTH(E1100+1,0),E1100+6)-(E1100+1)+1&gt;=3,MONTH(E1100+1),MONTH(E1100+6)))</f>
        <v/>
      </c>
      <c r="R1100" s="22">
        <f>IFERROR(K1100/P1100, 0)</f>
        <v/>
      </c>
      <c r="S1100" s="38">
        <f>IFERROR(N1100/P1100,0)</f>
        <v/>
      </c>
      <c r="T1100" s="31">
        <f>IFERROR(IF(N1100&gt;0,(N1100/K1100),MIN(1,M1100/J1100)),0)</f>
        <v/>
      </c>
      <c r="U1100" s="33" t="n"/>
    </row>
    <row r="1101" hidden="1" s="40">
      <c r="A1101" s="18" t="inlineStr">
        <is>
          <t>Semana 3 - Junho</t>
        </is>
      </c>
      <c r="B1101" s="27">
        <f>YEAR(E1101)</f>
        <v/>
      </c>
      <c r="C1101" s="18">
        <f>INDEX({"Janeiro";"Fevereiro";"Março";"Abril";"Maio";"Junho";"Julho";"Agosto";"Setembro";"Outubro";"Novembro";"Dezembro"},Q1101)</f>
        <v/>
      </c>
      <c r="D1101" s="19" t="n">
        <v>3</v>
      </c>
      <c r="E1101" s="20" t="n">
        <v>46188</v>
      </c>
      <c r="F1101" s="18" t="inlineStr">
        <is>
          <t>Iogurte Vida Leve Ameixa c/ Grãos 180g</t>
        </is>
      </c>
      <c r="G1101" s="18" t="inlineStr">
        <is>
          <t>IOGURTE</t>
        </is>
      </c>
      <c r="H1101" s="21" t="n">
        <v>0.18</v>
      </c>
      <c r="I1101" s="36" t="n">
        <v>0</v>
      </c>
      <c r="J1101" s="21">
        <f>I1101*H1101</f>
        <v/>
      </c>
      <c r="K1101" s="21">
        <f>IFERROR(IF(J1101/P1101&gt;1,P1101,J1101),0)</f>
        <v/>
      </c>
      <c r="L1101" s="36" t="n">
        <v>0</v>
      </c>
      <c r="M1101" s="21">
        <f>L1101*H1101</f>
        <v/>
      </c>
      <c r="N1101" s="21">
        <f>IFERROR(IF(M1101/K1101&gt;1,K1101,M1101),0)</f>
        <v/>
      </c>
      <c r="O1101" s="36" t="n">
        <v>0</v>
      </c>
      <c r="P1101" s="21">
        <f>O1101*H1101</f>
        <v/>
      </c>
      <c r="Q1101" s="30">
        <f>IF(MONTH(E1101+1)=MONTH(E1101+6),MONTH(E1101+1),IF(MIN(EOMONTH(E1101+1,0),E1101+6)-(E1101+1)+1&gt;=3,MONTH(E1101+1),MONTH(E1101+6)))</f>
        <v/>
      </c>
      <c r="R1101" s="22">
        <f>IFERROR(K1101/P1101, 0)</f>
        <v/>
      </c>
      <c r="S1101" s="38">
        <f>IFERROR(N1101/P1101,0)</f>
        <v/>
      </c>
      <c r="T1101" s="31">
        <f>IFERROR(IF(N1101&gt;0,(N1101/K1101),MIN(1,M1101/J1101)),0)</f>
        <v/>
      </c>
      <c r="U1101" s="33" t="n"/>
    </row>
    <row r="1102" hidden="1" s="40">
      <c r="A1102" s="23" t="inlineStr">
        <is>
          <t>Semana 3 - Junho</t>
        </is>
      </c>
      <c r="B1102" s="27">
        <f>YEAR(E1102)</f>
        <v/>
      </c>
      <c r="C1102" s="18">
        <f>INDEX({"Janeiro";"Fevereiro";"Março";"Abril";"Maio";"Junho";"Julho";"Agosto";"Setembro";"Outubro";"Novembro";"Dezembro"},Q1102)</f>
        <v/>
      </c>
      <c r="D1102" s="24" t="n">
        <v>3</v>
      </c>
      <c r="E1102" s="25" t="n">
        <v>46188</v>
      </c>
      <c r="F1102" s="23" t="inlineStr">
        <is>
          <t>Iogurte Vida Leve Ameixa c/ Grãos 500g</t>
        </is>
      </c>
      <c r="G1102" s="23" t="inlineStr">
        <is>
          <t>IOGURTE</t>
        </is>
      </c>
      <c r="H1102" s="26" t="n">
        <v>0.5</v>
      </c>
      <c r="I1102" s="36" t="n">
        <v>0</v>
      </c>
      <c r="J1102" s="21">
        <f>I1102*H1102</f>
        <v/>
      </c>
      <c r="K1102" s="21">
        <f>IFERROR(IF(J1102/P1102&gt;1,P1102,J1102),0)</f>
        <v/>
      </c>
      <c r="L1102" s="36" t="n">
        <v>0</v>
      </c>
      <c r="M1102" s="21">
        <f>L1102*H1102</f>
        <v/>
      </c>
      <c r="N1102" s="21">
        <f>IFERROR(IF(M1102/K1102&gt;1,K1102,M1102),0)</f>
        <v/>
      </c>
      <c r="O1102" s="36" t="n">
        <v>0</v>
      </c>
      <c r="P1102" s="21">
        <f>O1102*H1102</f>
        <v/>
      </c>
      <c r="Q1102" s="30">
        <f>IF(MONTH(E1102+1)=MONTH(E1102+6),MONTH(E1102+1),IF(MIN(EOMONTH(E1102+1,0),E1102+6)-(E1102+1)+1&gt;=3,MONTH(E1102+1),MONTH(E1102+6)))</f>
        <v/>
      </c>
      <c r="R1102" s="22">
        <f>IFERROR(K1102/P1102, 0)</f>
        <v/>
      </c>
      <c r="S1102" s="38">
        <f>IFERROR(N1102/P1102,0)</f>
        <v/>
      </c>
      <c r="T1102" s="31">
        <f>IFERROR(IF(N1102&gt;0,(N1102/K1102),MIN(1,M1102/J1102)),0)</f>
        <v/>
      </c>
      <c r="U1102" s="33" t="n"/>
    </row>
    <row r="1103" hidden="1" s="40">
      <c r="A1103" s="18" t="inlineStr">
        <is>
          <t>Semana 3 - Junho</t>
        </is>
      </c>
      <c r="B1103" s="27">
        <f>YEAR(E1103)</f>
        <v/>
      </c>
      <c r="C1103" s="18">
        <f>INDEX({"Janeiro";"Fevereiro";"Março";"Abril";"Maio";"Junho";"Julho";"Agosto";"Setembro";"Outubro";"Novembro";"Dezembro"},Q1103)</f>
        <v/>
      </c>
      <c r="D1103" s="19" t="n">
        <v>3</v>
      </c>
      <c r="E1103" s="20" t="n">
        <v>46188</v>
      </c>
      <c r="F1103" s="18" t="inlineStr">
        <is>
          <t>Iogurte Vida Leve Morango 180g</t>
        </is>
      </c>
      <c r="G1103" s="18" t="inlineStr">
        <is>
          <t>IOGURTE</t>
        </is>
      </c>
      <c r="H1103" s="21" t="n">
        <v>0.185</v>
      </c>
      <c r="I1103" s="36" t="n">
        <v>0</v>
      </c>
      <c r="J1103" s="21">
        <f>I1103*H1103</f>
        <v/>
      </c>
      <c r="K1103" s="21">
        <f>IFERROR(IF(J1103/P1103&gt;1,P1103,J1103),0)</f>
        <v/>
      </c>
      <c r="L1103" s="36" t="n">
        <v>0</v>
      </c>
      <c r="M1103" s="21">
        <f>L1103*H1103</f>
        <v/>
      </c>
      <c r="N1103" s="21">
        <f>IFERROR(IF(M1103/K1103&gt;1,K1103,M1103),0)</f>
        <v/>
      </c>
      <c r="O1103" s="36" t="n">
        <v>0</v>
      </c>
      <c r="P1103" s="21">
        <f>O1103*H1103</f>
        <v/>
      </c>
      <c r="Q1103" s="30">
        <f>IF(MONTH(E1103+1)=MONTH(E1103+6),MONTH(E1103+1),IF(MIN(EOMONTH(E1103+1,0),E1103+6)-(E1103+1)+1&gt;=3,MONTH(E1103+1),MONTH(E1103+6)))</f>
        <v/>
      </c>
      <c r="R1103" s="22">
        <f>IFERROR(K1103/P1103, 0)</f>
        <v/>
      </c>
      <c r="S1103" s="38">
        <f>IFERROR(N1103/P1103,0)</f>
        <v/>
      </c>
      <c r="T1103" s="31">
        <f>IFERROR(IF(N1103&gt;0,(N1103/K1103),MIN(1,M1103/J1103)),0)</f>
        <v/>
      </c>
      <c r="U1103" s="33" t="n"/>
    </row>
    <row r="1104" hidden="1" s="40">
      <c r="A1104" s="23" t="inlineStr">
        <is>
          <t>Semana 3 - Junho</t>
        </is>
      </c>
      <c r="B1104" s="27">
        <f>YEAR(E1104)</f>
        <v/>
      </c>
      <c r="C1104" s="18">
        <f>INDEX({"Janeiro";"Fevereiro";"Março";"Abril";"Maio";"Junho";"Julho";"Agosto";"Setembro";"Outubro";"Novembro";"Dezembro"},Q1104)</f>
        <v/>
      </c>
      <c r="D1104" s="24" t="n">
        <v>3</v>
      </c>
      <c r="E1104" s="25" t="n">
        <v>46188</v>
      </c>
      <c r="F1104" s="23" t="inlineStr">
        <is>
          <t>Iogurte Vida Leve Morango 500g</t>
        </is>
      </c>
      <c r="G1104" s="23" t="inlineStr">
        <is>
          <t>IOGURTE</t>
        </is>
      </c>
      <c r="H1104" s="26" t="n">
        <v>0.5</v>
      </c>
      <c r="I1104" s="36" t="n">
        <v>0</v>
      </c>
      <c r="J1104" s="21">
        <f>I1104*H1104</f>
        <v/>
      </c>
      <c r="K1104" s="21">
        <f>IFERROR(IF(J1104/P1104&gt;1,P1104,J1104),0)</f>
        <v/>
      </c>
      <c r="L1104" s="36" t="n">
        <v>0</v>
      </c>
      <c r="M1104" s="21">
        <f>L1104*H1104</f>
        <v/>
      </c>
      <c r="N1104" s="21">
        <f>IFERROR(IF(M1104/K1104&gt;1,K1104,M1104),0)</f>
        <v/>
      </c>
      <c r="O1104" s="36" t="n">
        <v>0</v>
      </c>
      <c r="P1104" s="21">
        <f>O1104*H1104</f>
        <v/>
      </c>
      <c r="Q1104" s="30">
        <f>IF(MONTH(E1104+1)=MONTH(E1104+6),MONTH(E1104+1),IF(MIN(EOMONTH(E1104+1,0),E1104+6)-(E1104+1)+1&gt;=3,MONTH(E1104+1),MONTH(E1104+6)))</f>
        <v/>
      </c>
      <c r="R1104" s="22">
        <f>IFERROR(K1104/P1104, 0)</f>
        <v/>
      </c>
      <c r="S1104" s="38">
        <f>IFERROR(N1104/P1104,0)</f>
        <v/>
      </c>
      <c r="T1104" s="31">
        <f>IFERROR(IF(N1104&gt;0,(N1104/K1104),MIN(1,M1104/J1104)),0)</f>
        <v/>
      </c>
      <c r="U1104" s="33" t="n"/>
    </row>
    <row r="1105" hidden="1" s="40">
      <c r="A1105" s="18" t="inlineStr">
        <is>
          <t>Semana 3 - Junho</t>
        </is>
      </c>
      <c r="B1105" s="27">
        <f>YEAR(E1105)</f>
        <v/>
      </c>
      <c r="C1105" s="18">
        <f>INDEX({"Janeiro";"Fevereiro";"Março";"Abril";"Maio";"Junho";"Julho";"Agosto";"Setembro";"Outubro";"Novembro";"Dezembro"},Q1105)</f>
        <v/>
      </c>
      <c r="D1105" s="19" t="n">
        <v>3</v>
      </c>
      <c r="E1105" s="20" t="n">
        <v>46188</v>
      </c>
      <c r="F1105" s="18" t="inlineStr">
        <is>
          <t>LEITE PASTEURIZADO VIÇOSA DESNATADO</t>
        </is>
      </c>
      <c r="G1105" s="18" t="inlineStr">
        <is>
          <t>LEITE PAST.</t>
        </is>
      </c>
      <c r="H1105" s="21" t="n">
        <v>1</v>
      </c>
      <c r="I1105" s="36" t="n">
        <v>650</v>
      </c>
      <c r="J1105" s="21">
        <f>I1105*H1105</f>
        <v/>
      </c>
      <c r="K1105" s="21">
        <f>IFERROR(IF(J1105/P1105&gt;1,P1105,J1105),0)</f>
        <v/>
      </c>
      <c r="L1105" s="36" t="n">
        <v>625</v>
      </c>
      <c r="M1105" s="21">
        <f>L1105*H1105</f>
        <v/>
      </c>
      <c r="N1105" s="21">
        <f>IFERROR(IF(M1105/K1105&gt;1,K1105,M1105),0)</f>
        <v/>
      </c>
      <c r="O1105" s="36" t="n">
        <v>650</v>
      </c>
      <c r="P1105" s="21">
        <f>O1105*H1105</f>
        <v/>
      </c>
      <c r="Q1105" s="30">
        <f>IF(MONTH(E1105+1)=MONTH(E1105+6),MONTH(E1105+1),IF(MIN(EOMONTH(E1105+1,0),E1105+6)-(E1105+1)+1&gt;=3,MONTH(E1105+1),MONTH(E1105+6)))</f>
        <v/>
      </c>
      <c r="R1105" s="22">
        <f>IFERROR(K1105/P1105, 0)</f>
        <v/>
      </c>
      <c r="S1105" s="38">
        <f>IFERROR(N1105/P1105,0)</f>
        <v/>
      </c>
      <c r="T1105" s="31">
        <f>IFERROR(IF(N1105&gt;0,(N1105/K1105),MIN(1,M1105/J1105)),0)</f>
        <v/>
      </c>
      <c r="U1105" s="33" t="n"/>
    </row>
    <row r="1106" hidden="1" s="40">
      <c r="A1106" s="23" t="inlineStr">
        <is>
          <t>Semana 3 - Junho</t>
        </is>
      </c>
      <c r="B1106" s="27">
        <f>YEAR(E1106)</f>
        <v/>
      </c>
      <c r="C1106" s="18">
        <f>INDEX({"Janeiro";"Fevereiro";"Março";"Abril";"Maio";"Junho";"Julho";"Agosto";"Setembro";"Outubro";"Novembro";"Dezembro"},Q1106)</f>
        <v/>
      </c>
      <c r="D1106" s="24" t="n">
        <v>3</v>
      </c>
      <c r="E1106" s="25" t="n">
        <v>46188</v>
      </c>
      <c r="F1106" s="23" t="inlineStr">
        <is>
          <t>LEITE PASTEURIZADO VIÇOSA INTEGRAL</t>
        </is>
      </c>
      <c r="G1106" s="23" t="inlineStr">
        <is>
          <t>LEITE PAST.</t>
        </is>
      </c>
      <c r="H1106" s="26" t="n">
        <v>1</v>
      </c>
      <c r="I1106" s="36" t="n">
        <v>24200</v>
      </c>
      <c r="J1106" s="21">
        <f>I1106*H1106</f>
        <v/>
      </c>
      <c r="K1106" s="21">
        <f>IFERROR(IF(J1106/P1106&gt;1,P1106,J1106),0)</f>
        <v/>
      </c>
      <c r="L1106" s="36" t="n">
        <v>24446</v>
      </c>
      <c r="M1106" s="21">
        <f>L1106*H1106</f>
        <v/>
      </c>
      <c r="N1106" s="21">
        <f>IFERROR(IF(M1106/K1106&gt;1,K1106,M1106),0)</f>
        <v/>
      </c>
      <c r="O1106" s="36" t="n">
        <v>24200</v>
      </c>
      <c r="P1106" s="21">
        <f>O1106*H1106</f>
        <v/>
      </c>
      <c r="Q1106" s="30">
        <f>IF(MONTH(E1106+1)=MONTH(E1106+6),MONTH(E1106+1),IF(MIN(EOMONTH(E1106+1,0),E1106+6)-(E1106+1)+1&gt;=3,MONTH(E1106+1),MONTH(E1106+6)))</f>
        <v/>
      </c>
      <c r="R1106" s="22">
        <f>IFERROR(K1106/P1106, 0)</f>
        <v/>
      </c>
      <c r="S1106" s="38">
        <f>IFERROR(N1106/P1106,0)</f>
        <v/>
      </c>
      <c r="T1106" s="31">
        <f>IFERROR(IF(N1106&gt;0,(N1106/K1106),MIN(1,M1106/J1106)),0)</f>
        <v/>
      </c>
      <c r="U1106" s="33" t="n"/>
    </row>
    <row r="1107" hidden="1" s="40">
      <c r="A1107" s="18" t="inlineStr">
        <is>
          <t>Semana 3 - Junho</t>
        </is>
      </c>
      <c r="B1107" s="27">
        <f>YEAR(E1107)</f>
        <v/>
      </c>
      <c r="C1107" s="18">
        <f>INDEX({"Janeiro";"Fevereiro";"Março";"Abril";"Maio";"Junho";"Julho";"Agosto";"Setembro";"Outubro";"Novembro";"Dezembro"},Q1107)</f>
        <v/>
      </c>
      <c r="D1107" s="19" t="n">
        <v>3</v>
      </c>
      <c r="E1107" s="20" t="n">
        <v>46188</v>
      </c>
      <c r="F1107" s="18" t="inlineStr">
        <is>
          <t>LEITE PASTEURIZADO VIÇOSA ZERO LACTOSE INTEGRAL 1 L</t>
        </is>
      </c>
      <c r="G1107" s="18" t="inlineStr">
        <is>
          <t>LEITE PAST.</t>
        </is>
      </c>
      <c r="H1107" s="21" t="n">
        <v>1</v>
      </c>
      <c r="I1107" s="36" t="n">
        <v>950</v>
      </c>
      <c r="J1107" s="21">
        <f>I1107*H1107</f>
        <v/>
      </c>
      <c r="K1107" s="21">
        <f>IFERROR(IF(J1107/P1107&gt;1,P1107,J1107),0)</f>
        <v/>
      </c>
      <c r="L1107" s="36" t="n">
        <v>942</v>
      </c>
      <c r="M1107" s="21">
        <f>L1107*H1107</f>
        <v/>
      </c>
      <c r="N1107" s="21">
        <f>IFERROR(IF(M1107/K1107&gt;1,K1107,M1107),0)</f>
        <v/>
      </c>
      <c r="O1107" s="36" t="n">
        <v>950</v>
      </c>
      <c r="P1107" s="21">
        <f>O1107*H1107</f>
        <v/>
      </c>
      <c r="Q1107" s="30">
        <f>IF(MONTH(E1107+1)=MONTH(E1107+6),MONTH(E1107+1),IF(MIN(EOMONTH(E1107+1,0),E1107+6)-(E1107+1)+1&gt;=3,MONTH(E1107+1),MONTH(E1107+6)))</f>
        <v/>
      </c>
      <c r="R1107" s="22">
        <f>IFERROR(K1107/P1107, 0)</f>
        <v/>
      </c>
      <c r="S1107" s="38">
        <f>IFERROR(N1107/P1107,0)</f>
        <v/>
      </c>
      <c r="T1107" s="31">
        <f>IFERROR(IF(N1107&gt;0,(N1107/K1107),MIN(1,M1107/J1107)),0)</f>
        <v/>
      </c>
      <c r="U1107" s="33" t="n"/>
    </row>
    <row r="1108" hidden="1" s="40">
      <c r="A1108" s="23" t="inlineStr">
        <is>
          <t>Semana 3 - Junho</t>
        </is>
      </c>
      <c r="B1108" s="27">
        <f>YEAR(E1108)</f>
        <v/>
      </c>
      <c r="C1108" s="18">
        <f>INDEX({"Janeiro";"Fevereiro";"Março";"Abril";"Maio";"Junho";"Julho";"Agosto";"Setembro";"Outubro";"Novembro";"Dezembro"},Q1108)</f>
        <v/>
      </c>
      <c r="D1108" s="24" t="n">
        <v>3</v>
      </c>
      <c r="E1108" s="25" t="n">
        <v>46188</v>
      </c>
      <c r="F1108" s="23" t="inlineStr">
        <is>
          <t>Manteiga 200g</t>
        </is>
      </c>
      <c r="G1108" s="23" t="inlineStr">
        <is>
          <t>MANTEIGA</t>
        </is>
      </c>
      <c r="H1108" s="26" t="n">
        <v>0.2</v>
      </c>
      <c r="I1108" s="36" t="n">
        <v>3300</v>
      </c>
      <c r="J1108" s="21">
        <f>I1108*H1108</f>
        <v/>
      </c>
      <c r="K1108" s="21">
        <f>IFERROR(IF(J1108/P1108&gt;1,P1108,J1108),0)</f>
        <v/>
      </c>
      <c r="L1108" s="36" t="n">
        <v>2370</v>
      </c>
      <c r="M1108" s="21">
        <f>L1108*H1108</f>
        <v/>
      </c>
      <c r="N1108" s="21">
        <f>IFERROR(IF(M1108/K1108&gt;1,K1108,M1108),0)</f>
        <v/>
      </c>
      <c r="O1108" s="36" t="n">
        <v>3750</v>
      </c>
      <c r="P1108" s="21">
        <f>O1108*H1108</f>
        <v/>
      </c>
      <c r="Q1108" s="30">
        <f>IF(MONTH(E1108+1)=MONTH(E1108+6),MONTH(E1108+1),IF(MIN(EOMONTH(E1108+1,0),E1108+6)-(E1108+1)+1&gt;=3,MONTH(E1108+1),MONTH(E1108+6)))</f>
        <v/>
      </c>
      <c r="R1108" s="22">
        <f>IFERROR(K1108/P1108, 0)</f>
        <v/>
      </c>
      <c r="S1108" s="38">
        <f>IFERROR(N1108/P1108,0)</f>
        <v/>
      </c>
      <c r="T1108" s="31">
        <f>IFERROR(IF(N1108&gt;0,(N1108/K1108),MIN(1,M1108/J1108)),0)</f>
        <v/>
      </c>
      <c r="U1108" s="33" t="n"/>
    </row>
    <row r="1109" hidden="1" s="40">
      <c r="A1109" s="18" t="inlineStr">
        <is>
          <t>Semana 3 - Junho</t>
        </is>
      </c>
      <c r="B1109" s="27">
        <f>YEAR(E1109)</f>
        <v/>
      </c>
      <c r="C1109" s="18">
        <f>INDEX({"Janeiro";"Fevereiro";"Março";"Abril";"Maio";"Junho";"Julho";"Agosto";"Setembro";"Outubro";"Novembro";"Dezembro"},Q1109)</f>
        <v/>
      </c>
      <c r="D1109" s="19" t="n">
        <v>3</v>
      </c>
      <c r="E1109" s="20" t="n">
        <v>46188</v>
      </c>
      <c r="F1109" s="18" t="inlineStr">
        <is>
          <t>Manteiga 500g</t>
        </is>
      </c>
      <c r="G1109" s="18" t="inlineStr">
        <is>
          <t>MANTEIGA</t>
        </is>
      </c>
      <c r="H1109" s="21" t="n">
        <v>0.5</v>
      </c>
      <c r="I1109" s="36" t="n">
        <v>1100</v>
      </c>
      <c r="J1109" s="21">
        <f>I1109*H1109</f>
        <v/>
      </c>
      <c r="K1109" s="21">
        <f>IFERROR(IF(J1109/P1109&gt;1,P1109,J1109),0)</f>
        <v/>
      </c>
      <c r="L1109" s="36" t="n">
        <v>1062</v>
      </c>
      <c r="M1109" s="21">
        <f>L1109*H1109</f>
        <v/>
      </c>
      <c r="N1109" s="21">
        <f>IFERROR(IF(M1109/K1109&gt;1,K1109,M1109),0)</f>
        <v/>
      </c>
      <c r="O1109" s="36" t="n">
        <v>1100</v>
      </c>
      <c r="P1109" s="21">
        <f>O1109*H1109</f>
        <v/>
      </c>
      <c r="Q1109" s="30">
        <f>IF(MONTH(E1109+1)=MONTH(E1109+6),MONTH(E1109+1),IF(MIN(EOMONTH(E1109+1,0),E1109+6)-(E1109+1)+1&gt;=3,MONTH(E1109+1),MONTH(E1109+6)))</f>
        <v/>
      </c>
      <c r="R1109" s="22">
        <f>IFERROR(K1109/P1109, 0)</f>
        <v/>
      </c>
      <c r="S1109" s="38">
        <f>IFERROR(N1109/P1109,0)</f>
        <v/>
      </c>
      <c r="T1109" s="31">
        <f>IFERROR(IF(N1109&gt;0,(N1109/K1109),MIN(1,M1109/J1109)),0)</f>
        <v/>
      </c>
      <c r="U1109" s="33" t="n"/>
    </row>
    <row r="1110" hidden="1" s="40">
      <c r="A1110" s="23" t="inlineStr">
        <is>
          <t>Semana 3 - Junho</t>
        </is>
      </c>
      <c r="B1110" s="27">
        <f>YEAR(E1110)</f>
        <v/>
      </c>
      <c r="C1110" s="18">
        <f>INDEX({"Janeiro";"Fevereiro";"Março";"Abril";"Maio";"Junho";"Julho";"Agosto";"Setembro";"Outubro";"Novembro";"Dezembro"},Q1110)</f>
        <v/>
      </c>
      <c r="D1110" s="24" t="n">
        <v>3</v>
      </c>
      <c r="E1110" s="25" t="n">
        <v>46188</v>
      </c>
      <c r="F1110" s="23" t="inlineStr">
        <is>
          <t>QUEIJO MINAS MEIA CURA (FRACIONADO)</t>
        </is>
      </c>
      <c r="G1110" s="23" t="inlineStr">
        <is>
          <t>QUEIJO</t>
        </is>
      </c>
      <c r="H1110" s="26" t="n">
        <v>1</v>
      </c>
      <c r="I1110" s="36" t="n">
        <v>0</v>
      </c>
      <c r="J1110" s="21">
        <f>I1110*H1110</f>
        <v/>
      </c>
      <c r="K1110" s="21">
        <f>IFERROR(IF(J1110/P1110&gt;1,P1110,J1110),0)</f>
        <v/>
      </c>
      <c r="L1110" s="36" t="n">
        <v>0</v>
      </c>
      <c r="M1110" s="21">
        <f>L1110*H1110</f>
        <v/>
      </c>
      <c r="N1110" s="21">
        <f>IFERROR(IF(M1110/K1110&gt;1,K1110,M1110),0)</f>
        <v/>
      </c>
      <c r="O1110" s="36" t="n">
        <v>0</v>
      </c>
      <c r="P1110" s="21">
        <f>O1110*H1110</f>
        <v/>
      </c>
      <c r="Q1110" s="30">
        <f>IF(MONTH(E1110+1)=MONTH(E1110+6),MONTH(E1110+1),IF(MIN(EOMONTH(E1110+1,0),E1110+6)-(E1110+1)+1&gt;=3,MONTH(E1110+1),MONTH(E1110+6)))</f>
        <v/>
      </c>
      <c r="R1110" s="22">
        <f>IFERROR(K1110/P1110, 0)</f>
        <v/>
      </c>
      <c r="S1110" s="38">
        <f>IFERROR(N1110/P1110,0)</f>
        <v/>
      </c>
      <c r="T1110" s="31">
        <f>IFERROR(IF(N1110&gt;0,(N1110/K1110),MIN(1,M1110/J1110)),0)</f>
        <v/>
      </c>
      <c r="U1110" s="33" t="n"/>
    </row>
    <row r="1111" hidden="1" s="40">
      <c r="A1111" s="18" t="inlineStr">
        <is>
          <t>Semana 3 - Junho</t>
        </is>
      </c>
      <c r="B1111" s="27">
        <f>YEAR(E1111)</f>
        <v/>
      </c>
      <c r="C1111" s="18">
        <f>INDEX({"Janeiro";"Fevereiro";"Março";"Abril";"Maio";"Junho";"Julho";"Agosto";"Setembro";"Outubro";"Novembro";"Dezembro"},Q1111)</f>
        <v/>
      </c>
      <c r="D1111" s="19" t="n">
        <v>3</v>
      </c>
      <c r="E1111" s="20" t="n">
        <v>46188</v>
      </c>
      <c r="F1111" s="18" t="inlineStr">
        <is>
          <t>QUEIJO MINAS MEIA CURA (INTEIRO)</t>
        </is>
      </c>
      <c r="G1111" s="18" t="inlineStr">
        <is>
          <t>QUEIJO</t>
        </is>
      </c>
      <c r="H1111" s="21" t="n">
        <v>1</v>
      </c>
      <c r="I1111" s="36" t="n">
        <v>0</v>
      </c>
      <c r="J1111" s="21">
        <f>I1111*H1111</f>
        <v/>
      </c>
      <c r="K1111" s="21">
        <f>IFERROR(IF(J1111/P1111&gt;1,P1111,J1111),0)</f>
        <v/>
      </c>
      <c r="L1111" s="36" t="n">
        <v>0</v>
      </c>
      <c r="M1111" s="21">
        <f>L1111*H1111</f>
        <v/>
      </c>
      <c r="N1111" s="21">
        <f>IFERROR(IF(M1111/K1111&gt;1,K1111,M1111),0)</f>
        <v/>
      </c>
      <c r="O1111" s="36" t="n">
        <v>0</v>
      </c>
      <c r="P1111" s="21">
        <f>O1111*H1111</f>
        <v/>
      </c>
      <c r="Q1111" s="30">
        <f>IF(MONTH(E1111+1)=MONTH(E1111+6),MONTH(E1111+1),IF(MIN(EOMONTH(E1111+1,0),E1111+6)-(E1111+1)+1&gt;=3,MONTH(E1111+1),MONTH(E1111+6)))</f>
        <v/>
      </c>
      <c r="R1111" s="22">
        <f>IFERROR(K1111/P1111, 0)</f>
        <v/>
      </c>
      <c r="S1111" s="38">
        <f>IFERROR(N1111/P1111,0)</f>
        <v/>
      </c>
      <c r="T1111" s="31">
        <f>IFERROR(IF(N1111&gt;0,(N1111/K1111),MIN(1,M1111/J1111)),0)</f>
        <v/>
      </c>
      <c r="U1111" s="33" t="n"/>
    </row>
    <row r="1112" hidden="1" s="40">
      <c r="A1112" s="23" t="inlineStr">
        <is>
          <t>Semana 3 - Junho</t>
        </is>
      </c>
      <c r="B1112" s="27">
        <f>YEAR(E1112)</f>
        <v/>
      </c>
      <c r="C1112" s="18">
        <f>INDEX({"Janeiro";"Fevereiro";"Março";"Abril";"Maio";"Junho";"Julho";"Agosto";"Setembro";"Outubro";"Novembro";"Dezembro"},Q1112)</f>
        <v/>
      </c>
      <c r="D1112" s="24" t="n">
        <v>3</v>
      </c>
      <c r="E1112" s="25" t="n">
        <v>46188</v>
      </c>
      <c r="F1112" s="23" t="inlineStr">
        <is>
          <t xml:space="preserve">QUEIJO MINAS PADRÃO VIÇOSA FRACIONADO </t>
        </is>
      </c>
      <c r="G1112" s="23" t="inlineStr">
        <is>
          <t>QUEIJO</t>
        </is>
      </c>
      <c r="H1112" s="26" t="n">
        <v>1</v>
      </c>
      <c r="I1112" s="36" t="n">
        <v>0</v>
      </c>
      <c r="J1112" s="21">
        <f>I1112*H1112</f>
        <v/>
      </c>
      <c r="K1112" s="21">
        <f>IFERROR(IF(J1112/P1112&gt;1,P1112,J1112),0)</f>
        <v/>
      </c>
      <c r="L1112" s="36" t="n">
        <v>0</v>
      </c>
      <c r="M1112" s="21">
        <f>L1112*H1112</f>
        <v/>
      </c>
      <c r="N1112" s="21">
        <f>IFERROR(IF(M1112/K1112&gt;1,K1112,M1112),0)</f>
        <v/>
      </c>
      <c r="O1112" s="36" t="n">
        <v>0</v>
      </c>
      <c r="P1112" s="21">
        <f>O1112*H1112</f>
        <v/>
      </c>
      <c r="Q1112" s="30">
        <f>IF(MONTH(E1112+1)=MONTH(E1112+6),MONTH(E1112+1),IF(MIN(EOMONTH(E1112+1,0),E1112+6)-(E1112+1)+1&gt;=3,MONTH(E1112+1),MONTH(E1112+6)))</f>
        <v/>
      </c>
      <c r="R1112" s="22">
        <f>IFERROR(K1112/P1112, 0)</f>
        <v/>
      </c>
      <c r="S1112" s="38">
        <f>IFERROR(N1112/P1112,0)</f>
        <v/>
      </c>
      <c r="T1112" s="31">
        <f>IFERROR(IF(N1112&gt;0,(N1112/K1112),MIN(1,M1112/J1112)),0)</f>
        <v/>
      </c>
      <c r="U1112" s="33" t="n"/>
    </row>
    <row r="1113" hidden="1" s="40">
      <c r="A1113" s="18" t="inlineStr">
        <is>
          <t>Semana 3 - Junho</t>
        </is>
      </c>
      <c r="B1113" s="27">
        <f>YEAR(E1113)</f>
        <v/>
      </c>
      <c r="C1113" s="18">
        <f>INDEX({"Janeiro";"Fevereiro";"Março";"Abril";"Maio";"Junho";"Julho";"Agosto";"Setembro";"Outubro";"Novembro";"Dezembro"},Q1113)</f>
        <v/>
      </c>
      <c r="D1113" s="19" t="n">
        <v>3</v>
      </c>
      <c r="E1113" s="20" t="n">
        <v>46188</v>
      </c>
      <c r="F1113" s="18" t="inlineStr">
        <is>
          <t>QUEIJO MUSSARELA 3KG</t>
        </is>
      </c>
      <c r="G1113" s="18" t="inlineStr">
        <is>
          <t>QUEIJO</t>
        </is>
      </c>
      <c r="H1113" s="21" t="n">
        <v>1</v>
      </c>
      <c r="I1113" s="36" t="n">
        <v>1000</v>
      </c>
      <c r="J1113" s="21">
        <f>I1113*H1113</f>
        <v/>
      </c>
      <c r="K1113" s="21">
        <f>IFERROR(IF(J1113/P1113&gt;1,P1113,J1113),0)</f>
        <v/>
      </c>
      <c r="L1113" s="36" t="n">
        <v>1000</v>
      </c>
      <c r="M1113" s="21">
        <f>L1113*H1113</f>
        <v/>
      </c>
      <c r="N1113" s="21">
        <f>IFERROR(IF(M1113/K1113&gt;1,K1113,M1113),0)</f>
        <v/>
      </c>
      <c r="O1113" s="36" t="n">
        <v>1000</v>
      </c>
      <c r="P1113" s="21">
        <f>O1113*H1113</f>
        <v/>
      </c>
      <c r="Q1113" s="30">
        <f>IF(MONTH(E1113+1)=MONTH(E1113+6),MONTH(E1113+1),IF(MIN(EOMONTH(E1113+1,0),E1113+6)-(E1113+1)+1&gt;=3,MONTH(E1113+1),MONTH(E1113+6)))</f>
        <v/>
      </c>
      <c r="R1113" s="22">
        <f>IFERROR(K1113/P1113, 0)</f>
        <v/>
      </c>
      <c r="S1113" s="38">
        <f>IFERROR(N1113/P1113,0)</f>
        <v/>
      </c>
      <c r="T1113" s="31">
        <f>IFERROR(IF(N1113&gt;0,(N1113/K1113),MIN(1,M1113/J1113)),0)</f>
        <v/>
      </c>
      <c r="U1113" s="33" t="n"/>
    </row>
    <row r="1114" hidden="1" s="40">
      <c r="A1114" s="23" t="inlineStr">
        <is>
          <t>Semana 3 - Junho</t>
        </is>
      </c>
      <c r="B1114" s="27">
        <f>YEAR(E1114)</f>
        <v/>
      </c>
      <c r="C1114" s="18">
        <f>INDEX({"Janeiro";"Fevereiro";"Março";"Abril";"Maio";"Junho";"Julho";"Agosto";"Setembro";"Outubro";"Novembro";"Dezembro"},Q1114)</f>
        <v/>
      </c>
      <c r="D1114" s="24" t="n">
        <v>3</v>
      </c>
      <c r="E1114" s="25" t="n">
        <v>46188</v>
      </c>
      <c r="F1114" s="23" t="inlineStr">
        <is>
          <t>QUEIJO MUSSARELA LANCHE</t>
        </is>
      </c>
      <c r="G1114" s="23" t="inlineStr">
        <is>
          <t>QUEIJO</t>
        </is>
      </c>
      <c r="H1114" s="26" t="n">
        <v>1</v>
      </c>
      <c r="I1114" s="36" t="n">
        <v>0</v>
      </c>
      <c r="J1114" s="21">
        <f>I1114*H1114</f>
        <v/>
      </c>
      <c r="K1114" s="21">
        <f>IFERROR(IF(J1114/P1114&gt;1,P1114,J1114),0)</f>
        <v/>
      </c>
      <c r="L1114" s="36" t="n">
        <v>0</v>
      </c>
      <c r="M1114" s="21">
        <f>L1114*H1114</f>
        <v/>
      </c>
      <c r="N1114" s="21">
        <f>IFERROR(IF(M1114/K1114&gt;1,K1114,M1114),0)</f>
        <v/>
      </c>
      <c r="O1114" s="36" t="n">
        <v>0</v>
      </c>
      <c r="P1114" s="21">
        <f>O1114*H1114</f>
        <v/>
      </c>
      <c r="Q1114" s="30">
        <f>IF(MONTH(E1114+1)=MONTH(E1114+6),MONTH(E1114+1),IF(MIN(EOMONTH(E1114+1,0),E1114+6)-(E1114+1)+1&gt;=3,MONTH(E1114+1),MONTH(E1114+6)))</f>
        <v/>
      </c>
      <c r="R1114" s="22">
        <f>IFERROR(K1114/P1114, 0)</f>
        <v/>
      </c>
      <c r="S1114" s="38">
        <f>IFERROR(N1114/P1114,0)</f>
        <v/>
      </c>
      <c r="T1114" s="31">
        <f>IFERROR(IF(N1114&gt;0,(N1114/K1114),MIN(1,M1114/J1114)),0)</f>
        <v/>
      </c>
      <c r="U1114" s="33" t="n"/>
    </row>
    <row r="1115" hidden="1" s="40">
      <c r="A1115" s="18" t="inlineStr">
        <is>
          <t>Semana 3 - Junho</t>
        </is>
      </c>
      <c r="B1115" s="27">
        <f>YEAR(E1115)</f>
        <v/>
      </c>
      <c r="C1115" s="18">
        <f>INDEX({"Janeiro";"Fevereiro";"Março";"Abril";"Maio";"Junho";"Julho";"Agosto";"Setembro";"Outubro";"Novembro";"Dezembro"},Q1115)</f>
        <v/>
      </c>
      <c r="D1115" s="19" t="n">
        <v>3</v>
      </c>
      <c r="E1115" s="20" t="n">
        <v>46188</v>
      </c>
      <c r="F1115" s="18" t="inlineStr">
        <is>
          <t>Requeijão Light 200g</t>
        </is>
      </c>
      <c r="G1115" s="18" t="inlineStr">
        <is>
          <t>REQUEIJÃO</t>
        </is>
      </c>
      <c r="H1115" s="21" t="n">
        <v>0.2</v>
      </c>
      <c r="I1115" s="36" t="n">
        <v>600</v>
      </c>
      <c r="J1115" s="21">
        <f>I1115*H1115</f>
        <v/>
      </c>
      <c r="K1115" s="21">
        <f>IFERROR(IF(J1115/P1115&gt;1,P1115,J1115),0)</f>
        <v/>
      </c>
      <c r="L1115" s="36" t="n">
        <v>570</v>
      </c>
      <c r="M1115" s="21">
        <f>L1115*H1115</f>
        <v/>
      </c>
      <c r="N1115" s="21">
        <f>IFERROR(IF(M1115/K1115&gt;1,K1115,M1115),0)</f>
        <v/>
      </c>
      <c r="O1115" s="36" t="n">
        <v>600</v>
      </c>
      <c r="P1115" s="21">
        <f>O1115*H1115</f>
        <v/>
      </c>
      <c r="Q1115" s="30">
        <f>IF(MONTH(E1115+1)=MONTH(E1115+6),MONTH(E1115+1),IF(MIN(EOMONTH(E1115+1,0),E1115+6)-(E1115+1)+1&gt;=3,MONTH(E1115+1),MONTH(E1115+6)))</f>
        <v/>
      </c>
      <c r="R1115" s="22">
        <f>IFERROR(K1115/P1115, 0)</f>
        <v/>
      </c>
      <c r="S1115" s="38">
        <f>IFERROR(N1115/P1115,0)</f>
        <v/>
      </c>
      <c r="T1115" s="31">
        <f>IFERROR(IF(N1115&gt;0,(N1115/K1115),MIN(1,M1115/J1115)),0)</f>
        <v/>
      </c>
      <c r="U1115" s="33" t="n"/>
    </row>
    <row r="1116" hidden="1" s="40">
      <c r="A1116" s="18" t="inlineStr">
        <is>
          <t>Semana 3 - Junho</t>
        </is>
      </c>
      <c r="B1116" s="27">
        <f>YEAR(E1116)</f>
        <v/>
      </c>
      <c r="C1116" s="18">
        <f>INDEX({"Janeiro";"Fevereiro";"Março";"Abril";"Maio";"Junho";"Julho";"Agosto";"Setembro";"Outubro";"Novembro";"Dezembro"},Q1116)</f>
        <v/>
      </c>
      <c r="D1116" s="19" t="n">
        <v>3</v>
      </c>
      <c r="E1116" s="20" t="n">
        <v>46188</v>
      </c>
      <c r="F1116" s="18" t="inlineStr">
        <is>
          <t>REQUEIJÃO VIÇOSA 200g</t>
        </is>
      </c>
      <c r="G1116" s="18" t="inlineStr">
        <is>
          <t>REQUEIJÃO</t>
        </is>
      </c>
      <c r="H1116" s="21" t="n">
        <v>0.2</v>
      </c>
      <c r="I1116" s="36" t="n">
        <v>4800</v>
      </c>
      <c r="J1116" s="21">
        <f>I1116*H1116</f>
        <v/>
      </c>
      <c r="K1116" s="21">
        <f>IFERROR(IF(J1116/P1116&gt;1,P1116,J1116),0)</f>
        <v/>
      </c>
      <c r="L1116" s="36" t="n">
        <v>8181</v>
      </c>
      <c r="M1116" s="21">
        <f>L1116*H1116</f>
        <v/>
      </c>
      <c r="N1116" s="21">
        <f>IFERROR(IF(M1116/K1116&gt;1,K1116,M1116),0)</f>
        <v/>
      </c>
      <c r="O1116" s="36" t="n">
        <v>4800</v>
      </c>
      <c r="P1116" s="21">
        <f>O1116*H1116</f>
        <v/>
      </c>
      <c r="Q1116" s="30">
        <f>IF(MONTH(E1116+1)=MONTH(E1116+6),MONTH(E1116+1),IF(MIN(EOMONTH(E1116+1,0),E1116+6)-(E1116+1)+1&gt;=3,MONTH(E1116+1),MONTH(E1116+6)))</f>
        <v/>
      </c>
      <c r="R1116" s="22">
        <f>IFERROR(K1116/P1116, 0)</f>
        <v/>
      </c>
      <c r="S1116" s="38">
        <f>IFERROR(N1116/P1116,0)</f>
        <v/>
      </c>
      <c r="T1116" s="31">
        <f>IFERROR(IF(N1116&gt;0,(N1116/K1116),MIN(1,M1116/J1116)),0)</f>
        <v/>
      </c>
      <c r="U1116" s="33" t="n"/>
    </row>
    <row r="1117" hidden="1" s="40">
      <c r="A1117" s="23" t="inlineStr">
        <is>
          <t>Semana 3 - Junho</t>
        </is>
      </c>
      <c r="B1117" s="27">
        <f>YEAR(E1117)</f>
        <v/>
      </c>
      <c r="C1117" s="18">
        <f>INDEX({"Janeiro";"Fevereiro";"Março";"Abril";"Maio";"Junho";"Julho";"Agosto";"Setembro";"Outubro";"Novembro";"Dezembro"},Q1117)</f>
        <v/>
      </c>
      <c r="D1117" s="24" t="n">
        <v>3</v>
      </c>
      <c r="E1117" s="25" t="n">
        <v>46188</v>
      </c>
      <c r="F1117" s="23" t="inlineStr">
        <is>
          <t>REQUEIJÃO VIÇOSA 400g</t>
        </is>
      </c>
      <c r="G1117" s="23" t="inlineStr">
        <is>
          <t>REQUEIJÃO</t>
        </is>
      </c>
      <c r="H1117" s="26" t="n">
        <v>0.4</v>
      </c>
      <c r="I1117" s="36" t="n">
        <v>1200</v>
      </c>
      <c r="J1117" s="21">
        <f>I1117*H1117</f>
        <v/>
      </c>
      <c r="K1117" s="21">
        <f>IFERROR(IF(J1117/P1117&gt;1,P1117,J1117),0)</f>
        <v/>
      </c>
      <c r="L1117" s="36" t="n">
        <v>2042</v>
      </c>
      <c r="M1117" s="21">
        <f>L1117*H1117</f>
        <v/>
      </c>
      <c r="N1117" s="21">
        <f>IFERROR(IF(M1117/K1117&gt;1,K1117,M1117),0)</f>
        <v/>
      </c>
      <c r="O1117" s="36" t="n">
        <v>1200</v>
      </c>
      <c r="P1117" s="21">
        <f>O1117*H1117</f>
        <v/>
      </c>
      <c r="Q1117" s="30">
        <f>IF(MONTH(E1117+1)=MONTH(E1117+6),MONTH(E1117+1),IF(MIN(EOMONTH(E1117+1,0),E1117+6)-(E1117+1)+1&gt;=3,MONTH(E1117+1),MONTH(E1117+6)))</f>
        <v/>
      </c>
      <c r="R1117" s="22">
        <f>IFERROR(K1117/P1117, 0)</f>
        <v/>
      </c>
      <c r="S1117" s="38">
        <f>IFERROR(N1117/P1117,0)</f>
        <v/>
      </c>
      <c r="T1117" s="31">
        <f>IFERROR(IF(N1117&gt;0,(N1117/K1117),MIN(1,M1117/J1117)),0)</f>
        <v/>
      </c>
      <c r="U1117" s="33" t="n"/>
    </row>
    <row r="1118" hidden="1" s="40">
      <c r="A1118" s="18" t="inlineStr">
        <is>
          <t>Semana 4 - Junho</t>
        </is>
      </c>
      <c r="B1118" s="27">
        <f>YEAR(E1118)</f>
        <v/>
      </c>
      <c r="C1118" s="18">
        <f>INDEX({"Janeiro";"Fevereiro";"Março";"Abril";"Maio";"Junho";"Julho";"Agosto";"Setembro";"Outubro";"Novembro";"Dezembro"},Q1118)</f>
        <v/>
      </c>
      <c r="D1118" s="19" t="n">
        <v>4</v>
      </c>
      <c r="E1118" s="20" t="n">
        <v>46195</v>
      </c>
      <c r="F1118" s="18" t="inlineStr">
        <is>
          <t>Creme de Ricota 200g</t>
        </is>
      </c>
      <c r="G1118" s="18" t="inlineStr">
        <is>
          <t>RICOTA</t>
        </is>
      </c>
      <c r="H1118" s="21" t="n">
        <v>0.2</v>
      </c>
      <c r="I1118" s="36" t="n">
        <v>0</v>
      </c>
      <c r="J1118" s="21">
        <f>I1118*H1118</f>
        <v/>
      </c>
      <c r="K1118" s="21">
        <f>IFERROR(IF(J1118/P1118&gt;1,P1118,J1118),0)</f>
        <v/>
      </c>
      <c r="L1118" s="36" t="n">
        <v>0</v>
      </c>
      <c r="M1118" s="21">
        <f>L1118*H1118</f>
        <v/>
      </c>
      <c r="N1118" s="21">
        <f>IFERROR(IF(M1118/K1118&gt;1,K1118,M1118),0)</f>
        <v/>
      </c>
      <c r="O1118" s="36" t="n">
        <v>0</v>
      </c>
      <c r="P1118" s="21">
        <f>O1118*H1118</f>
        <v/>
      </c>
      <c r="Q1118" s="30">
        <f>IF(MONTH(E1118+1)=MONTH(E1118+6),MONTH(E1118+1),IF(MIN(EOMONTH(E1118+1,0),E1118+6)-(E1118+1)+1&gt;=3,MONTH(E1118+1),MONTH(E1118+6)))</f>
        <v/>
      </c>
      <c r="R1118" s="22">
        <f>IFERROR(K1118/P1118, 0)</f>
        <v/>
      </c>
      <c r="S1118" s="38">
        <f>IFERROR(N1118/P1118,0)</f>
        <v/>
      </c>
      <c r="T1118" s="31">
        <f>IFERROR(IF(N1118&gt;0,(N1118/K1118),MIN(1,M1118/J1118)),0)</f>
        <v/>
      </c>
      <c r="U1118" s="33" t="inlineStr">
        <is>
          <t>Produção de requeijão Light não foi possível devido a gordura estar acima do permitido. Foi envasado para reprocesso a quantidade de 2 batidas da STEPHAN (aprox. 600 potes). Durante envase do requeijão 400g, motor da STEPHAN apresentou problemas. Toda massa foi descartada restante foi descartada e parte da produção comprometida. De quinta-feira a domingo, foi realizada a manutenção do piso nos setores de Iogurte, Requeijão, Manteiga e Queijos. Durante esse período, a produção nessas áreas ficou suspensa.</t>
        </is>
      </c>
    </row>
    <row r="1119" hidden="1" s="40">
      <c r="A1119" s="18" t="inlineStr">
        <is>
          <t>Semana 4 - Junho</t>
        </is>
      </c>
      <c r="B1119" s="27">
        <f>YEAR(E1119)</f>
        <v/>
      </c>
      <c r="C1119" s="18">
        <f>INDEX({"Janeiro";"Fevereiro";"Março";"Abril";"Maio";"Junho";"Julho";"Agosto";"Setembro";"Outubro";"Novembro";"Dezembro"},Q1119)</f>
        <v/>
      </c>
      <c r="D1119" s="19" t="n">
        <v>4</v>
      </c>
      <c r="E1119" s="20" t="n">
        <v>46195</v>
      </c>
      <c r="F1119" s="18" t="inlineStr">
        <is>
          <t>Doce de Leite 400g</t>
        </is>
      </c>
      <c r="G1119" s="18" t="inlineStr">
        <is>
          <t>DOCE</t>
        </is>
      </c>
      <c r="H1119" s="21" t="n">
        <v>0.4</v>
      </c>
      <c r="I1119" s="36" t="n">
        <v>24000</v>
      </c>
      <c r="J1119" s="21">
        <f>I1119*H1119</f>
        <v/>
      </c>
      <c r="K1119" s="21">
        <f>IFERROR(IF(J1119/P1119&gt;1,P1119,J1119),0)</f>
        <v/>
      </c>
      <c r="L1119" s="36" t="n">
        <v>24431</v>
      </c>
      <c r="M1119" s="21">
        <f>L1119*H1119</f>
        <v/>
      </c>
      <c r="N1119" s="21">
        <f>IFERROR(IF(M1119/K1119&gt;1,K1119,M1119),0)</f>
        <v/>
      </c>
      <c r="O1119" s="36" t="n">
        <v>24000</v>
      </c>
      <c r="P1119" s="21">
        <f>O1119*H1119</f>
        <v/>
      </c>
      <c r="Q1119" s="30">
        <f>IF(MONTH(E1119+1)=MONTH(E1119+6),MONTH(E1119+1),IF(MIN(EOMONTH(E1119+1,0),E1119+6)-(E1119+1)+1&gt;=3,MONTH(E1119+1),MONTH(E1119+6)))</f>
        <v/>
      </c>
      <c r="R1119" s="22">
        <f>IFERROR(K1119/P1119, 0)</f>
        <v/>
      </c>
      <c r="S1119" s="38">
        <f>IFERROR(N1119/P1119,0)</f>
        <v/>
      </c>
      <c r="T1119" s="31">
        <f>IFERROR(IF(N1119&gt;0,(N1119/K1119),MIN(1,M1119/J1119)),0)</f>
        <v/>
      </c>
      <c r="U1119" s="33" t="n"/>
    </row>
    <row r="1120" hidden="1" s="40">
      <c r="A1120" s="23" t="inlineStr">
        <is>
          <t>Semana 4 - Junho</t>
        </is>
      </c>
      <c r="B1120" s="27">
        <f>YEAR(E1120)</f>
        <v/>
      </c>
      <c r="C1120" s="18">
        <f>INDEX({"Janeiro";"Fevereiro";"Março";"Abril";"Maio";"Junho";"Julho";"Agosto";"Setembro";"Outubro";"Novembro";"Dezembro"},Q1120)</f>
        <v/>
      </c>
      <c r="D1120" s="24" t="n">
        <v>4</v>
      </c>
      <c r="E1120" s="25" t="n">
        <v>46195</v>
      </c>
      <c r="F1120" s="23" t="inlineStr">
        <is>
          <t>Doce de Leite 5kg</t>
        </is>
      </c>
      <c r="G1120" s="23" t="inlineStr">
        <is>
          <t>DOCE</t>
        </is>
      </c>
      <c r="H1120" s="26" t="n">
        <v>5</v>
      </c>
      <c r="I1120" s="36" t="n">
        <v>1395</v>
      </c>
      <c r="J1120" s="21">
        <f>I1120*H1120</f>
        <v/>
      </c>
      <c r="K1120" s="21">
        <f>IFERROR(IF(J1120/P1120&gt;1,P1120,J1120),0)</f>
        <v/>
      </c>
      <c r="L1120" s="36" t="n">
        <v>2009</v>
      </c>
      <c r="M1120" s="21">
        <f>L1120*H1120</f>
        <v/>
      </c>
      <c r="N1120" s="21">
        <f>IFERROR(IF(M1120/K1120&gt;1,K1120,M1120),0)</f>
        <v/>
      </c>
      <c r="O1120" s="36" t="n">
        <v>2325</v>
      </c>
      <c r="P1120" s="21">
        <f>O1120*H1120</f>
        <v/>
      </c>
      <c r="Q1120" s="30">
        <f>IF(MONTH(E1120+1)=MONTH(E1120+6),MONTH(E1120+1),IF(MIN(EOMONTH(E1120+1,0),E1120+6)-(E1120+1)+1&gt;=3,MONTH(E1120+1),MONTH(E1120+6)))</f>
        <v/>
      </c>
      <c r="R1120" s="22">
        <f>IFERROR(K1120/P1120, 0)</f>
        <v/>
      </c>
      <c r="S1120" s="38">
        <f>IFERROR(N1120/P1120,0)</f>
        <v/>
      </c>
      <c r="T1120" s="31">
        <f>IFERROR(IF(N1120&gt;0,(N1120/K1120),MIN(1,M1120/J1120)),0)</f>
        <v/>
      </c>
      <c r="U1120" s="33" t="n"/>
    </row>
    <row r="1121" hidden="1" s="40">
      <c r="A1121" s="18" t="inlineStr">
        <is>
          <t>Semana 4 - Junho</t>
        </is>
      </c>
      <c r="B1121" s="27">
        <f>YEAR(E1121)</f>
        <v/>
      </c>
      <c r="C1121" s="18">
        <f>INDEX({"Janeiro";"Fevereiro";"Março";"Abril";"Maio";"Junho";"Julho";"Agosto";"Setembro";"Outubro";"Novembro";"Dezembro"},Q1121)</f>
        <v/>
      </c>
      <c r="D1121" s="19" t="n">
        <v>4</v>
      </c>
      <c r="E1121" s="20" t="n">
        <v>46195</v>
      </c>
      <c r="F1121" s="18" t="inlineStr">
        <is>
          <t>Doce de Leite 5kg - Bombeável</t>
        </is>
      </c>
      <c r="G1121" s="18" t="inlineStr">
        <is>
          <t>DOCE</t>
        </is>
      </c>
      <c r="H1121" s="21" t="n">
        <v>5</v>
      </c>
      <c r="I1121" s="36" t="n">
        <v>0</v>
      </c>
      <c r="J1121" s="21">
        <f>I1121*H1121</f>
        <v/>
      </c>
      <c r="K1121" s="21">
        <f>IFERROR(IF(J1121/P1121&gt;1,P1121,J1121),0)</f>
        <v/>
      </c>
      <c r="L1121" s="36" t="n">
        <v>0</v>
      </c>
      <c r="M1121" s="21">
        <f>L1121*H1121</f>
        <v/>
      </c>
      <c r="N1121" s="21">
        <f>IFERROR(IF(M1121/K1121&gt;1,K1121,M1121),0)</f>
        <v/>
      </c>
      <c r="O1121" s="36" t="n">
        <v>0</v>
      </c>
      <c r="P1121" s="21">
        <f>O1121*H1121</f>
        <v/>
      </c>
      <c r="Q1121" s="30">
        <f>IF(MONTH(E1121+1)=MONTH(E1121+6),MONTH(E1121+1),IF(MIN(EOMONTH(E1121+1,0),E1121+6)-(E1121+1)+1&gt;=3,MONTH(E1121+1),MONTH(E1121+6)))</f>
        <v/>
      </c>
      <c r="R1121" s="22">
        <f>IFERROR(K1121/P1121, 0)</f>
        <v/>
      </c>
      <c r="S1121" s="38">
        <f>IFERROR(N1121/P1121,0)</f>
        <v/>
      </c>
      <c r="T1121" s="31">
        <f>IFERROR(IF(N1121&gt;0,(N1121/K1121),MIN(1,M1121/J1121)),0)</f>
        <v/>
      </c>
      <c r="U1121" s="33" t="n"/>
    </row>
    <row r="1122" hidden="1" s="40">
      <c r="A1122" s="23" t="inlineStr">
        <is>
          <t>Semana 4 - Junho</t>
        </is>
      </c>
      <c r="B1122" s="27">
        <f>YEAR(E1122)</f>
        <v/>
      </c>
      <c r="C1122" s="18">
        <f>INDEX({"Janeiro";"Fevereiro";"Março";"Abril";"Maio";"Junho";"Julho";"Agosto";"Setembro";"Outubro";"Novembro";"Dezembro"},Q1122)</f>
        <v/>
      </c>
      <c r="D1122" s="24" t="n">
        <v>4</v>
      </c>
      <c r="E1122" s="25" t="n">
        <v>46195</v>
      </c>
      <c r="F1122" s="23" t="inlineStr">
        <is>
          <t>Doce de Leite 5kg - Forneável</t>
        </is>
      </c>
      <c r="G1122" s="23" t="inlineStr">
        <is>
          <t>DOCE</t>
        </is>
      </c>
      <c r="H1122" s="26" t="n">
        <v>5</v>
      </c>
      <c r="I1122" s="36" t="n">
        <v>465</v>
      </c>
      <c r="J1122" s="21">
        <f>I1122*H1122</f>
        <v/>
      </c>
      <c r="K1122" s="21">
        <f>IFERROR(IF(J1122/P1122&gt;1,P1122,J1122),0)</f>
        <v/>
      </c>
      <c r="L1122" s="36" t="n">
        <v>545</v>
      </c>
      <c r="M1122" s="21">
        <f>L1122*H1122</f>
        <v/>
      </c>
      <c r="N1122" s="21">
        <f>IFERROR(IF(M1122/K1122&gt;1,K1122,M1122),0)</f>
        <v/>
      </c>
      <c r="O1122" s="36" t="n">
        <v>465</v>
      </c>
      <c r="P1122" s="21">
        <f>O1122*H1122</f>
        <v/>
      </c>
      <c r="Q1122" s="30">
        <f>IF(MONTH(E1122+1)=MONTH(E1122+6),MONTH(E1122+1),IF(MIN(EOMONTH(E1122+1,0),E1122+6)-(E1122+1)+1&gt;=3,MONTH(E1122+1),MONTH(E1122+6)))</f>
        <v/>
      </c>
      <c r="R1122" s="22">
        <f>IFERROR(K1122/P1122, 0)</f>
        <v/>
      </c>
      <c r="S1122" s="38">
        <f>IFERROR(N1122/P1122,0)</f>
        <v/>
      </c>
      <c r="T1122" s="31">
        <f>IFERROR(IF(N1122&gt;0,(N1122/K1122),MIN(1,M1122/J1122)),0)</f>
        <v/>
      </c>
      <c r="U1122" s="33" t="n"/>
    </row>
    <row r="1123" hidden="1" s="40">
      <c r="A1123" s="18" t="inlineStr">
        <is>
          <t>Semana 4 - Junho</t>
        </is>
      </c>
      <c r="B1123" s="27">
        <f>YEAR(E1123)</f>
        <v/>
      </c>
      <c r="C1123" s="18">
        <f>INDEX({"Janeiro";"Fevereiro";"Março";"Abril";"Maio";"Junho";"Julho";"Agosto";"Setembro";"Outubro";"Novembro";"Dezembro"},Q1123)</f>
        <v/>
      </c>
      <c r="D1123" s="19" t="n">
        <v>4</v>
      </c>
      <c r="E1123" s="20" t="n">
        <v>46195</v>
      </c>
      <c r="F1123" s="18" t="inlineStr">
        <is>
          <t>Doce de Leite 800g</t>
        </is>
      </c>
      <c r="G1123" s="18" t="inlineStr">
        <is>
          <t>DOCE</t>
        </is>
      </c>
      <c r="H1123" s="21" t="n">
        <v>0.8</v>
      </c>
      <c r="I1123" s="36" t="n">
        <v>12000</v>
      </c>
      <c r="J1123" s="21">
        <f>I1123*H1123</f>
        <v/>
      </c>
      <c r="K1123" s="21">
        <f>IFERROR(IF(J1123/P1123&gt;1,P1123,J1123),0)</f>
        <v/>
      </c>
      <c r="L1123" s="36" t="n">
        <v>13782</v>
      </c>
      <c r="M1123" s="21">
        <f>L1123*H1123</f>
        <v/>
      </c>
      <c r="N1123" s="21">
        <f>IFERROR(IF(M1123/K1123&gt;1,K1123,M1123),0)</f>
        <v/>
      </c>
      <c r="O1123" s="36" t="n">
        <v>12000</v>
      </c>
      <c r="P1123" s="21">
        <f>O1123*H1123</f>
        <v/>
      </c>
      <c r="Q1123" s="30">
        <f>IF(MONTH(E1123+1)=MONTH(E1123+6),MONTH(E1123+1),IF(MIN(EOMONTH(E1123+1,0),E1123+6)-(E1123+1)+1&gt;=3,MONTH(E1123+1),MONTH(E1123+6)))</f>
        <v/>
      </c>
      <c r="R1123" s="22">
        <f>IFERROR(K1123/P1123, 0)</f>
        <v/>
      </c>
      <c r="S1123" s="38">
        <f>IFERROR(N1123/P1123,0)</f>
        <v/>
      </c>
      <c r="T1123" s="31">
        <f>IFERROR(IF(N1123&gt;0,(N1123/K1123),MIN(1,M1123/J1123)),0)</f>
        <v/>
      </c>
      <c r="U1123" s="33" t="n"/>
    </row>
    <row r="1124" hidden="1" s="40">
      <c r="A1124" s="23" t="inlineStr">
        <is>
          <t>Semana 4 - Junho</t>
        </is>
      </c>
      <c r="B1124" s="27">
        <f>YEAR(E1124)</f>
        <v/>
      </c>
      <c r="C1124" s="18">
        <f>INDEX({"Janeiro";"Fevereiro";"Março";"Abril";"Maio";"Junho";"Julho";"Agosto";"Setembro";"Outubro";"Novembro";"Dezembro"},Q1124)</f>
        <v/>
      </c>
      <c r="D1124" s="24" t="n">
        <v>4</v>
      </c>
      <c r="E1124" s="25" t="n">
        <v>46195</v>
      </c>
      <c r="F1124" s="23" t="inlineStr">
        <is>
          <t>Doce de Leite c/ Café 400</t>
        </is>
      </c>
      <c r="G1124" s="23" t="inlineStr">
        <is>
          <t>DOCE</t>
        </is>
      </c>
      <c r="H1124" s="26" t="n">
        <v>0.4</v>
      </c>
      <c r="I1124" s="36" t="n">
        <v>6000</v>
      </c>
      <c r="J1124" s="21">
        <f>I1124*H1124</f>
        <v/>
      </c>
      <c r="K1124" s="21">
        <f>IFERROR(IF(J1124/P1124&gt;1,P1124,J1124),0)</f>
        <v/>
      </c>
      <c r="L1124" s="36" t="n">
        <v>6499</v>
      </c>
      <c r="M1124" s="21">
        <f>L1124*H1124</f>
        <v/>
      </c>
      <c r="N1124" s="21">
        <f>IFERROR(IF(M1124/K1124&gt;1,K1124,M1124),0)</f>
        <v/>
      </c>
      <c r="O1124" s="36" t="n">
        <v>6000</v>
      </c>
      <c r="P1124" s="21">
        <f>O1124*H1124</f>
        <v/>
      </c>
      <c r="Q1124" s="30">
        <f>IF(MONTH(E1124+1)=MONTH(E1124+6),MONTH(E1124+1),IF(MIN(EOMONTH(E1124+1,0),E1124+6)-(E1124+1)+1&gt;=3,MONTH(E1124+1),MONTH(E1124+6)))</f>
        <v/>
      </c>
      <c r="R1124" s="22">
        <f>IFERROR(K1124/P1124, 0)</f>
        <v/>
      </c>
      <c r="S1124" s="38">
        <f>IFERROR(N1124/P1124,0)</f>
        <v/>
      </c>
      <c r="T1124" s="31">
        <f>IFERROR(IF(N1124&gt;0,(N1124/K1124),MIN(1,M1124/J1124)),0)</f>
        <v/>
      </c>
      <c r="U1124" s="33" t="n"/>
    </row>
    <row r="1125" hidden="1" s="40">
      <c r="A1125" s="18" t="inlineStr">
        <is>
          <t>Semana 4 - Junho</t>
        </is>
      </c>
      <c r="B1125" s="27">
        <f>YEAR(E1125)</f>
        <v/>
      </c>
      <c r="C1125" s="18">
        <f>INDEX({"Janeiro";"Fevereiro";"Março";"Abril";"Maio";"Junho";"Julho";"Agosto";"Setembro";"Outubro";"Novembro";"Dezembro"},Q1125)</f>
        <v/>
      </c>
      <c r="D1125" s="19" t="n">
        <v>4</v>
      </c>
      <c r="E1125" s="20" t="n">
        <v>46195</v>
      </c>
      <c r="F1125" s="18" t="inlineStr">
        <is>
          <t>Doce de Leite c/ Café 5kg</t>
        </is>
      </c>
      <c r="G1125" s="18" t="inlineStr">
        <is>
          <t>DOCE</t>
        </is>
      </c>
      <c r="H1125" s="21" t="n">
        <v>5</v>
      </c>
      <c r="I1125" s="36" t="n">
        <v>0</v>
      </c>
      <c r="J1125" s="21">
        <f>I1125*H1125</f>
        <v/>
      </c>
      <c r="K1125" s="21">
        <f>IFERROR(IF(J1125/P1125&gt;1,P1125,J1125),0)</f>
        <v/>
      </c>
      <c r="L1125" s="36" t="n">
        <v>0</v>
      </c>
      <c r="M1125" s="21">
        <f>L1125*H1125</f>
        <v/>
      </c>
      <c r="N1125" s="21">
        <f>IFERROR(IF(M1125/K1125&gt;1,K1125,M1125),0)</f>
        <v/>
      </c>
      <c r="O1125" s="36" t="n">
        <v>0</v>
      </c>
      <c r="P1125" s="21">
        <f>O1125*H1125</f>
        <v/>
      </c>
      <c r="Q1125" s="30">
        <f>IF(MONTH(E1125+1)=MONTH(E1125+6),MONTH(E1125+1),IF(MIN(EOMONTH(E1125+1,0),E1125+6)-(E1125+1)+1&gt;=3,MONTH(E1125+1),MONTH(E1125+6)))</f>
        <v/>
      </c>
      <c r="R1125" s="22">
        <f>IFERROR(K1125/P1125, 0)</f>
        <v/>
      </c>
      <c r="S1125" s="38">
        <f>IFERROR(N1125/P1125,0)</f>
        <v/>
      </c>
      <c r="T1125" s="31">
        <f>IFERROR(IF(N1125&gt;0,(N1125/K1125),MIN(1,M1125/J1125)),0)</f>
        <v/>
      </c>
      <c r="U1125" s="33" t="n"/>
    </row>
    <row r="1126" hidden="1" s="40">
      <c r="A1126" s="23" t="inlineStr">
        <is>
          <t>Semana 4 - Junho</t>
        </is>
      </c>
      <c r="B1126" s="27">
        <f>YEAR(E1126)</f>
        <v/>
      </c>
      <c r="C1126" s="18">
        <f>INDEX({"Janeiro";"Fevereiro";"Março";"Abril";"Maio";"Junho";"Julho";"Agosto";"Setembro";"Outubro";"Novembro";"Dezembro"},Q1126)</f>
        <v/>
      </c>
      <c r="D1126" s="24" t="n">
        <v>4</v>
      </c>
      <c r="E1126" s="25" t="n">
        <v>46195</v>
      </c>
      <c r="F1126" s="23" t="inlineStr">
        <is>
          <t>Doce de Leite c/ coco 400</t>
        </is>
      </c>
      <c r="G1126" s="23" t="inlineStr">
        <is>
          <t>DOCE</t>
        </is>
      </c>
      <c r="H1126" s="26" t="n">
        <v>0.4</v>
      </c>
      <c r="I1126" s="36" t="n">
        <v>0</v>
      </c>
      <c r="J1126" s="21">
        <f>I1126*H1126</f>
        <v/>
      </c>
      <c r="K1126" s="21">
        <f>IFERROR(IF(J1126/P1126&gt;1,P1126,J1126),0)</f>
        <v/>
      </c>
      <c r="L1126" s="36" t="n">
        <v>0</v>
      </c>
      <c r="M1126" s="21">
        <f>L1126*H1126</f>
        <v/>
      </c>
      <c r="N1126" s="21">
        <f>IFERROR(IF(M1126/K1126&gt;1,K1126,M1126),0)</f>
        <v/>
      </c>
      <c r="O1126" s="36" t="n">
        <v>0</v>
      </c>
      <c r="P1126" s="21">
        <f>O1126*H1126</f>
        <v/>
      </c>
      <c r="Q1126" s="30">
        <f>IF(MONTH(E1126+1)=MONTH(E1126+6),MONTH(E1126+1),IF(MIN(EOMONTH(E1126+1,0),E1126+6)-(E1126+1)+1&gt;=3,MONTH(E1126+1),MONTH(E1126+6)))</f>
        <v/>
      </c>
      <c r="R1126" s="22">
        <f>IFERROR(K1126/P1126, 0)</f>
        <v/>
      </c>
      <c r="S1126" s="38">
        <f>IFERROR(N1126/P1126,0)</f>
        <v/>
      </c>
      <c r="T1126" s="31">
        <f>IFERROR(IF(N1126&gt;0,(N1126/K1126),MIN(1,M1126/J1126)),0)</f>
        <v/>
      </c>
      <c r="U1126" s="33" t="n"/>
    </row>
    <row r="1127" hidden="1" s="40">
      <c r="A1127" s="23" t="inlineStr">
        <is>
          <t>Semana 4 - Junho</t>
        </is>
      </c>
      <c r="B1127" s="27">
        <f>YEAR(E1127)</f>
        <v/>
      </c>
      <c r="C1127" s="18">
        <f>INDEX({"Janeiro";"Fevereiro";"Março";"Abril";"Maio";"Junho";"Julho";"Agosto";"Setembro";"Outubro";"Novembro";"Dezembro"},Q1127)</f>
        <v/>
      </c>
      <c r="D1127" s="24" t="n">
        <v>4</v>
      </c>
      <c r="E1127" s="25" t="n">
        <v>46195</v>
      </c>
      <c r="F1127" s="23" t="inlineStr">
        <is>
          <t>Doce de Leite Cacau 400g</t>
        </is>
      </c>
      <c r="G1127" s="23" t="inlineStr">
        <is>
          <t>DOCE</t>
        </is>
      </c>
      <c r="H1127" s="26" t="n">
        <v>0.4</v>
      </c>
      <c r="I1127" s="36" t="n">
        <v>6000</v>
      </c>
      <c r="J1127" s="21">
        <f>I1127*H1127</f>
        <v/>
      </c>
      <c r="K1127" s="21">
        <f>IFERROR(IF(J1127/P1127&gt;1,P1127,J1127),0)</f>
        <v/>
      </c>
      <c r="L1127" s="36" t="n">
        <v>6955</v>
      </c>
      <c r="M1127" s="21">
        <f>L1127*H1127</f>
        <v/>
      </c>
      <c r="N1127" s="21">
        <f>IFERROR(IF(M1127/K1127&gt;1,K1127,M1127),0)</f>
        <v/>
      </c>
      <c r="O1127" s="36" t="n">
        <v>6000</v>
      </c>
      <c r="P1127" s="21">
        <f>O1127*H1127</f>
        <v/>
      </c>
      <c r="Q1127" s="30">
        <f>IF(MONTH(E1127+1)=MONTH(E1127+6),MONTH(E1127+1),IF(MIN(EOMONTH(E1127+1,0),E1127+6)-(E1127+1)+1&gt;=3,MONTH(E1127+1),MONTH(E1127+6)))</f>
        <v/>
      </c>
      <c r="R1127" s="22">
        <f>IFERROR(K1127/P1127, 0)</f>
        <v/>
      </c>
      <c r="S1127" s="38">
        <f>IFERROR(N1127/P1127,0)</f>
        <v/>
      </c>
      <c r="T1127" s="31">
        <f>IFERROR(IF(N1127&gt;0,(N1127/K1127),MIN(1,M1127/J1127)),0)</f>
        <v/>
      </c>
      <c r="U1127" s="33" t="n"/>
    </row>
    <row r="1128" hidden="1" s="40">
      <c r="A1128" s="18" t="inlineStr">
        <is>
          <t>Semana 4 - Junho</t>
        </is>
      </c>
      <c r="B1128" s="27">
        <f>YEAR(E1128)</f>
        <v/>
      </c>
      <c r="C1128" s="18">
        <f>INDEX({"Janeiro";"Fevereiro";"Março";"Abril";"Maio";"Junho";"Julho";"Agosto";"Setembro";"Outubro";"Novembro";"Dezembro"},Q1128)</f>
        <v/>
      </c>
      <c r="D1128" s="19" t="n">
        <v>4</v>
      </c>
      <c r="E1128" s="20" t="n">
        <v>46195</v>
      </c>
      <c r="F1128" s="18" t="inlineStr">
        <is>
          <t>Doce de Leite Cacau 5kg - Bombeável</t>
        </is>
      </c>
      <c r="G1128" s="18" t="inlineStr">
        <is>
          <t>DOCE</t>
        </is>
      </c>
      <c r="H1128" s="21" t="n">
        <v>5</v>
      </c>
      <c r="I1128" s="36" t="n">
        <v>0</v>
      </c>
      <c r="J1128" s="21">
        <f>I1128*H1128</f>
        <v/>
      </c>
      <c r="K1128" s="21">
        <f>IFERROR(IF(J1128/P1128&gt;1,P1128,J1128),0)</f>
        <v/>
      </c>
      <c r="L1128" s="36" t="n">
        <v>0</v>
      </c>
      <c r="M1128" s="21">
        <f>L1128*H1128</f>
        <v/>
      </c>
      <c r="N1128" s="21">
        <f>IFERROR(IF(M1128/K1128&gt;1,K1128,M1128),0)</f>
        <v/>
      </c>
      <c r="O1128" s="36" t="n">
        <v>0</v>
      </c>
      <c r="P1128" s="21">
        <f>O1128*H1128</f>
        <v/>
      </c>
      <c r="Q1128" s="30">
        <f>IF(MONTH(E1128+1)=MONTH(E1128+6),MONTH(E1128+1),IF(MIN(EOMONTH(E1128+1,0),E1128+6)-(E1128+1)+1&gt;=3,MONTH(E1128+1),MONTH(E1128+6)))</f>
        <v/>
      </c>
      <c r="R1128" s="22">
        <f>IFERROR(K1128/P1128, 0)</f>
        <v/>
      </c>
      <c r="S1128" s="38">
        <f>IFERROR(N1128/P1128,0)</f>
        <v/>
      </c>
      <c r="T1128" s="31">
        <f>IFERROR(IF(N1128&gt;0,(N1128/K1128),MIN(1,M1128/J1128)),0)</f>
        <v/>
      </c>
      <c r="U1128" s="33" t="n"/>
    </row>
    <row r="1129" hidden="1" s="40">
      <c r="A1129" s="23" t="inlineStr">
        <is>
          <t>Semana 4 - Junho</t>
        </is>
      </c>
      <c r="B1129" s="27">
        <f>YEAR(E1129)</f>
        <v/>
      </c>
      <c r="C1129" s="18">
        <f>INDEX({"Janeiro";"Fevereiro";"Março";"Abril";"Maio";"Junho";"Julho";"Agosto";"Setembro";"Outubro";"Novembro";"Dezembro"},Q1129)</f>
        <v/>
      </c>
      <c r="D1129" s="24" t="n">
        <v>4</v>
      </c>
      <c r="E1129" s="25" t="n">
        <v>46195</v>
      </c>
      <c r="F1129" s="23" t="inlineStr">
        <is>
          <t>Doce de Leite Cacau 5kg - FOOD</t>
        </is>
      </c>
      <c r="G1129" s="23" t="inlineStr">
        <is>
          <t>DOCE</t>
        </is>
      </c>
      <c r="H1129" s="26" t="n">
        <v>5</v>
      </c>
      <c r="I1129" s="36" t="n">
        <v>465</v>
      </c>
      <c r="J1129" s="21">
        <f>I1129*H1129</f>
        <v/>
      </c>
      <c r="K1129" s="21">
        <f>IFERROR(IF(J1129/P1129&gt;1,P1129,J1129),0)</f>
        <v/>
      </c>
      <c r="L1129" s="36" t="n">
        <v>513</v>
      </c>
      <c r="M1129" s="21">
        <f>L1129*H1129</f>
        <v/>
      </c>
      <c r="N1129" s="21">
        <f>IFERROR(IF(M1129/K1129&gt;1,K1129,M1129),0)</f>
        <v/>
      </c>
      <c r="O1129" s="36" t="n">
        <v>465</v>
      </c>
      <c r="P1129" s="21">
        <f>O1129*H1129</f>
        <v/>
      </c>
      <c r="Q1129" s="30">
        <f>IF(MONTH(E1129+1)=MONTH(E1129+6),MONTH(E1129+1),IF(MIN(EOMONTH(E1129+1,0),E1129+6)-(E1129+1)+1&gt;=3,MONTH(E1129+1),MONTH(E1129+6)))</f>
        <v/>
      </c>
      <c r="R1129" s="22">
        <f>IFERROR(K1129/P1129, 0)</f>
        <v/>
      </c>
      <c r="S1129" s="38">
        <f>IFERROR(N1129/P1129,0)</f>
        <v/>
      </c>
      <c r="T1129" s="31">
        <f>IFERROR(IF(N1129&gt;0,(N1129/K1129),MIN(1,M1129/J1129)),0)</f>
        <v/>
      </c>
      <c r="U1129" s="33" t="n"/>
    </row>
    <row r="1130" hidden="1" s="40">
      <c r="A1130" s="18" t="inlineStr">
        <is>
          <t>Semana 4 - Junho</t>
        </is>
      </c>
      <c r="B1130" s="27">
        <f>YEAR(E1130)</f>
        <v/>
      </c>
      <c r="C1130" s="18">
        <f>INDEX({"Janeiro";"Fevereiro";"Março";"Abril";"Maio";"Junho";"Julho";"Agosto";"Setembro";"Outubro";"Novembro";"Dezembro"},Q1130)</f>
        <v/>
      </c>
      <c r="D1130" s="19" t="n">
        <v>4</v>
      </c>
      <c r="E1130" s="20" t="n">
        <v>46195</v>
      </c>
      <c r="F1130" s="18" t="inlineStr">
        <is>
          <t>Doce de Leite Zero Açúcar e Lactose 400g</t>
        </is>
      </c>
      <c r="G1130" s="18" t="inlineStr">
        <is>
          <t>DOCE</t>
        </is>
      </c>
      <c r="H1130" s="21" t="n">
        <v>0.4</v>
      </c>
      <c r="I1130" s="36" t="n">
        <v>24000</v>
      </c>
      <c r="J1130" s="21">
        <f>I1130*H1130</f>
        <v/>
      </c>
      <c r="K1130" s="21">
        <f>IFERROR(IF(J1130/P1130&gt;1,P1130,J1130),0)</f>
        <v/>
      </c>
      <c r="L1130" s="36" t="n">
        <v>22312</v>
      </c>
      <c r="M1130" s="21">
        <f>L1130*H1130</f>
        <v/>
      </c>
      <c r="N1130" s="21">
        <f>IFERROR(IF(M1130/K1130&gt;1,K1130,M1130),0)</f>
        <v/>
      </c>
      <c r="O1130" s="36" t="n">
        <v>30000</v>
      </c>
      <c r="P1130" s="21">
        <f>O1130*H1130</f>
        <v/>
      </c>
      <c r="Q1130" s="30">
        <f>IF(MONTH(E1130+1)=MONTH(E1130+6),MONTH(E1130+1),IF(MIN(EOMONTH(E1130+1,0),E1130+6)-(E1130+1)+1&gt;=3,MONTH(E1130+1),MONTH(E1130+6)))</f>
        <v/>
      </c>
      <c r="R1130" s="22">
        <f>IFERROR(K1130/P1130, 0)</f>
        <v/>
      </c>
      <c r="S1130" s="38">
        <f>IFERROR(N1130/P1130,0)</f>
        <v/>
      </c>
      <c r="T1130" s="31">
        <f>IFERROR(IF(N1130&gt;0,(N1130/K1130),MIN(1,M1130/J1130)),0)</f>
        <v/>
      </c>
      <c r="U1130" s="33" t="n"/>
    </row>
    <row r="1131" hidden="1" s="40">
      <c r="A1131" s="23" t="inlineStr">
        <is>
          <t>Semana 4 - Junho</t>
        </is>
      </c>
      <c r="B1131" s="27">
        <f>YEAR(E1131)</f>
        <v/>
      </c>
      <c r="C1131" s="18">
        <f>INDEX({"Janeiro";"Fevereiro";"Março";"Abril";"Maio";"Junho";"Julho";"Agosto";"Setembro";"Outubro";"Novembro";"Dezembro"},Q1131)</f>
        <v/>
      </c>
      <c r="D1131" s="24" t="n">
        <v>4</v>
      </c>
      <c r="E1131" s="25" t="n">
        <v>46195</v>
      </c>
      <c r="F1131" s="23" t="inlineStr">
        <is>
          <t>Iogurte Abacaxi c/ Coco 120g</t>
        </is>
      </c>
      <c r="G1131" s="23" t="inlineStr">
        <is>
          <t>IOGURTE</t>
        </is>
      </c>
      <c r="H1131" s="26" t="n">
        <v>0.12</v>
      </c>
      <c r="I1131" s="36" t="n">
        <v>3000</v>
      </c>
      <c r="J1131" s="21">
        <f>I1131*H1131</f>
        <v/>
      </c>
      <c r="K1131" s="21">
        <f>IFERROR(IF(J1131/P1131&gt;1,P1131,J1131),0)</f>
        <v/>
      </c>
      <c r="L1131" s="36" t="n">
        <v>2725</v>
      </c>
      <c r="M1131" s="21">
        <f>L1131*H1131</f>
        <v/>
      </c>
      <c r="N1131" s="21">
        <f>IFERROR(IF(M1131/K1131&gt;1,K1131,M1131),0)</f>
        <v/>
      </c>
      <c r="O1131" s="36" t="n">
        <v>3000</v>
      </c>
      <c r="P1131" s="21">
        <f>O1131*H1131</f>
        <v/>
      </c>
      <c r="Q1131" s="30">
        <f>IF(MONTH(E1131+1)=MONTH(E1131+6),MONTH(E1131+1),IF(MIN(EOMONTH(E1131+1,0),E1131+6)-(E1131+1)+1&gt;=3,MONTH(E1131+1),MONTH(E1131+6)))</f>
        <v/>
      </c>
      <c r="R1131" s="22">
        <f>IFERROR(K1131/P1131, 0)</f>
        <v/>
      </c>
      <c r="S1131" s="38">
        <f>IFERROR(N1131/P1131,0)</f>
        <v/>
      </c>
      <c r="T1131" s="31">
        <f>IFERROR(IF(N1131&gt;0,(N1131/K1131),MIN(1,M1131/J1131)),0)</f>
        <v/>
      </c>
      <c r="U1131" s="33" t="n"/>
    </row>
    <row r="1132" hidden="1" s="40">
      <c r="A1132" s="18" t="inlineStr">
        <is>
          <t>Semana 4 - Junho</t>
        </is>
      </c>
      <c r="B1132" s="27">
        <f>YEAR(E1132)</f>
        <v/>
      </c>
      <c r="C1132" s="18">
        <f>INDEX({"Janeiro";"Fevereiro";"Março";"Abril";"Maio";"Junho";"Julho";"Agosto";"Setembro";"Outubro";"Novembro";"Dezembro"},Q1132)</f>
        <v/>
      </c>
      <c r="D1132" s="19" t="n">
        <v>4</v>
      </c>
      <c r="E1132" s="20" t="n">
        <v>46195</v>
      </c>
      <c r="F1132" s="18" t="inlineStr">
        <is>
          <t>Iogurte Abacaxi c/ Coco 185g</t>
        </is>
      </c>
      <c r="G1132" s="18" t="inlineStr">
        <is>
          <t>IOGURTE</t>
        </is>
      </c>
      <c r="H1132" s="21" t="n">
        <v>0.185</v>
      </c>
      <c r="I1132" s="36" t="n">
        <v>520</v>
      </c>
      <c r="J1132" s="21">
        <f>I1132*H1132</f>
        <v/>
      </c>
      <c r="K1132" s="21">
        <f>IFERROR(IF(J1132/P1132&gt;1,P1132,J1132),0)</f>
        <v/>
      </c>
      <c r="L1132" s="36" t="n">
        <v>505</v>
      </c>
      <c r="M1132" s="21">
        <f>L1132*H1132</f>
        <v/>
      </c>
      <c r="N1132" s="21">
        <f>IFERROR(IF(M1132/K1132&gt;1,K1132,M1132),0)</f>
        <v/>
      </c>
      <c r="O1132" s="36" t="n">
        <v>520</v>
      </c>
      <c r="P1132" s="21">
        <f>O1132*H1132</f>
        <v/>
      </c>
      <c r="Q1132" s="30">
        <f>IF(MONTH(E1132+1)=MONTH(E1132+6),MONTH(E1132+1),IF(MIN(EOMONTH(E1132+1,0),E1132+6)-(E1132+1)+1&gt;=3,MONTH(E1132+1),MONTH(E1132+6)))</f>
        <v/>
      </c>
      <c r="R1132" s="22">
        <f>IFERROR(K1132/P1132, 0)</f>
        <v/>
      </c>
      <c r="S1132" s="38">
        <f>IFERROR(N1132/P1132,0)</f>
        <v/>
      </c>
      <c r="T1132" s="31">
        <f>IFERROR(IF(N1132&gt;0,(N1132/K1132),MIN(1,M1132/J1132)),0)</f>
        <v/>
      </c>
      <c r="U1132" s="33" t="n"/>
    </row>
    <row r="1133" hidden="1" s="40">
      <c r="A1133" s="23" t="inlineStr">
        <is>
          <t>Semana 4 - Junho</t>
        </is>
      </c>
      <c r="B1133" s="27">
        <f>YEAR(E1133)</f>
        <v/>
      </c>
      <c r="C1133" s="18">
        <f>INDEX({"Janeiro";"Fevereiro";"Março";"Abril";"Maio";"Junho";"Julho";"Agosto";"Setembro";"Outubro";"Novembro";"Dezembro"},Q1133)</f>
        <v/>
      </c>
      <c r="D1133" s="24" t="n">
        <v>4</v>
      </c>
      <c r="E1133" s="25" t="n">
        <v>46195</v>
      </c>
      <c r="F1133" s="23" t="inlineStr">
        <is>
          <t>Iogurte Abacaxi c/ Coco 900g</t>
        </is>
      </c>
      <c r="G1133" s="23" t="inlineStr">
        <is>
          <t>IOGURTE</t>
        </is>
      </c>
      <c r="H1133" s="26" t="n">
        <v>0.9</v>
      </c>
      <c r="I1133" s="36" t="n">
        <v>1710</v>
      </c>
      <c r="J1133" s="21">
        <f>I1133*H1133</f>
        <v/>
      </c>
      <c r="K1133" s="21">
        <f>IFERROR(IF(J1133/P1133&gt;1,P1133,J1133),0)</f>
        <v/>
      </c>
      <c r="L1133" s="36" t="n">
        <v>1665</v>
      </c>
      <c r="M1133" s="21">
        <f>L1133*H1133</f>
        <v/>
      </c>
      <c r="N1133" s="21">
        <f>IFERROR(IF(M1133/K1133&gt;1,K1133,M1133),0)</f>
        <v/>
      </c>
      <c r="O1133" s="36" t="n">
        <v>1800</v>
      </c>
      <c r="P1133" s="21">
        <f>O1133*H1133</f>
        <v/>
      </c>
      <c r="Q1133" s="30">
        <f>IF(MONTH(E1133+1)=MONTH(E1133+6),MONTH(E1133+1),IF(MIN(EOMONTH(E1133+1,0),E1133+6)-(E1133+1)+1&gt;=3,MONTH(E1133+1),MONTH(E1133+6)))</f>
        <v/>
      </c>
      <c r="R1133" s="22">
        <f>IFERROR(K1133/P1133, 0)</f>
        <v/>
      </c>
      <c r="S1133" s="38">
        <f>IFERROR(N1133/P1133,0)</f>
        <v/>
      </c>
      <c r="T1133" s="31">
        <f>IFERROR(IF(N1133&gt;0,(N1133/K1133),MIN(1,M1133/J1133)),0)</f>
        <v/>
      </c>
      <c r="U1133" s="33" t="n"/>
    </row>
    <row r="1134" hidden="1" s="40">
      <c r="A1134" s="23" t="inlineStr">
        <is>
          <t>Semana 4 - Junho</t>
        </is>
      </c>
      <c r="B1134" s="27">
        <f>YEAR(E1134)</f>
        <v/>
      </c>
      <c r="C1134" s="18">
        <f>INDEX({"Janeiro";"Fevereiro";"Março";"Abril";"Maio";"Junho";"Julho";"Agosto";"Setembro";"Outubro";"Novembro";"Dezembro"},Q1134)</f>
        <v/>
      </c>
      <c r="D1134" s="24" t="n">
        <v>4</v>
      </c>
      <c r="E1134" s="25" t="n">
        <v>46195</v>
      </c>
      <c r="F1134" s="23" t="inlineStr">
        <is>
          <t>Iogurte Coco 120g</t>
        </is>
      </c>
      <c r="G1134" s="23" t="inlineStr">
        <is>
          <t>IOGURTE</t>
        </is>
      </c>
      <c r="H1134" s="26" t="n">
        <v>0.12</v>
      </c>
      <c r="I1134" s="36" t="n">
        <v>4000</v>
      </c>
      <c r="J1134" s="21">
        <f>I1134*H1134</f>
        <v/>
      </c>
      <c r="K1134" s="21">
        <f>IFERROR(IF(J1134/P1134&gt;1,P1134,J1134),0)</f>
        <v/>
      </c>
      <c r="L1134" s="36" t="n">
        <v>4170</v>
      </c>
      <c r="M1134" s="21">
        <f>L1134*H1134</f>
        <v/>
      </c>
      <c r="N1134" s="21">
        <f>IFERROR(IF(M1134/K1134&gt;1,K1134,M1134),0)</f>
        <v/>
      </c>
      <c r="O1134" s="36" t="n">
        <v>4000</v>
      </c>
      <c r="P1134" s="21">
        <f>O1134*H1134</f>
        <v/>
      </c>
      <c r="Q1134" s="30">
        <f>IF(MONTH(E1134+1)=MONTH(E1134+6),MONTH(E1134+1),IF(MIN(EOMONTH(E1134+1,0),E1134+6)-(E1134+1)+1&gt;=3,MONTH(E1134+1),MONTH(E1134+6)))</f>
        <v/>
      </c>
      <c r="R1134" s="22">
        <f>IFERROR(K1134/P1134, 0)</f>
        <v/>
      </c>
      <c r="S1134" s="38">
        <f>IFERROR(N1134/P1134,0)</f>
        <v/>
      </c>
      <c r="T1134" s="31">
        <f>IFERROR(IF(N1134&gt;0,(N1134/K1134),MIN(1,M1134/J1134)),0)</f>
        <v/>
      </c>
      <c r="U1134" s="33" t="n"/>
    </row>
    <row r="1135" hidden="1" s="40">
      <c r="A1135" s="18" t="inlineStr">
        <is>
          <t>Semana 4 - Junho</t>
        </is>
      </c>
      <c r="B1135" s="27">
        <f>YEAR(E1135)</f>
        <v/>
      </c>
      <c r="C1135" s="18">
        <f>INDEX({"Janeiro";"Fevereiro";"Março";"Abril";"Maio";"Junho";"Julho";"Agosto";"Setembro";"Outubro";"Novembro";"Dezembro"},Q1135)</f>
        <v/>
      </c>
      <c r="D1135" s="19" t="n">
        <v>4</v>
      </c>
      <c r="E1135" s="20" t="n">
        <v>46195</v>
      </c>
      <c r="F1135" s="18" t="inlineStr">
        <is>
          <t>Iogurte Coco 185g</t>
        </is>
      </c>
      <c r="G1135" s="18" t="inlineStr">
        <is>
          <t>IOGURTE</t>
        </is>
      </c>
      <c r="H1135" s="21" t="n">
        <v>0.185</v>
      </c>
      <c r="I1135" s="36" t="n">
        <v>520</v>
      </c>
      <c r="J1135" s="21">
        <f>I1135*H1135</f>
        <v/>
      </c>
      <c r="K1135" s="21">
        <f>IFERROR(IF(J1135/P1135&gt;1,P1135,J1135),0)</f>
        <v/>
      </c>
      <c r="L1135" s="36" t="n">
        <v>510</v>
      </c>
      <c r="M1135" s="21">
        <f>L1135*H1135</f>
        <v/>
      </c>
      <c r="N1135" s="21">
        <f>IFERROR(IF(M1135/K1135&gt;1,K1135,M1135),0)</f>
        <v/>
      </c>
      <c r="O1135" s="36" t="n">
        <v>520</v>
      </c>
      <c r="P1135" s="21">
        <f>O1135*H1135</f>
        <v/>
      </c>
      <c r="Q1135" s="30">
        <f>IF(MONTH(E1135+1)=MONTH(E1135+6),MONTH(E1135+1),IF(MIN(EOMONTH(E1135+1,0),E1135+6)-(E1135+1)+1&gt;=3,MONTH(E1135+1),MONTH(E1135+6)))</f>
        <v/>
      </c>
      <c r="R1135" s="22">
        <f>IFERROR(K1135/P1135, 0)</f>
        <v/>
      </c>
      <c r="S1135" s="38">
        <f>IFERROR(N1135/P1135,0)</f>
        <v/>
      </c>
      <c r="T1135" s="31">
        <f>IFERROR(IF(N1135&gt;0,(N1135/K1135),MIN(1,M1135/J1135)),0)</f>
        <v/>
      </c>
      <c r="U1135" s="33" t="n"/>
    </row>
    <row r="1136" hidden="1" s="40">
      <c r="A1136" s="23" t="inlineStr">
        <is>
          <t>Semana 4 - Junho</t>
        </is>
      </c>
      <c r="B1136" s="27">
        <f>YEAR(E1136)</f>
        <v/>
      </c>
      <c r="C1136" s="18">
        <f>INDEX({"Janeiro";"Fevereiro";"Março";"Abril";"Maio";"Junho";"Julho";"Agosto";"Setembro";"Outubro";"Novembro";"Dezembro"},Q1136)</f>
        <v/>
      </c>
      <c r="D1136" s="24" t="n">
        <v>4</v>
      </c>
      <c r="E1136" s="25" t="n">
        <v>46195</v>
      </c>
      <c r="F1136" s="23" t="inlineStr">
        <is>
          <t>Iogurte Coco 900g</t>
        </is>
      </c>
      <c r="G1136" s="23" t="inlineStr">
        <is>
          <t>IOGURTE</t>
        </is>
      </c>
      <c r="H1136" s="26" t="n">
        <v>0.9</v>
      </c>
      <c r="I1136" s="36" t="n">
        <v>900</v>
      </c>
      <c r="J1136" s="21">
        <f>I1136*H1136</f>
        <v/>
      </c>
      <c r="K1136" s="21">
        <f>IFERROR(IF(J1136/P1136&gt;1,P1136,J1136),0)</f>
        <v/>
      </c>
      <c r="L1136" s="36" t="n">
        <v>855</v>
      </c>
      <c r="M1136" s="21">
        <f>L1136*H1136</f>
        <v/>
      </c>
      <c r="N1136" s="21">
        <f>IFERROR(IF(M1136/K1136&gt;1,K1136,M1136),0)</f>
        <v/>
      </c>
      <c r="O1136" s="36" t="n">
        <v>900</v>
      </c>
      <c r="P1136" s="21">
        <f>O1136*H1136</f>
        <v/>
      </c>
      <c r="Q1136" s="30">
        <f>IF(MONTH(E1136+1)=MONTH(E1136+6),MONTH(E1136+1),IF(MIN(EOMONTH(E1136+1,0),E1136+6)-(E1136+1)+1&gt;=3,MONTH(E1136+1),MONTH(E1136+6)))</f>
        <v/>
      </c>
      <c r="R1136" s="22">
        <f>IFERROR(K1136/P1136, 0)</f>
        <v/>
      </c>
      <c r="S1136" s="38">
        <f>IFERROR(N1136/P1136,0)</f>
        <v/>
      </c>
      <c r="T1136" s="31">
        <f>IFERROR(IF(N1136&gt;0,(N1136/K1136),MIN(1,M1136/J1136)),0)</f>
        <v/>
      </c>
      <c r="U1136" s="33" t="n"/>
    </row>
    <row r="1137" hidden="1" s="40">
      <c r="A1137" s="18" t="inlineStr">
        <is>
          <t>Semana 4 - Junho</t>
        </is>
      </c>
      <c r="B1137" s="27">
        <f>YEAR(E1137)</f>
        <v/>
      </c>
      <c r="C1137" s="18">
        <f>INDEX({"Janeiro";"Fevereiro";"Março";"Abril";"Maio";"Junho";"Julho";"Agosto";"Setembro";"Outubro";"Novembro";"Dezembro"},Q1137)</f>
        <v/>
      </c>
      <c r="D1137" s="19" t="n">
        <v>4</v>
      </c>
      <c r="E1137" s="20" t="n">
        <v>46195</v>
      </c>
      <c r="F1137" s="18" t="inlineStr">
        <is>
          <t>Iogurte Grego Frutas vermelhas 120g</t>
        </is>
      </c>
      <c r="G1137" s="18" t="inlineStr">
        <is>
          <t>IOGURTE</t>
        </is>
      </c>
      <c r="H1137" s="21" t="n">
        <v>0.17</v>
      </c>
      <c r="I1137" s="36" t="n">
        <v>0</v>
      </c>
      <c r="J1137" s="21">
        <f>I1137*H1137</f>
        <v/>
      </c>
      <c r="K1137" s="21">
        <f>IFERROR(IF(J1137/P1137&gt;1,P1137,J1137),0)</f>
        <v/>
      </c>
      <c r="L1137" s="36" t="n">
        <v>0</v>
      </c>
      <c r="M1137" s="21">
        <f>L1137*H1137</f>
        <v/>
      </c>
      <c r="N1137" s="21">
        <f>IFERROR(IF(M1137/K1137&gt;1,K1137,M1137),0)</f>
        <v/>
      </c>
      <c r="O1137" s="36" t="n">
        <v>0</v>
      </c>
      <c r="P1137" s="21">
        <f>O1137*H1137</f>
        <v/>
      </c>
      <c r="Q1137" s="30">
        <f>IF(MONTH(E1137+1)=MONTH(E1137+6),MONTH(E1137+1),IF(MIN(EOMONTH(E1137+1,0),E1137+6)-(E1137+1)+1&gt;=3,MONTH(E1137+1),MONTH(E1137+6)))</f>
        <v/>
      </c>
      <c r="R1137" s="22">
        <f>IFERROR(K1137/P1137, 0)</f>
        <v/>
      </c>
      <c r="S1137" s="38">
        <f>IFERROR(N1137/P1137,0)</f>
        <v/>
      </c>
      <c r="T1137" s="31">
        <f>IFERROR(IF(N1137&gt;0,(N1137/K1137),MIN(1,M1137/J1137)),0)</f>
        <v/>
      </c>
      <c r="U1137" s="33" t="n"/>
    </row>
    <row r="1138" hidden="1" s="40">
      <c r="A1138" s="18" t="inlineStr">
        <is>
          <t>Semana 4 - Junho</t>
        </is>
      </c>
      <c r="B1138" s="27">
        <f>YEAR(E1138)</f>
        <v/>
      </c>
      <c r="C1138" s="18">
        <f>INDEX({"Janeiro";"Fevereiro";"Março";"Abril";"Maio";"Junho";"Julho";"Agosto";"Setembro";"Outubro";"Novembro";"Dezembro"},Q1138)</f>
        <v/>
      </c>
      <c r="D1138" s="19" t="n">
        <v>4</v>
      </c>
      <c r="E1138" s="20" t="n">
        <v>46195</v>
      </c>
      <c r="F1138" s="18" t="inlineStr">
        <is>
          <t>Iogurte Morango 120g</t>
        </is>
      </c>
      <c r="G1138" s="18" t="inlineStr">
        <is>
          <t>IOGURTE</t>
        </is>
      </c>
      <c r="H1138" s="21" t="n">
        <v>0.12</v>
      </c>
      <c r="I1138" s="36" t="n">
        <v>24000</v>
      </c>
      <c r="J1138" s="21">
        <f>I1138*H1138</f>
        <v/>
      </c>
      <c r="K1138" s="21">
        <f>IFERROR(IF(J1138/P1138&gt;1,P1138,J1138),0)</f>
        <v/>
      </c>
      <c r="L1138" s="36" t="n">
        <v>23825</v>
      </c>
      <c r="M1138" s="21">
        <f>L1138*H1138</f>
        <v/>
      </c>
      <c r="N1138" s="21">
        <f>IFERROR(IF(M1138/K1138&gt;1,K1138,M1138),0)</f>
        <v/>
      </c>
      <c r="O1138" s="36" t="n">
        <v>24000</v>
      </c>
      <c r="P1138" s="21">
        <f>O1138*H1138</f>
        <v/>
      </c>
      <c r="Q1138" s="30">
        <f>IF(MONTH(E1138+1)=MONTH(E1138+6),MONTH(E1138+1),IF(MIN(EOMONTH(E1138+1,0),E1138+6)-(E1138+1)+1&gt;=3,MONTH(E1138+1),MONTH(E1138+6)))</f>
        <v/>
      </c>
      <c r="R1138" s="22">
        <f>IFERROR(K1138/P1138, 0)</f>
        <v/>
      </c>
      <c r="S1138" s="38">
        <f>IFERROR(N1138/P1138,0)</f>
        <v/>
      </c>
      <c r="T1138" s="31">
        <f>IFERROR(IF(N1138&gt;0,(N1138/K1138),MIN(1,M1138/J1138)),0)</f>
        <v/>
      </c>
      <c r="U1138" s="33" t="n"/>
    </row>
    <row r="1139" hidden="1" s="40">
      <c r="A1139" s="23" t="inlineStr">
        <is>
          <t>Semana 4 - Junho</t>
        </is>
      </c>
      <c r="B1139" s="27">
        <f>YEAR(E1139)</f>
        <v/>
      </c>
      <c r="C1139" s="18">
        <f>INDEX({"Janeiro";"Fevereiro";"Março";"Abril";"Maio";"Junho";"Julho";"Agosto";"Setembro";"Outubro";"Novembro";"Dezembro"},Q1139)</f>
        <v/>
      </c>
      <c r="D1139" s="24" t="n">
        <v>4</v>
      </c>
      <c r="E1139" s="25" t="n">
        <v>46195</v>
      </c>
      <c r="F1139" s="23" t="inlineStr">
        <is>
          <t>Iogurte Morango 185g</t>
        </is>
      </c>
      <c r="G1139" s="23" t="inlineStr">
        <is>
          <t>IOGURTE</t>
        </is>
      </c>
      <c r="H1139" s="26" t="n">
        <v>0.185</v>
      </c>
      <c r="I1139" s="36" t="n">
        <v>1300</v>
      </c>
      <c r="J1139" s="21">
        <f>I1139*H1139</f>
        <v/>
      </c>
      <c r="K1139" s="21">
        <f>IFERROR(IF(J1139/P1139&gt;1,P1139,J1139),0)</f>
        <v/>
      </c>
      <c r="L1139" s="36" t="n">
        <v>1281</v>
      </c>
      <c r="M1139" s="21">
        <f>L1139*H1139</f>
        <v/>
      </c>
      <c r="N1139" s="21">
        <f>IFERROR(IF(M1139/K1139&gt;1,K1139,M1139),0)</f>
        <v/>
      </c>
      <c r="O1139" s="36" t="n">
        <v>1300</v>
      </c>
      <c r="P1139" s="21">
        <f>O1139*H1139</f>
        <v/>
      </c>
      <c r="Q1139" s="30">
        <f>IF(MONTH(E1139+1)=MONTH(E1139+6),MONTH(E1139+1),IF(MIN(EOMONTH(E1139+1,0),E1139+6)-(E1139+1)+1&gt;=3,MONTH(E1139+1),MONTH(E1139+6)))</f>
        <v/>
      </c>
      <c r="R1139" s="22">
        <f>IFERROR(K1139/P1139, 0)</f>
        <v/>
      </c>
      <c r="S1139" s="38">
        <f>IFERROR(N1139/P1139,0)</f>
        <v/>
      </c>
      <c r="T1139" s="31">
        <f>IFERROR(IF(N1139&gt;0,(N1139/K1139),MIN(1,M1139/J1139)),0)</f>
        <v/>
      </c>
      <c r="U1139" s="33" t="n"/>
    </row>
    <row r="1140" hidden="1" s="40">
      <c r="A1140" s="18" t="inlineStr">
        <is>
          <t>Semana 4 - Junho</t>
        </is>
      </c>
      <c r="B1140" s="27">
        <f>YEAR(E1140)</f>
        <v/>
      </c>
      <c r="C1140" s="18">
        <f>INDEX({"Janeiro";"Fevereiro";"Março";"Abril";"Maio";"Junho";"Julho";"Agosto";"Setembro";"Outubro";"Novembro";"Dezembro"},Q1140)</f>
        <v/>
      </c>
      <c r="D1140" s="19" t="n">
        <v>4</v>
      </c>
      <c r="E1140" s="20" t="n">
        <v>46195</v>
      </c>
      <c r="F1140" s="18" t="inlineStr">
        <is>
          <t>Iogurte Morango 900G</t>
        </is>
      </c>
      <c r="G1140" s="18" t="inlineStr">
        <is>
          <t>IOGURTE</t>
        </is>
      </c>
      <c r="H1140" s="21" t="n">
        <v>0.9</v>
      </c>
      <c r="I1140" s="36" t="n">
        <v>2520</v>
      </c>
      <c r="J1140" s="21">
        <f>I1140*H1140</f>
        <v/>
      </c>
      <c r="K1140" s="21">
        <f>IFERROR(IF(J1140/P1140&gt;1,P1140,J1140),0)</f>
        <v/>
      </c>
      <c r="L1140" s="36" t="n">
        <v>2432</v>
      </c>
      <c r="M1140" s="21">
        <f>L1140*H1140</f>
        <v/>
      </c>
      <c r="N1140" s="21">
        <f>IFERROR(IF(M1140/K1140&gt;1,K1140,M1140),0)</f>
        <v/>
      </c>
      <c r="O1140" s="36" t="n">
        <v>2500</v>
      </c>
      <c r="P1140" s="21">
        <f>O1140*H1140</f>
        <v/>
      </c>
      <c r="Q1140" s="30">
        <f>IF(MONTH(E1140+1)=MONTH(E1140+6),MONTH(E1140+1),IF(MIN(EOMONTH(E1140+1,0),E1140+6)-(E1140+1)+1&gt;=3,MONTH(E1140+1),MONTH(E1140+6)))</f>
        <v/>
      </c>
      <c r="R1140" s="22">
        <f>IFERROR(K1140/P1140, 0)</f>
        <v/>
      </c>
      <c r="S1140" s="38">
        <f>IFERROR(N1140/P1140,0)</f>
        <v/>
      </c>
      <c r="T1140" s="31">
        <f>IFERROR(IF(N1140&gt;0,(N1140/K1140),MIN(1,M1140/J1140)),0)</f>
        <v/>
      </c>
      <c r="U1140" s="33" t="n"/>
    </row>
    <row r="1141" hidden="1" s="40">
      <c r="A1141" s="23" t="inlineStr">
        <is>
          <t>Semana 4 - Junho</t>
        </is>
      </c>
      <c r="B1141" s="27">
        <f>YEAR(E1141)</f>
        <v/>
      </c>
      <c r="C1141" s="18">
        <f>INDEX({"Janeiro";"Fevereiro";"Março";"Abril";"Maio";"Junho";"Julho";"Agosto";"Setembro";"Outubro";"Novembro";"Dezembro"},Q1141)</f>
        <v/>
      </c>
      <c r="D1141" s="24" t="n">
        <v>4</v>
      </c>
      <c r="E1141" s="25" t="n">
        <v>46195</v>
      </c>
      <c r="F1141" s="23" t="inlineStr">
        <is>
          <t>Iogurte Natural Integral 170g</t>
        </is>
      </c>
      <c r="G1141" s="23" t="inlineStr">
        <is>
          <t>IOGURTE</t>
        </is>
      </c>
      <c r="H1141" s="26" t="n">
        <v>0.17</v>
      </c>
      <c r="I1141" s="36" t="n">
        <v>0</v>
      </c>
      <c r="J1141" s="21">
        <f>I1141*H1141</f>
        <v/>
      </c>
      <c r="K1141" s="21">
        <f>IFERROR(IF(J1141/P1141&gt;1,P1141,J1141),0)</f>
        <v/>
      </c>
      <c r="L1141" s="36" t="n">
        <v>0</v>
      </c>
      <c r="M1141" s="21">
        <f>L1141*H1141</f>
        <v/>
      </c>
      <c r="N1141" s="21">
        <f>IFERROR(IF(M1141/K1141&gt;1,K1141,M1141),0)</f>
        <v/>
      </c>
      <c r="O1141" s="36" t="n">
        <v>3800</v>
      </c>
      <c r="P1141" s="21">
        <f>O1141*H1141</f>
        <v/>
      </c>
      <c r="Q1141" s="30">
        <f>IF(MONTH(E1141+1)=MONTH(E1141+6),MONTH(E1141+1),IF(MIN(EOMONTH(E1141+1,0),E1141+6)-(E1141+1)+1&gt;=3,MONTH(E1141+1),MONTH(E1141+6)))</f>
        <v/>
      </c>
      <c r="R1141" s="22">
        <f>IFERROR(K1141/P1141, 0)</f>
        <v/>
      </c>
      <c r="S1141" s="38">
        <f>IFERROR(N1141/P1141,0)</f>
        <v/>
      </c>
      <c r="T1141" s="31">
        <f>IFERROR(IF(N1141&gt;0,(N1141/K1141),MIN(1,M1141/J1141)),0)</f>
        <v/>
      </c>
      <c r="U1141" s="33" t="n"/>
    </row>
    <row r="1142" hidden="1" s="40">
      <c r="A1142" s="18" t="inlineStr">
        <is>
          <t>Semana 4 - Junho</t>
        </is>
      </c>
      <c r="B1142" s="27">
        <f>YEAR(E1142)</f>
        <v/>
      </c>
      <c r="C1142" s="18">
        <f>INDEX({"Janeiro";"Fevereiro";"Março";"Abril";"Maio";"Junho";"Julho";"Agosto";"Setembro";"Outubro";"Novembro";"Dezembro"},Q1142)</f>
        <v/>
      </c>
      <c r="D1142" s="19" t="n">
        <v>4</v>
      </c>
      <c r="E1142" s="20" t="n">
        <v>46195</v>
      </c>
      <c r="F1142" s="18" t="inlineStr">
        <is>
          <t>Iogurte Natural Triplo Zero 170g</t>
        </is>
      </c>
      <c r="G1142" s="18" t="inlineStr">
        <is>
          <t>IOGURTE</t>
        </is>
      </c>
      <c r="H1142" s="21" t="n">
        <v>0.17</v>
      </c>
      <c r="I1142" s="36" t="n">
        <v>3820</v>
      </c>
      <c r="J1142" s="21">
        <f>I1142*H1142</f>
        <v/>
      </c>
      <c r="K1142" s="21">
        <f>IFERROR(IF(J1142/P1142&gt;1,P1142,J1142),0)</f>
        <v/>
      </c>
      <c r="L1142" s="36" t="n">
        <v>3478</v>
      </c>
      <c r="M1142" s="21">
        <f>L1142*H1142</f>
        <v/>
      </c>
      <c r="N1142" s="21">
        <f>IFERROR(IF(M1142/K1142&gt;1,K1142,M1142),0)</f>
        <v/>
      </c>
      <c r="O1142" s="36" t="n">
        <v>3800</v>
      </c>
      <c r="P1142" s="21">
        <f>O1142*H1142</f>
        <v/>
      </c>
      <c r="Q1142" s="30">
        <f>IF(MONTH(E1142+1)=MONTH(E1142+6),MONTH(E1142+1),IF(MIN(EOMONTH(E1142+1,0),E1142+6)-(E1142+1)+1&gt;=3,MONTH(E1142+1),MONTH(E1142+6)))</f>
        <v/>
      </c>
      <c r="R1142" s="22">
        <f>IFERROR(K1142/P1142, 0)</f>
        <v/>
      </c>
      <c r="S1142" s="38">
        <f>IFERROR(N1142/P1142,0)</f>
        <v/>
      </c>
      <c r="T1142" s="31">
        <f>IFERROR(IF(N1142&gt;0,(N1142/K1142),MIN(1,M1142/J1142)),0)</f>
        <v/>
      </c>
      <c r="U1142" s="33" t="n"/>
    </row>
    <row r="1143" hidden="1" s="40">
      <c r="A1143" s="18" t="inlineStr">
        <is>
          <t>Semana 4 - Junho</t>
        </is>
      </c>
      <c r="B1143" s="27">
        <f>YEAR(E1143)</f>
        <v/>
      </c>
      <c r="C1143" s="18">
        <f>INDEX({"Janeiro";"Fevereiro";"Março";"Abril";"Maio";"Junho";"Julho";"Agosto";"Setembro";"Outubro";"Novembro";"Dezembro"},Q1143)</f>
        <v/>
      </c>
      <c r="D1143" s="19" t="n">
        <v>4</v>
      </c>
      <c r="E1143" s="20" t="n">
        <v>46195</v>
      </c>
      <c r="F1143" s="18" t="inlineStr">
        <is>
          <t>Iogurte Salada 120g</t>
        </is>
      </c>
      <c r="G1143" s="18" t="inlineStr">
        <is>
          <t>IOGURTE</t>
        </is>
      </c>
      <c r="H1143" s="21" t="n">
        <v>0.12</v>
      </c>
      <c r="I1143" s="36" t="n">
        <v>2000</v>
      </c>
      <c r="J1143" s="21">
        <f>I1143*H1143</f>
        <v/>
      </c>
      <c r="K1143" s="21">
        <f>IFERROR(IF(J1143/P1143&gt;1,P1143,J1143),0)</f>
        <v/>
      </c>
      <c r="L1143" s="36" t="n">
        <v>2212</v>
      </c>
      <c r="M1143" s="21">
        <f>L1143*H1143</f>
        <v/>
      </c>
      <c r="N1143" s="21">
        <f>IFERROR(IF(M1143/K1143&gt;1,K1143,M1143),0)</f>
        <v/>
      </c>
      <c r="O1143" s="36" t="n">
        <v>2000</v>
      </c>
      <c r="P1143" s="21">
        <f>O1143*H1143</f>
        <v/>
      </c>
      <c r="Q1143" s="30">
        <f>IF(MONTH(E1143+1)=MONTH(E1143+6),MONTH(E1143+1),IF(MIN(EOMONTH(E1143+1,0),E1143+6)-(E1143+1)+1&gt;=3,MONTH(E1143+1),MONTH(E1143+6)))</f>
        <v/>
      </c>
      <c r="R1143" s="22">
        <f>IFERROR(K1143/P1143, 0)</f>
        <v/>
      </c>
      <c r="S1143" s="38">
        <f>IFERROR(N1143/P1143,0)</f>
        <v/>
      </c>
      <c r="T1143" s="31">
        <f>IFERROR(IF(N1143&gt;0,(N1143/K1143),MIN(1,M1143/J1143)),0)</f>
        <v/>
      </c>
      <c r="U1143" s="33" t="n"/>
    </row>
    <row r="1144" hidden="1" s="40">
      <c r="A1144" s="23" t="inlineStr">
        <is>
          <t>Semana 4 - Junho</t>
        </is>
      </c>
      <c r="B1144" s="27">
        <f>YEAR(E1144)</f>
        <v/>
      </c>
      <c r="C1144" s="18">
        <f>INDEX({"Janeiro";"Fevereiro";"Março";"Abril";"Maio";"Junho";"Julho";"Agosto";"Setembro";"Outubro";"Novembro";"Dezembro"},Q1144)</f>
        <v/>
      </c>
      <c r="D1144" s="24" t="n">
        <v>4</v>
      </c>
      <c r="E1144" s="25" t="n">
        <v>46195</v>
      </c>
      <c r="F1144" s="23" t="inlineStr">
        <is>
          <t>Iogurte Salada 185g</t>
        </is>
      </c>
      <c r="G1144" s="23" t="inlineStr">
        <is>
          <t>IOGURTE</t>
        </is>
      </c>
      <c r="H1144" s="26" t="n">
        <v>0.185</v>
      </c>
      <c r="I1144" s="36" t="n">
        <v>520</v>
      </c>
      <c r="J1144" s="21">
        <f>I1144*H1144</f>
        <v/>
      </c>
      <c r="K1144" s="21">
        <f>IFERROR(IF(J1144/P1144&gt;1,P1144,J1144),0)</f>
        <v/>
      </c>
      <c r="L1144" s="36" t="n">
        <v>513</v>
      </c>
      <c r="M1144" s="21">
        <f>L1144*H1144</f>
        <v/>
      </c>
      <c r="N1144" s="21">
        <f>IFERROR(IF(M1144/K1144&gt;1,K1144,M1144),0)</f>
        <v/>
      </c>
      <c r="O1144" s="36" t="n">
        <v>520</v>
      </c>
      <c r="P1144" s="21">
        <f>O1144*H1144</f>
        <v/>
      </c>
      <c r="Q1144" s="30">
        <f>IF(MONTH(E1144+1)=MONTH(E1144+6),MONTH(E1144+1),IF(MIN(EOMONTH(E1144+1,0),E1144+6)-(E1144+1)+1&gt;=3,MONTH(E1144+1),MONTH(E1144+6)))</f>
        <v/>
      </c>
      <c r="R1144" s="22">
        <f>IFERROR(K1144/P1144, 0)</f>
        <v/>
      </c>
      <c r="S1144" s="38">
        <f>IFERROR(N1144/P1144,0)</f>
        <v/>
      </c>
      <c r="T1144" s="31">
        <f>IFERROR(IF(N1144&gt;0,(N1144/K1144),MIN(1,M1144/J1144)),0)</f>
        <v/>
      </c>
      <c r="U1144" s="33" t="n"/>
    </row>
    <row r="1145" hidden="1" s="40">
      <c r="A1145" s="18" t="inlineStr">
        <is>
          <t>Semana 4 - Junho</t>
        </is>
      </c>
      <c r="B1145" s="27">
        <f>YEAR(E1145)</f>
        <v/>
      </c>
      <c r="C1145" s="18">
        <f>INDEX({"Janeiro";"Fevereiro";"Março";"Abril";"Maio";"Junho";"Julho";"Agosto";"Setembro";"Outubro";"Novembro";"Dezembro"},Q1145)</f>
        <v/>
      </c>
      <c r="D1145" s="19" t="n">
        <v>4</v>
      </c>
      <c r="E1145" s="20" t="n">
        <v>46195</v>
      </c>
      <c r="F1145" s="18" t="inlineStr">
        <is>
          <t>Iogurte Salada 900g</t>
        </is>
      </c>
      <c r="G1145" s="18" t="inlineStr">
        <is>
          <t>IOGURTE</t>
        </is>
      </c>
      <c r="H1145" s="21" t="n">
        <v>0.9</v>
      </c>
      <c r="I1145" s="36" t="n">
        <v>1290</v>
      </c>
      <c r="J1145" s="21">
        <f>I1145*H1145</f>
        <v/>
      </c>
      <c r="K1145" s="21">
        <f>IFERROR(IF(J1145/P1145&gt;1,P1145,J1145),0)</f>
        <v/>
      </c>
      <c r="L1145" s="36" t="n">
        <v>1168</v>
      </c>
      <c r="M1145" s="21">
        <f>L1145*H1145</f>
        <v/>
      </c>
      <c r="N1145" s="21">
        <f>IFERROR(IF(M1145/K1145&gt;1,K1145,M1145),0)</f>
        <v/>
      </c>
      <c r="O1145" s="36" t="n">
        <v>900</v>
      </c>
      <c r="P1145" s="21">
        <f>O1145*H1145</f>
        <v/>
      </c>
      <c r="Q1145" s="30">
        <f>IF(MONTH(E1145+1)=MONTH(E1145+6),MONTH(E1145+1),IF(MIN(EOMONTH(E1145+1,0),E1145+6)-(E1145+1)+1&gt;=3,MONTH(E1145+1),MONTH(E1145+6)))</f>
        <v/>
      </c>
      <c r="R1145" s="22">
        <f>IFERROR(K1145/P1145, 0)</f>
        <v/>
      </c>
      <c r="S1145" s="38">
        <f>IFERROR(N1145/P1145,0)</f>
        <v/>
      </c>
      <c r="T1145" s="31">
        <f>IFERROR(IF(N1145&gt;0,(N1145/K1145),MIN(1,M1145/J1145)),0)</f>
        <v/>
      </c>
      <c r="U1145" s="33" t="n"/>
    </row>
    <row r="1146" hidden="1" s="40">
      <c r="A1146" s="18" t="inlineStr">
        <is>
          <t>Semana 4 - Junho</t>
        </is>
      </c>
      <c r="B1146" s="27">
        <f>YEAR(E1146)</f>
        <v/>
      </c>
      <c r="C1146" s="18">
        <f>INDEX({"Janeiro";"Fevereiro";"Março";"Abril";"Maio";"Junho";"Julho";"Agosto";"Setembro";"Outubro";"Novembro";"Dezembro"},Q1146)</f>
        <v/>
      </c>
      <c r="D1146" s="19" t="n">
        <v>4</v>
      </c>
      <c r="E1146" s="20" t="n">
        <v>46195</v>
      </c>
      <c r="F1146" s="18" t="inlineStr">
        <is>
          <t>IOGURTE VIÇOSA MORANGO LIGHT 180g</t>
        </is>
      </c>
      <c r="G1146" s="18" t="inlineStr">
        <is>
          <t>IOGURTE</t>
        </is>
      </c>
      <c r="H1146" s="21" t="n">
        <v>0.18</v>
      </c>
      <c r="I1146" s="36" t="n">
        <v>0</v>
      </c>
      <c r="J1146" s="21">
        <f>I1146*H1146</f>
        <v/>
      </c>
      <c r="K1146" s="21">
        <f>IFERROR(IF(J1146/P1146&gt;1,P1146,J1146),0)</f>
        <v/>
      </c>
      <c r="L1146" s="36" t="n">
        <v>0</v>
      </c>
      <c r="M1146" s="21">
        <f>L1146*H1146</f>
        <v/>
      </c>
      <c r="N1146" s="21">
        <f>IFERROR(IF(M1146/K1146&gt;1,K1146,M1146),0)</f>
        <v/>
      </c>
      <c r="O1146" s="36" t="n">
        <v>0</v>
      </c>
      <c r="P1146" s="21">
        <f>O1146*H1146</f>
        <v/>
      </c>
      <c r="Q1146" s="30">
        <f>IF(MONTH(E1146+1)=MONTH(E1146+6),MONTH(E1146+1),IF(MIN(EOMONTH(E1146+1,0),E1146+6)-(E1146+1)+1&gt;=3,MONTH(E1146+1),MONTH(E1146+6)))</f>
        <v/>
      </c>
      <c r="R1146" s="22">
        <f>IFERROR(K1146/P1146, 0)</f>
        <v/>
      </c>
      <c r="S1146" s="38">
        <f>IFERROR(N1146/P1146,0)</f>
        <v/>
      </c>
      <c r="T1146" s="31">
        <f>IFERROR(IF(N1146&gt;0,(N1146/K1146),MIN(1,M1146/J1146)),0)</f>
        <v/>
      </c>
      <c r="U1146" s="33" t="n"/>
    </row>
    <row r="1147" hidden="1" s="40">
      <c r="A1147" s="23" t="inlineStr">
        <is>
          <t>Semana 4 - Junho</t>
        </is>
      </c>
      <c r="B1147" s="27">
        <f>YEAR(E1147)</f>
        <v/>
      </c>
      <c r="C1147" s="18">
        <f>INDEX({"Janeiro";"Fevereiro";"Março";"Abril";"Maio";"Junho";"Julho";"Agosto";"Setembro";"Outubro";"Novembro";"Dezembro"},Q1147)</f>
        <v/>
      </c>
      <c r="D1147" s="24" t="n">
        <v>4</v>
      </c>
      <c r="E1147" s="25" t="n">
        <v>46195</v>
      </c>
      <c r="F1147" s="23" t="inlineStr">
        <is>
          <t>IOGURTE VIÇOSA MORANGO LIGHT 800g</t>
        </is>
      </c>
      <c r="G1147" s="23" t="inlineStr">
        <is>
          <t>IOGURTE</t>
        </is>
      </c>
      <c r="H1147" s="26" t="n">
        <v>0.8</v>
      </c>
      <c r="I1147" s="36" t="n">
        <v>0</v>
      </c>
      <c r="J1147" s="21">
        <f>I1147*H1147</f>
        <v/>
      </c>
      <c r="K1147" s="21">
        <f>IFERROR(IF(J1147/P1147&gt;1,P1147,J1147),0)</f>
        <v/>
      </c>
      <c r="L1147" s="36" t="n">
        <v>0</v>
      </c>
      <c r="M1147" s="21">
        <f>L1147*H1147</f>
        <v/>
      </c>
      <c r="N1147" s="21">
        <f>IFERROR(IF(M1147/K1147&gt;1,K1147,M1147),0)</f>
        <v/>
      </c>
      <c r="O1147" s="36" t="n">
        <v>0</v>
      </c>
      <c r="P1147" s="21">
        <f>O1147*H1147</f>
        <v/>
      </c>
      <c r="Q1147" s="30">
        <f>IF(MONTH(E1147+1)=MONTH(E1147+6),MONTH(E1147+1),IF(MIN(EOMONTH(E1147+1,0),E1147+6)-(E1147+1)+1&gt;=3,MONTH(E1147+1),MONTH(E1147+6)))</f>
        <v/>
      </c>
      <c r="R1147" s="22">
        <f>IFERROR(K1147/P1147, 0)</f>
        <v/>
      </c>
      <c r="S1147" s="38">
        <f>IFERROR(N1147/P1147,0)</f>
        <v/>
      </c>
      <c r="T1147" s="31">
        <f>IFERROR(IF(N1147&gt;0,(N1147/K1147),MIN(1,M1147/J1147)),0)</f>
        <v/>
      </c>
      <c r="U1147" s="33" t="n"/>
    </row>
    <row r="1148" hidden="1" s="40">
      <c r="A1148" s="23" t="inlineStr">
        <is>
          <t>Semana 4 - Junho</t>
        </is>
      </c>
      <c r="B1148" s="27">
        <f>YEAR(E1148)</f>
        <v/>
      </c>
      <c r="C1148" s="18">
        <f>INDEX({"Janeiro";"Fevereiro";"Março";"Abril";"Maio";"Junho";"Julho";"Agosto";"Setembro";"Outubro";"Novembro";"Dezembro"},Q1148)</f>
        <v/>
      </c>
      <c r="D1148" s="24" t="n">
        <v>4</v>
      </c>
      <c r="E1148" s="25" t="n">
        <v>46195</v>
      </c>
      <c r="F1148" s="23" t="inlineStr">
        <is>
          <t>Iogurte Vida Leve Ameixa c/ Grãos 180g</t>
        </is>
      </c>
      <c r="G1148" s="23" t="inlineStr">
        <is>
          <t>IOGURTE</t>
        </is>
      </c>
      <c r="H1148" s="26" t="n">
        <v>0.18</v>
      </c>
      <c r="I1148" s="36" t="n">
        <v>0</v>
      </c>
      <c r="J1148" s="21">
        <f>I1148*H1148</f>
        <v/>
      </c>
      <c r="K1148" s="21">
        <f>IFERROR(IF(J1148/P1148&gt;1,P1148,J1148),0)</f>
        <v/>
      </c>
      <c r="L1148" s="36" t="n">
        <v>0</v>
      </c>
      <c r="M1148" s="21">
        <f>L1148*H1148</f>
        <v/>
      </c>
      <c r="N1148" s="21">
        <f>IFERROR(IF(M1148/K1148&gt;1,K1148,M1148),0)</f>
        <v/>
      </c>
      <c r="O1148" s="36" t="n">
        <v>0</v>
      </c>
      <c r="P1148" s="21">
        <f>O1148*H1148</f>
        <v/>
      </c>
      <c r="Q1148" s="30">
        <f>IF(MONTH(E1148+1)=MONTH(E1148+6),MONTH(E1148+1),IF(MIN(EOMONTH(E1148+1,0),E1148+6)-(E1148+1)+1&gt;=3,MONTH(E1148+1),MONTH(E1148+6)))</f>
        <v/>
      </c>
      <c r="R1148" s="22">
        <f>IFERROR(K1148/P1148, 0)</f>
        <v/>
      </c>
      <c r="S1148" s="38">
        <f>IFERROR(N1148/P1148,0)</f>
        <v/>
      </c>
      <c r="T1148" s="31">
        <f>IFERROR(IF(N1148&gt;0,(N1148/K1148),MIN(1,M1148/J1148)),0)</f>
        <v/>
      </c>
      <c r="U1148" s="33" t="n"/>
    </row>
    <row r="1149" hidden="1" s="40">
      <c r="A1149" s="18" t="inlineStr">
        <is>
          <t>Semana 4 - Junho</t>
        </is>
      </c>
      <c r="B1149" s="27">
        <f>YEAR(E1149)</f>
        <v/>
      </c>
      <c r="C1149" s="18">
        <f>INDEX({"Janeiro";"Fevereiro";"Março";"Abril";"Maio";"Junho";"Julho";"Agosto";"Setembro";"Outubro";"Novembro";"Dezembro"},Q1149)</f>
        <v/>
      </c>
      <c r="D1149" s="19" t="n">
        <v>4</v>
      </c>
      <c r="E1149" s="20" t="n">
        <v>46195</v>
      </c>
      <c r="F1149" s="18" t="inlineStr">
        <is>
          <t>Iogurte Vida Leve Ameixa c/ Grãos 500g</t>
        </is>
      </c>
      <c r="G1149" s="18" t="inlineStr">
        <is>
          <t>IOGURTE</t>
        </is>
      </c>
      <c r="H1149" s="21" t="n">
        <v>0.5</v>
      </c>
      <c r="I1149" s="36" t="n">
        <v>0</v>
      </c>
      <c r="J1149" s="21">
        <f>I1149*H1149</f>
        <v/>
      </c>
      <c r="K1149" s="21">
        <f>IFERROR(IF(J1149/P1149&gt;1,P1149,J1149),0)</f>
        <v/>
      </c>
      <c r="L1149" s="36" t="n">
        <v>0</v>
      </c>
      <c r="M1149" s="21">
        <f>L1149*H1149</f>
        <v/>
      </c>
      <c r="N1149" s="21">
        <f>IFERROR(IF(M1149/K1149&gt;1,K1149,M1149),0)</f>
        <v/>
      </c>
      <c r="O1149" s="36" t="n">
        <v>0</v>
      </c>
      <c r="P1149" s="21">
        <f>O1149*H1149</f>
        <v/>
      </c>
      <c r="Q1149" s="30">
        <f>IF(MONTH(E1149+1)=MONTH(E1149+6),MONTH(E1149+1),IF(MIN(EOMONTH(E1149+1,0),E1149+6)-(E1149+1)+1&gt;=3,MONTH(E1149+1),MONTH(E1149+6)))</f>
        <v/>
      </c>
      <c r="R1149" s="22">
        <f>IFERROR(K1149/P1149, 0)</f>
        <v/>
      </c>
      <c r="S1149" s="38">
        <f>IFERROR(N1149/P1149,0)</f>
        <v/>
      </c>
      <c r="T1149" s="31">
        <f>IFERROR(IF(N1149&gt;0,(N1149/K1149),MIN(1,M1149/J1149)),0)</f>
        <v/>
      </c>
      <c r="U1149" s="33" t="n"/>
    </row>
    <row r="1150" hidden="1" s="40">
      <c r="A1150" s="23" t="inlineStr">
        <is>
          <t>Semana 4 - Junho</t>
        </is>
      </c>
      <c r="B1150" s="27">
        <f>YEAR(E1150)</f>
        <v/>
      </c>
      <c r="C1150" s="18">
        <f>INDEX({"Janeiro";"Fevereiro";"Março";"Abril";"Maio";"Junho";"Julho";"Agosto";"Setembro";"Outubro";"Novembro";"Dezembro"},Q1150)</f>
        <v/>
      </c>
      <c r="D1150" s="24" t="n">
        <v>4</v>
      </c>
      <c r="E1150" s="25" t="n">
        <v>46195</v>
      </c>
      <c r="F1150" s="23" t="inlineStr">
        <is>
          <t>Iogurte Vida Leve Morango 180g</t>
        </is>
      </c>
      <c r="G1150" s="23" t="inlineStr">
        <is>
          <t>IOGURTE</t>
        </is>
      </c>
      <c r="H1150" s="26" t="n">
        <v>0.185</v>
      </c>
      <c r="I1150" s="36" t="n">
        <v>0</v>
      </c>
      <c r="J1150" s="21">
        <f>I1150*H1150</f>
        <v/>
      </c>
      <c r="K1150" s="21">
        <f>IFERROR(IF(J1150/P1150&gt;1,P1150,J1150),0)</f>
        <v/>
      </c>
      <c r="L1150" s="36" t="n">
        <v>0</v>
      </c>
      <c r="M1150" s="21">
        <f>L1150*H1150</f>
        <v/>
      </c>
      <c r="N1150" s="21">
        <f>IFERROR(IF(M1150/K1150&gt;1,K1150,M1150),0)</f>
        <v/>
      </c>
      <c r="O1150" s="36" t="n">
        <v>0</v>
      </c>
      <c r="P1150" s="21">
        <f>O1150*H1150</f>
        <v/>
      </c>
      <c r="Q1150" s="30">
        <f>IF(MONTH(E1150+1)=MONTH(E1150+6),MONTH(E1150+1),IF(MIN(EOMONTH(E1150+1,0),E1150+6)-(E1150+1)+1&gt;=3,MONTH(E1150+1),MONTH(E1150+6)))</f>
        <v/>
      </c>
      <c r="R1150" s="22">
        <f>IFERROR(K1150/P1150, 0)</f>
        <v/>
      </c>
      <c r="S1150" s="38">
        <f>IFERROR(N1150/P1150,0)</f>
        <v/>
      </c>
      <c r="T1150" s="31">
        <f>IFERROR(IF(N1150&gt;0,(N1150/K1150),MIN(1,M1150/J1150)),0)</f>
        <v/>
      </c>
      <c r="U1150" s="33" t="n"/>
    </row>
    <row r="1151" hidden="1" s="40">
      <c r="A1151" s="18" t="inlineStr">
        <is>
          <t>Semana 4 - Junho</t>
        </is>
      </c>
      <c r="B1151" s="27">
        <f>YEAR(E1151)</f>
        <v/>
      </c>
      <c r="C1151" s="18">
        <f>INDEX({"Janeiro";"Fevereiro";"Março";"Abril";"Maio";"Junho";"Julho";"Agosto";"Setembro";"Outubro";"Novembro";"Dezembro"},Q1151)</f>
        <v/>
      </c>
      <c r="D1151" s="19" t="n">
        <v>4</v>
      </c>
      <c r="E1151" s="20" t="n">
        <v>46195</v>
      </c>
      <c r="F1151" s="18" t="inlineStr">
        <is>
          <t>Iogurte Vida Leve Morango 500g</t>
        </is>
      </c>
      <c r="G1151" s="18" t="inlineStr">
        <is>
          <t>IOGURTE</t>
        </is>
      </c>
      <c r="H1151" s="21" t="n">
        <v>0.5</v>
      </c>
      <c r="I1151" s="36" t="n">
        <v>0</v>
      </c>
      <c r="J1151" s="21">
        <f>I1151*H1151</f>
        <v/>
      </c>
      <c r="K1151" s="21">
        <f>IFERROR(IF(J1151/P1151&gt;1,P1151,J1151),0)</f>
        <v/>
      </c>
      <c r="L1151" s="36" t="n">
        <v>0</v>
      </c>
      <c r="M1151" s="21">
        <f>L1151*H1151</f>
        <v/>
      </c>
      <c r="N1151" s="21">
        <f>IFERROR(IF(M1151/K1151&gt;1,K1151,M1151),0)</f>
        <v/>
      </c>
      <c r="O1151" s="36" t="n">
        <v>0</v>
      </c>
      <c r="P1151" s="21">
        <f>O1151*H1151</f>
        <v/>
      </c>
      <c r="Q1151" s="30">
        <f>IF(MONTH(E1151+1)=MONTH(E1151+6),MONTH(E1151+1),IF(MIN(EOMONTH(E1151+1,0),E1151+6)-(E1151+1)+1&gt;=3,MONTH(E1151+1),MONTH(E1151+6)))</f>
        <v/>
      </c>
      <c r="R1151" s="22">
        <f>IFERROR(K1151/P1151, 0)</f>
        <v/>
      </c>
      <c r="S1151" s="38">
        <f>IFERROR(N1151/P1151,0)</f>
        <v/>
      </c>
      <c r="T1151" s="31">
        <f>IFERROR(IF(N1151&gt;0,(N1151/K1151),MIN(1,M1151/J1151)),0)</f>
        <v/>
      </c>
      <c r="U1151" s="33" t="n"/>
    </row>
    <row r="1152" hidden="1" s="40">
      <c r="A1152" s="23" t="inlineStr">
        <is>
          <t>Semana 4 - Junho</t>
        </is>
      </c>
      <c r="B1152" s="27">
        <f>YEAR(E1152)</f>
        <v/>
      </c>
      <c r="C1152" s="18">
        <f>INDEX({"Janeiro";"Fevereiro";"Março";"Abril";"Maio";"Junho";"Julho";"Agosto";"Setembro";"Outubro";"Novembro";"Dezembro"},Q1152)</f>
        <v/>
      </c>
      <c r="D1152" s="24" t="n">
        <v>4</v>
      </c>
      <c r="E1152" s="25" t="n">
        <v>46195</v>
      </c>
      <c r="F1152" s="23" t="inlineStr">
        <is>
          <t>LEITE PASTEURIZADO VIÇOSA DESNATADO</t>
        </is>
      </c>
      <c r="G1152" s="23" t="inlineStr">
        <is>
          <t>LEITE PAST.</t>
        </is>
      </c>
      <c r="H1152" s="26" t="n">
        <v>1</v>
      </c>
      <c r="I1152" s="36" t="n">
        <v>700</v>
      </c>
      <c r="J1152" s="21">
        <f>I1152*H1152</f>
        <v/>
      </c>
      <c r="K1152" s="21">
        <f>IFERROR(IF(J1152/P1152&gt;1,P1152,J1152),0)</f>
        <v/>
      </c>
      <c r="L1152" s="36" t="n">
        <v>747</v>
      </c>
      <c r="M1152" s="21">
        <f>L1152*H1152</f>
        <v/>
      </c>
      <c r="N1152" s="21">
        <f>IFERROR(IF(M1152/K1152&gt;1,K1152,M1152),0)</f>
        <v/>
      </c>
      <c r="O1152" s="36" t="n">
        <v>700</v>
      </c>
      <c r="P1152" s="21">
        <f>O1152*H1152</f>
        <v/>
      </c>
      <c r="Q1152" s="30">
        <f>IF(MONTH(E1152+1)=MONTH(E1152+6),MONTH(E1152+1),IF(MIN(EOMONTH(E1152+1,0),E1152+6)-(E1152+1)+1&gt;=3,MONTH(E1152+1),MONTH(E1152+6)))</f>
        <v/>
      </c>
      <c r="R1152" s="22">
        <f>IFERROR(K1152/P1152, 0)</f>
        <v/>
      </c>
      <c r="S1152" s="38">
        <f>IFERROR(N1152/P1152,0)</f>
        <v/>
      </c>
      <c r="T1152" s="31">
        <f>IFERROR(IF(N1152&gt;0,(N1152/K1152),MIN(1,M1152/J1152)),0)</f>
        <v/>
      </c>
      <c r="U1152" s="33" t="n"/>
    </row>
    <row r="1153" hidden="1" s="40">
      <c r="A1153" s="18" t="inlineStr">
        <is>
          <t>Semana 4 - Junho</t>
        </is>
      </c>
      <c r="B1153" s="27">
        <f>YEAR(E1153)</f>
        <v/>
      </c>
      <c r="C1153" s="18">
        <f>INDEX({"Janeiro";"Fevereiro";"Março";"Abril";"Maio";"Junho";"Julho";"Agosto";"Setembro";"Outubro";"Novembro";"Dezembro"},Q1153)</f>
        <v/>
      </c>
      <c r="D1153" s="19" t="n">
        <v>4</v>
      </c>
      <c r="E1153" s="20" t="n">
        <v>46195</v>
      </c>
      <c r="F1153" s="18" t="inlineStr">
        <is>
          <t>LEITE PASTEURIZADO VIÇOSA INTEGRAL</t>
        </is>
      </c>
      <c r="G1153" s="18" t="inlineStr">
        <is>
          <t>LEITE PAST.</t>
        </is>
      </c>
      <c r="H1153" s="21" t="n">
        <v>1</v>
      </c>
      <c r="I1153" s="36" t="n">
        <v>30300</v>
      </c>
      <c r="J1153" s="21">
        <f>I1153*H1153</f>
        <v/>
      </c>
      <c r="K1153" s="21">
        <f>IFERROR(IF(J1153/P1153&gt;1,P1153,J1153),0)</f>
        <v/>
      </c>
      <c r="L1153" s="36" t="n">
        <v>29991</v>
      </c>
      <c r="M1153" s="21">
        <f>L1153*H1153</f>
        <v/>
      </c>
      <c r="N1153" s="21">
        <f>IFERROR(IF(M1153/K1153&gt;1,K1153,M1153),0)</f>
        <v/>
      </c>
      <c r="O1153" s="36" t="n">
        <v>30300</v>
      </c>
      <c r="P1153" s="21">
        <f>O1153*H1153</f>
        <v/>
      </c>
      <c r="Q1153" s="30">
        <f>IF(MONTH(E1153+1)=MONTH(E1153+6),MONTH(E1153+1),IF(MIN(EOMONTH(E1153+1,0),E1153+6)-(E1153+1)+1&gt;=3,MONTH(E1153+1),MONTH(E1153+6)))</f>
        <v/>
      </c>
      <c r="R1153" s="22">
        <f>IFERROR(K1153/P1153, 0)</f>
        <v/>
      </c>
      <c r="S1153" s="38">
        <f>IFERROR(N1153/P1153,0)</f>
        <v/>
      </c>
      <c r="T1153" s="31">
        <f>IFERROR(IF(N1153&gt;0,(N1153/K1153),MIN(1,M1153/J1153)),0)</f>
        <v/>
      </c>
      <c r="U1153" s="33" t="n"/>
    </row>
    <row r="1154" hidden="1" s="40">
      <c r="A1154" s="23" t="inlineStr">
        <is>
          <t>Semana 4 - Junho</t>
        </is>
      </c>
      <c r="B1154" s="27">
        <f>YEAR(E1154)</f>
        <v/>
      </c>
      <c r="C1154" s="18">
        <f>INDEX({"Janeiro";"Fevereiro";"Março";"Abril";"Maio";"Junho";"Julho";"Agosto";"Setembro";"Outubro";"Novembro";"Dezembro"},Q1154)</f>
        <v/>
      </c>
      <c r="D1154" s="24" t="n">
        <v>4</v>
      </c>
      <c r="E1154" s="25" t="n">
        <v>46195</v>
      </c>
      <c r="F1154" s="23" t="inlineStr">
        <is>
          <t>LEITE PASTEURIZADO VIÇOSA ZERO LACTOSE INTEGRAL 1 L</t>
        </is>
      </c>
      <c r="G1154" s="23" t="inlineStr">
        <is>
          <t>LEITE PAST.</t>
        </is>
      </c>
      <c r="H1154" s="26" t="n">
        <v>1</v>
      </c>
      <c r="I1154" s="36" t="n">
        <v>950</v>
      </c>
      <c r="J1154" s="21">
        <f>I1154*H1154</f>
        <v/>
      </c>
      <c r="K1154" s="21">
        <f>IFERROR(IF(J1154/P1154&gt;1,P1154,J1154),0)</f>
        <v/>
      </c>
      <c r="L1154" s="36" t="n">
        <v>953</v>
      </c>
      <c r="M1154" s="21">
        <f>L1154*H1154</f>
        <v/>
      </c>
      <c r="N1154" s="21">
        <f>IFERROR(IF(M1154/K1154&gt;1,K1154,M1154),0)</f>
        <v/>
      </c>
      <c r="O1154" s="36" t="n">
        <v>950</v>
      </c>
      <c r="P1154" s="21">
        <f>O1154*H1154</f>
        <v/>
      </c>
      <c r="Q1154" s="30">
        <f>IF(MONTH(E1154+1)=MONTH(E1154+6),MONTH(E1154+1),IF(MIN(EOMONTH(E1154+1,0),E1154+6)-(E1154+1)+1&gt;=3,MONTH(E1154+1),MONTH(E1154+6)))</f>
        <v/>
      </c>
      <c r="R1154" s="22">
        <f>IFERROR(K1154/P1154, 0)</f>
        <v/>
      </c>
      <c r="S1154" s="38">
        <f>IFERROR(N1154/P1154,0)</f>
        <v/>
      </c>
      <c r="T1154" s="31">
        <f>IFERROR(IF(N1154&gt;0,(N1154/K1154),MIN(1,M1154/J1154)),0)</f>
        <v/>
      </c>
      <c r="U1154" s="33" t="n"/>
    </row>
    <row r="1155" hidden="1" s="40">
      <c r="A1155" s="18" t="inlineStr">
        <is>
          <t>Semana 4 - Junho</t>
        </is>
      </c>
      <c r="B1155" s="27">
        <f>YEAR(E1155)</f>
        <v/>
      </c>
      <c r="C1155" s="18">
        <f>INDEX({"Janeiro";"Fevereiro";"Março";"Abril";"Maio";"Junho";"Julho";"Agosto";"Setembro";"Outubro";"Novembro";"Dezembro"},Q1155)</f>
        <v/>
      </c>
      <c r="D1155" s="19" t="n">
        <v>4</v>
      </c>
      <c r="E1155" s="20" t="n">
        <v>46195</v>
      </c>
      <c r="F1155" s="18" t="inlineStr">
        <is>
          <t>Manteiga 200g</t>
        </is>
      </c>
      <c r="G1155" s="18" t="inlineStr">
        <is>
          <t>MANTEIGA</t>
        </is>
      </c>
      <c r="H1155" s="21" t="n">
        <v>0.2</v>
      </c>
      <c r="I1155" s="36" t="n">
        <v>2200</v>
      </c>
      <c r="J1155" s="21">
        <f>I1155*H1155</f>
        <v/>
      </c>
      <c r="K1155" s="21">
        <f>IFERROR(IF(J1155/P1155&gt;1,P1155,J1155),0)</f>
        <v/>
      </c>
      <c r="L1155" s="36" t="n">
        <v>1369</v>
      </c>
      <c r="M1155" s="21">
        <f>L1155*H1155</f>
        <v/>
      </c>
      <c r="N1155" s="21">
        <f>IFERROR(IF(M1155/K1155&gt;1,K1155,M1155),0)</f>
        <v/>
      </c>
      <c r="O1155" s="36" t="n">
        <v>3750</v>
      </c>
      <c r="P1155" s="21">
        <f>O1155*H1155</f>
        <v/>
      </c>
      <c r="Q1155" s="30">
        <f>IF(MONTH(E1155+1)=MONTH(E1155+6),MONTH(E1155+1),IF(MIN(EOMONTH(E1155+1,0),E1155+6)-(E1155+1)+1&gt;=3,MONTH(E1155+1),MONTH(E1155+6)))</f>
        <v/>
      </c>
      <c r="R1155" s="22">
        <f>IFERROR(K1155/P1155, 0)</f>
        <v/>
      </c>
      <c r="S1155" s="38">
        <f>IFERROR(N1155/P1155,0)</f>
        <v/>
      </c>
      <c r="T1155" s="31">
        <f>IFERROR(IF(N1155&gt;0,(N1155/K1155),MIN(1,M1155/J1155)),0)</f>
        <v/>
      </c>
      <c r="U1155" s="33" t="n"/>
    </row>
    <row r="1156" hidden="1" s="40">
      <c r="A1156" s="23" t="inlineStr">
        <is>
          <t>Semana 4 - Junho</t>
        </is>
      </c>
      <c r="B1156" s="27">
        <f>YEAR(E1156)</f>
        <v/>
      </c>
      <c r="C1156" s="18">
        <f>INDEX({"Janeiro";"Fevereiro";"Março";"Abril";"Maio";"Junho";"Julho";"Agosto";"Setembro";"Outubro";"Novembro";"Dezembro"},Q1156)</f>
        <v/>
      </c>
      <c r="D1156" s="24" t="n">
        <v>4</v>
      </c>
      <c r="E1156" s="25" t="n">
        <v>46195</v>
      </c>
      <c r="F1156" s="23" t="inlineStr">
        <is>
          <t>Manteiga 500g</t>
        </is>
      </c>
      <c r="G1156" s="23" t="inlineStr">
        <is>
          <t>MANTEIGA</t>
        </is>
      </c>
      <c r="H1156" s="26" t="n">
        <v>0.5</v>
      </c>
      <c r="I1156" s="36" t="n">
        <v>550</v>
      </c>
      <c r="J1156" s="21">
        <f>I1156*H1156</f>
        <v/>
      </c>
      <c r="K1156" s="21">
        <f>IFERROR(IF(J1156/P1156&gt;1,P1156,J1156),0)</f>
        <v/>
      </c>
      <c r="L1156" s="36" t="n">
        <v>495</v>
      </c>
      <c r="M1156" s="21">
        <f>L1156*H1156</f>
        <v/>
      </c>
      <c r="N1156" s="21">
        <f>IFERROR(IF(M1156/K1156&gt;1,K1156,M1156),0)</f>
        <v/>
      </c>
      <c r="O1156" s="36" t="n">
        <v>1100</v>
      </c>
      <c r="P1156" s="21">
        <f>O1156*H1156</f>
        <v/>
      </c>
      <c r="Q1156" s="30">
        <f>IF(MONTH(E1156+1)=MONTH(E1156+6),MONTH(E1156+1),IF(MIN(EOMONTH(E1156+1,0),E1156+6)-(E1156+1)+1&gt;=3,MONTH(E1156+1),MONTH(E1156+6)))</f>
        <v/>
      </c>
      <c r="R1156" s="22">
        <f>IFERROR(K1156/P1156, 0)</f>
        <v/>
      </c>
      <c r="S1156" s="38">
        <f>IFERROR(N1156/P1156,0)</f>
        <v/>
      </c>
      <c r="T1156" s="31">
        <f>IFERROR(IF(N1156&gt;0,(N1156/K1156),MIN(1,M1156/J1156)),0)</f>
        <v/>
      </c>
      <c r="U1156" s="33" t="n"/>
    </row>
    <row r="1157" hidden="1" s="40">
      <c r="A1157" s="18" t="inlineStr">
        <is>
          <t>Semana 4 - Junho</t>
        </is>
      </c>
      <c r="B1157" s="27">
        <f>YEAR(E1157)</f>
        <v/>
      </c>
      <c r="C1157" s="18">
        <f>INDEX({"Janeiro";"Fevereiro";"Março";"Abril";"Maio";"Junho";"Julho";"Agosto";"Setembro";"Outubro";"Novembro";"Dezembro"},Q1157)</f>
        <v/>
      </c>
      <c r="D1157" s="19" t="n">
        <v>4</v>
      </c>
      <c r="E1157" s="20" t="n">
        <v>46195</v>
      </c>
      <c r="F1157" s="18" t="inlineStr">
        <is>
          <t>QUEIJO MINAS MEIA CURA (FRACIONADO)</t>
        </is>
      </c>
      <c r="G1157" s="18" t="inlineStr">
        <is>
          <t>QUEIJO</t>
        </is>
      </c>
      <c r="H1157" s="21" t="n">
        <v>1</v>
      </c>
      <c r="I1157" s="36" t="n">
        <v>0</v>
      </c>
      <c r="J1157" s="21">
        <f>I1157*H1157</f>
        <v/>
      </c>
      <c r="K1157" s="21">
        <f>IFERROR(IF(J1157/P1157&gt;1,P1157,J1157),0)</f>
        <v/>
      </c>
      <c r="L1157" s="36" t="n">
        <v>0</v>
      </c>
      <c r="M1157" s="21">
        <f>L1157*H1157</f>
        <v/>
      </c>
      <c r="N1157" s="21">
        <f>IFERROR(IF(M1157/K1157&gt;1,K1157,M1157),0)</f>
        <v/>
      </c>
      <c r="O1157" s="36" t="n">
        <v>0</v>
      </c>
      <c r="P1157" s="21">
        <f>O1157*H1157</f>
        <v/>
      </c>
      <c r="Q1157" s="30">
        <f>IF(MONTH(E1157+1)=MONTH(E1157+6),MONTH(E1157+1),IF(MIN(EOMONTH(E1157+1,0),E1157+6)-(E1157+1)+1&gt;=3,MONTH(E1157+1),MONTH(E1157+6)))</f>
        <v/>
      </c>
      <c r="R1157" s="22">
        <f>IFERROR(K1157/P1157, 0)</f>
        <v/>
      </c>
      <c r="S1157" s="38">
        <f>IFERROR(N1157/P1157,0)</f>
        <v/>
      </c>
      <c r="T1157" s="31">
        <f>IFERROR(IF(N1157&gt;0,(N1157/K1157),MIN(1,M1157/J1157)),0)</f>
        <v/>
      </c>
      <c r="U1157" s="33" t="n"/>
    </row>
    <row r="1158" hidden="1" s="40">
      <c r="A1158" s="23" t="inlineStr">
        <is>
          <t>Semana 4 - Junho</t>
        </is>
      </c>
      <c r="B1158" s="27">
        <f>YEAR(E1158)</f>
        <v/>
      </c>
      <c r="C1158" s="18">
        <f>INDEX({"Janeiro";"Fevereiro";"Março";"Abril";"Maio";"Junho";"Julho";"Agosto";"Setembro";"Outubro";"Novembro";"Dezembro"},Q1158)</f>
        <v/>
      </c>
      <c r="D1158" s="24" t="n">
        <v>4</v>
      </c>
      <c r="E1158" s="25" t="n">
        <v>46195</v>
      </c>
      <c r="F1158" s="23" t="inlineStr">
        <is>
          <t>QUEIJO MINAS MEIA CURA (INTEIRO)</t>
        </is>
      </c>
      <c r="G1158" s="23" t="inlineStr">
        <is>
          <t>QUEIJO</t>
        </is>
      </c>
      <c r="H1158" s="26" t="n">
        <v>1</v>
      </c>
      <c r="I1158" s="36" t="n">
        <v>0</v>
      </c>
      <c r="J1158" s="21">
        <f>I1158*H1158</f>
        <v/>
      </c>
      <c r="K1158" s="21">
        <f>IFERROR(IF(J1158/P1158&gt;1,P1158,J1158),0)</f>
        <v/>
      </c>
      <c r="L1158" s="36" t="n">
        <v>0</v>
      </c>
      <c r="M1158" s="21">
        <f>L1158*H1158</f>
        <v/>
      </c>
      <c r="N1158" s="21">
        <f>IFERROR(IF(M1158/K1158&gt;1,K1158,M1158),0)</f>
        <v/>
      </c>
      <c r="O1158" s="36" t="n">
        <v>0</v>
      </c>
      <c r="P1158" s="21">
        <f>O1158*H1158</f>
        <v/>
      </c>
      <c r="Q1158" s="30">
        <f>IF(MONTH(E1158+1)=MONTH(E1158+6),MONTH(E1158+1),IF(MIN(EOMONTH(E1158+1,0),E1158+6)-(E1158+1)+1&gt;=3,MONTH(E1158+1),MONTH(E1158+6)))</f>
        <v/>
      </c>
      <c r="R1158" s="22">
        <f>IFERROR(K1158/P1158, 0)</f>
        <v/>
      </c>
      <c r="S1158" s="38">
        <f>IFERROR(N1158/P1158,0)</f>
        <v/>
      </c>
      <c r="T1158" s="31">
        <f>IFERROR(IF(N1158&gt;0,(N1158/K1158),MIN(1,M1158/J1158)),0)</f>
        <v/>
      </c>
      <c r="U1158" s="33" t="n"/>
    </row>
    <row r="1159" hidden="1" s="40">
      <c r="A1159" s="18" t="inlineStr">
        <is>
          <t>Semana 4 - Junho</t>
        </is>
      </c>
      <c r="B1159" s="27">
        <f>YEAR(E1159)</f>
        <v/>
      </c>
      <c r="C1159" s="18">
        <f>INDEX({"Janeiro";"Fevereiro";"Março";"Abril";"Maio";"Junho";"Julho";"Agosto";"Setembro";"Outubro";"Novembro";"Dezembro"},Q1159)</f>
        <v/>
      </c>
      <c r="D1159" s="19" t="n">
        <v>4</v>
      </c>
      <c r="E1159" s="20" t="n">
        <v>46195</v>
      </c>
      <c r="F1159" s="18" t="inlineStr">
        <is>
          <t xml:space="preserve">QUEIJO MINAS PADRÃO VIÇOSA FRACIONADO </t>
        </is>
      </c>
      <c r="G1159" s="18" t="inlineStr">
        <is>
          <t>QUEIJO</t>
        </is>
      </c>
      <c r="H1159" s="21" t="n">
        <v>1</v>
      </c>
      <c r="I1159" s="36" t="n">
        <v>0</v>
      </c>
      <c r="J1159" s="21">
        <f>I1159*H1159</f>
        <v/>
      </c>
      <c r="K1159" s="21">
        <f>IFERROR(IF(J1159/P1159&gt;1,P1159,J1159),0)</f>
        <v/>
      </c>
      <c r="L1159" s="36" t="n">
        <v>0</v>
      </c>
      <c r="M1159" s="21">
        <f>L1159*H1159</f>
        <v/>
      </c>
      <c r="N1159" s="21">
        <f>IFERROR(IF(M1159/K1159&gt;1,K1159,M1159),0)</f>
        <v/>
      </c>
      <c r="O1159" s="36" t="n">
        <v>0</v>
      </c>
      <c r="P1159" s="21">
        <f>O1159*H1159</f>
        <v/>
      </c>
      <c r="Q1159" s="30">
        <f>IF(MONTH(E1159+1)=MONTH(E1159+6),MONTH(E1159+1),IF(MIN(EOMONTH(E1159+1,0),E1159+6)-(E1159+1)+1&gt;=3,MONTH(E1159+1),MONTH(E1159+6)))</f>
        <v/>
      </c>
      <c r="R1159" s="22">
        <f>IFERROR(K1159/P1159, 0)</f>
        <v/>
      </c>
      <c r="S1159" s="38">
        <f>IFERROR(N1159/P1159,0)</f>
        <v/>
      </c>
      <c r="T1159" s="31">
        <f>IFERROR(IF(N1159&gt;0,(N1159/K1159),MIN(1,M1159/J1159)),0)</f>
        <v/>
      </c>
      <c r="U1159" s="33" t="n"/>
    </row>
    <row r="1160" hidden="1" s="40">
      <c r="A1160" s="23" t="inlineStr">
        <is>
          <t>Semana 4 - Junho</t>
        </is>
      </c>
      <c r="B1160" s="27">
        <f>YEAR(E1160)</f>
        <v/>
      </c>
      <c r="C1160" s="18">
        <f>INDEX({"Janeiro";"Fevereiro";"Março";"Abril";"Maio";"Junho";"Julho";"Agosto";"Setembro";"Outubro";"Novembro";"Dezembro"},Q1160)</f>
        <v/>
      </c>
      <c r="D1160" s="24" t="n">
        <v>4</v>
      </c>
      <c r="E1160" s="25" t="n">
        <v>46195</v>
      </c>
      <c r="F1160" s="23" t="inlineStr">
        <is>
          <t>QUEIJO MUSSARELA 3KG</t>
        </is>
      </c>
      <c r="G1160" s="23" t="inlineStr">
        <is>
          <t>QUEIJO</t>
        </is>
      </c>
      <c r="H1160" s="26" t="n">
        <v>1</v>
      </c>
      <c r="I1160" s="36" t="n">
        <v>500</v>
      </c>
      <c r="J1160" s="21">
        <f>I1160*H1160</f>
        <v/>
      </c>
      <c r="K1160" s="21">
        <f>IFERROR(IF(J1160/P1160&gt;1,P1160,J1160),0)</f>
        <v/>
      </c>
      <c r="L1160" s="36" t="n">
        <v>500</v>
      </c>
      <c r="M1160" s="21">
        <f>L1160*H1160</f>
        <v/>
      </c>
      <c r="N1160" s="21">
        <f>IFERROR(IF(M1160/K1160&gt;1,K1160,M1160),0)</f>
        <v/>
      </c>
      <c r="O1160" s="36" t="n">
        <v>1000</v>
      </c>
      <c r="P1160" s="21">
        <f>O1160*H1160</f>
        <v/>
      </c>
      <c r="Q1160" s="30">
        <f>IF(MONTH(E1160+1)=MONTH(E1160+6),MONTH(E1160+1),IF(MIN(EOMONTH(E1160+1,0),E1160+6)-(E1160+1)+1&gt;=3,MONTH(E1160+1),MONTH(E1160+6)))</f>
        <v/>
      </c>
      <c r="R1160" s="22">
        <f>IFERROR(K1160/P1160, 0)</f>
        <v/>
      </c>
      <c r="S1160" s="38">
        <f>IFERROR(N1160/P1160,0)</f>
        <v/>
      </c>
      <c r="T1160" s="31">
        <f>IFERROR(IF(N1160&gt;0,(N1160/K1160),MIN(1,M1160/J1160)),0)</f>
        <v/>
      </c>
      <c r="U1160" s="33" t="n"/>
    </row>
    <row r="1161" hidden="1" s="40">
      <c r="A1161" s="18" t="inlineStr">
        <is>
          <t>Semana 4 - Junho</t>
        </is>
      </c>
      <c r="B1161" s="27">
        <f>YEAR(E1161)</f>
        <v/>
      </c>
      <c r="C1161" s="18">
        <f>INDEX({"Janeiro";"Fevereiro";"Março";"Abril";"Maio";"Junho";"Julho";"Agosto";"Setembro";"Outubro";"Novembro";"Dezembro"},Q1161)</f>
        <v/>
      </c>
      <c r="D1161" s="19" t="n">
        <v>4</v>
      </c>
      <c r="E1161" s="20" t="n">
        <v>46195</v>
      </c>
      <c r="F1161" s="18" t="inlineStr">
        <is>
          <t>QUEIJO MUSSARELA LANCHE</t>
        </is>
      </c>
      <c r="G1161" s="18" t="inlineStr">
        <is>
          <t>QUEIJO</t>
        </is>
      </c>
      <c r="H1161" s="21" t="n">
        <v>1</v>
      </c>
      <c r="I1161" s="36" t="n">
        <v>0</v>
      </c>
      <c r="J1161" s="21">
        <f>I1161*H1161</f>
        <v/>
      </c>
      <c r="K1161" s="21">
        <f>IFERROR(IF(J1161/P1161&gt;1,P1161,J1161),0)</f>
        <v/>
      </c>
      <c r="L1161" s="36" t="n">
        <v>0</v>
      </c>
      <c r="M1161" s="21">
        <f>L1161*H1161</f>
        <v/>
      </c>
      <c r="N1161" s="21">
        <f>IFERROR(IF(M1161/K1161&gt;1,K1161,M1161),0)</f>
        <v/>
      </c>
      <c r="O1161" s="36" t="n">
        <v>0</v>
      </c>
      <c r="P1161" s="21">
        <f>O1161*H1161</f>
        <v/>
      </c>
      <c r="Q1161" s="30">
        <f>IF(MONTH(E1161+1)=MONTH(E1161+6),MONTH(E1161+1),IF(MIN(EOMONTH(E1161+1,0),E1161+6)-(E1161+1)+1&gt;=3,MONTH(E1161+1),MONTH(E1161+6)))</f>
        <v/>
      </c>
      <c r="R1161" s="22">
        <f>IFERROR(K1161/P1161, 0)</f>
        <v/>
      </c>
      <c r="S1161" s="38">
        <f>IFERROR(N1161/P1161,0)</f>
        <v/>
      </c>
      <c r="T1161" s="31">
        <f>IFERROR(IF(N1161&gt;0,(N1161/K1161),MIN(1,M1161/J1161)),0)</f>
        <v/>
      </c>
      <c r="U1161" s="33" t="n"/>
    </row>
    <row r="1162" hidden="1" s="40">
      <c r="A1162" s="23" t="inlineStr">
        <is>
          <t>Semana 4 - Junho</t>
        </is>
      </c>
      <c r="B1162" s="27">
        <f>YEAR(E1162)</f>
        <v/>
      </c>
      <c r="C1162" s="18">
        <f>INDEX({"Janeiro";"Fevereiro";"Março";"Abril";"Maio";"Junho";"Julho";"Agosto";"Setembro";"Outubro";"Novembro";"Dezembro"},Q1162)</f>
        <v/>
      </c>
      <c r="D1162" s="24" t="n">
        <v>4</v>
      </c>
      <c r="E1162" s="25" t="n">
        <v>46195</v>
      </c>
      <c r="F1162" s="23" t="inlineStr">
        <is>
          <t>Requeijão Light 200g</t>
        </is>
      </c>
      <c r="G1162" s="23" t="inlineStr">
        <is>
          <t>REQUEIJÃO</t>
        </is>
      </c>
      <c r="H1162" s="26" t="n">
        <v>0.2</v>
      </c>
      <c r="I1162" s="36" t="n">
        <v>600</v>
      </c>
      <c r="J1162" s="21">
        <f>I1162*H1162</f>
        <v/>
      </c>
      <c r="K1162" s="21">
        <f>IFERROR(IF(J1162/P1162&gt;1,P1162,J1162),0)</f>
        <v/>
      </c>
      <c r="L1162" s="36" t="n">
        <v>0</v>
      </c>
      <c r="M1162" s="21">
        <f>L1162*H1162</f>
        <v/>
      </c>
      <c r="N1162" s="21">
        <f>IFERROR(IF(M1162/K1162&gt;1,K1162,M1162),0)</f>
        <v/>
      </c>
      <c r="O1162" s="36" t="n">
        <v>600</v>
      </c>
      <c r="P1162" s="21">
        <f>O1162*H1162</f>
        <v/>
      </c>
      <c r="Q1162" s="30">
        <f>IF(MONTH(E1162+1)=MONTH(E1162+6),MONTH(E1162+1),IF(MIN(EOMONTH(E1162+1,0),E1162+6)-(E1162+1)+1&gt;=3,MONTH(E1162+1),MONTH(E1162+6)))</f>
        <v/>
      </c>
      <c r="R1162" s="22">
        <f>IFERROR(K1162/P1162, 0)</f>
        <v/>
      </c>
      <c r="S1162" s="38">
        <f>IFERROR(N1162/P1162,0)</f>
        <v/>
      </c>
      <c r="T1162" s="31">
        <f>IFERROR(IF(N1162&gt;0,(N1162/K1162),MIN(1,M1162/J1162)),0)</f>
        <v/>
      </c>
      <c r="U1162" s="33" t="n"/>
    </row>
    <row r="1163" hidden="1" s="40">
      <c r="A1163" s="23" t="inlineStr">
        <is>
          <t>Semana 4 - Junho</t>
        </is>
      </c>
      <c r="B1163" s="27">
        <f>YEAR(E1163)</f>
        <v/>
      </c>
      <c r="C1163" s="18">
        <f>INDEX({"Janeiro";"Fevereiro";"Março";"Abril";"Maio";"Junho";"Julho";"Agosto";"Setembro";"Outubro";"Novembro";"Dezembro"},Q1163)</f>
        <v/>
      </c>
      <c r="D1163" s="24" t="n">
        <v>4</v>
      </c>
      <c r="E1163" s="25" t="n">
        <v>46195</v>
      </c>
      <c r="F1163" s="23" t="inlineStr">
        <is>
          <t>REQUEIJÃO VIÇOSA 200g</t>
        </is>
      </c>
      <c r="G1163" s="23" t="inlineStr">
        <is>
          <t>REQUEIJÃO</t>
        </is>
      </c>
      <c r="H1163" s="26" t="n">
        <v>0.2</v>
      </c>
      <c r="I1163" s="36" t="n">
        <v>2100</v>
      </c>
      <c r="J1163" s="21">
        <f>I1163*H1163</f>
        <v/>
      </c>
      <c r="K1163" s="21">
        <f>IFERROR(IF(J1163/P1163&gt;1,P1163,J1163),0)</f>
        <v/>
      </c>
      <c r="L1163" s="36" t="n">
        <v>401</v>
      </c>
      <c r="M1163" s="21">
        <f>L1163*H1163</f>
        <v/>
      </c>
      <c r="N1163" s="21">
        <f>IFERROR(IF(M1163/K1163&gt;1,K1163,M1163),0)</f>
        <v/>
      </c>
      <c r="O1163" s="36" t="n">
        <v>3200</v>
      </c>
      <c r="P1163" s="21">
        <f>O1163*H1163</f>
        <v/>
      </c>
      <c r="Q1163" s="30">
        <f>IF(MONTH(E1163+1)=MONTH(E1163+6),MONTH(E1163+1),IF(MIN(EOMONTH(E1163+1,0),E1163+6)-(E1163+1)+1&gt;=3,MONTH(E1163+1),MONTH(E1163+6)))</f>
        <v/>
      </c>
      <c r="R1163" s="22">
        <f>IFERROR(K1163/P1163, 0)</f>
        <v/>
      </c>
      <c r="S1163" s="38">
        <f>IFERROR(N1163/P1163,0)</f>
        <v/>
      </c>
      <c r="T1163" s="31">
        <f>IFERROR(IF(N1163&gt;0,(N1163/K1163),MIN(1,M1163/J1163)),0)</f>
        <v/>
      </c>
      <c r="U1163" s="33" t="n"/>
    </row>
    <row r="1164" hidden="1" s="40">
      <c r="A1164" s="18" t="inlineStr">
        <is>
          <t>Semana 4 - Junho</t>
        </is>
      </c>
      <c r="B1164" s="27">
        <f>YEAR(E1164)</f>
        <v/>
      </c>
      <c r="C1164" s="18">
        <f>INDEX({"Janeiro";"Fevereiro";"Março";"Abril";"Maio";"Junho";"Julho";"Agosto";"Setembro";"Outubro";"Novembro";"Dezembro"},Q1164)</f>
        <v/>
      </c>
      <c r="D1164" s="19" t="n">
        <v>4</v>
      </c>
      <c r="E1164" s="20" t="n">
        <v>46195</v>
      </c>
      <c r="F1164" s="18" t="inlineStr">
        <is>
          <t>REQUEIJÃO VIÇOSA 400g</t>
        </is>
      </c>
      <c r="G1164" s="18" t="inlineStr">
        <is>
          <t>REQUEIJÃO</t>
        </is>
      </c>
      <c r="H1164" s="21" t="n">
        <v>0.4</v>
      </c>
      <c r="I1164" s="36" t="n">
        <v>1200</v>
      </c>
      <c r="J1164" s="21">
        <f>I1164*H1164</f>
        <v/>
      </c>
      <c r="K1164" s="21">
        <f>IFERROR(IF(J1164/P1164&gt;1,P1164,J1164),0)</f>
        <v/>
      </c>
      <c r="L1164" s="36" t="n">
        <v>2312</v>
      </c>
      <c r="M1164" s="21">
        <f>L1164*H1164</f>
        <v/>
      </c>
      <c r="N1164" s="21">
        <f>IFERROR(IF(M1164/K1164&gt;1,K1164,M1164),0)</f>
        <v/>
      </c>
      <c r="O1164" s="36" t="n">
        <v>1200</v>
      </c>
      <c r="P1164" s="21">
        <f>O1164*H1164</f>
        <v/>
      </c>
      <c r="Q1164" s="30">
        <f>IF(MONTH(E1164+1)=MONTH(E1164+6),MONTH(E1164+1),IF(MIN(EOMONTH(E1164+1,0),E1164+6)-(E1164+1)+1&gt;=3,MONTH(E1164+1),MONTH(E1164+6)))</f>
        <v/>
      </c>
      <c r="R1164" s="22">
        <f>IFERROR(K1164/P1164, 0)</f>
        <v/>
      </c>
      <c r="S1164" s="38">
        <f>IFERROR(N1164/P1164,0)</f>
        <v/>
      </c>
      <c r="T1164" s="31">
        <f>IFERROR(IF(N1164&gt;0,(N1164/K1164),MIN(1,M1164/J1164)),0)</f>
        <v/>
      </c>
      <c r="U1164" s="33" t="n"/>
    </row>
    <row r="1165" hidden="1" s="40">
      <c r="A1165" s="18" t="inlineStr">
        <is>
          <t>Semana 1 - Julho</t>
        </is>
      </c>
      <c r="B1165" s="27">
        <f>YEAR(E1165)</f>
        <v/>
      </c>
      <c r="C1165" s="18">
        <f>INDEX({"Janeiro";"Fevereiro";"Março";"Abril";"Maio";"Junho";"Julho";"Agosto";"Setembro";"Outubro";"Novembro";"Dezembro"},Q1165)</f>
        <v/>
      </c>
      <c r="D1165" s="19" t="n">
        <v>1</v>
      </c>
      <c r="E1165" s="20" t="n">
        <v>46202</v>
      </c>
      <c r="F1165" s="23" t="inlineStr">
        <is>
          <t>Doce de Leite 400g</t>
        </is>
      </c>
      <c r="G1165" s="23" t="inlineStr">
        <is>
          <t>DOCE</t>
        </is>
      </c>
      <c r="H1165" s="26" t="n">
        <v>0.4</v>
      </c>
      <c r="I1165" s="36" t="n">
        <v>30000</v>
      </c>
      <c r="J1165" s="21">
        <f>I1165*H1165</f>
        <v/>
      </c>
      <c r="K1165" s="21">
        <f>IFERROR(IF(J1165/P1165&gt;1,P1165,J1165),0)</f>
        <v/>
      </c>
      <c r="L1165" s="36" t="n">
        <v>31720</v>
      </c>
      <c r="M1165" s="21">
        <f>L1165*H1165</f>
        <v/>
      </c>
      <c r="N1165" s="21">
        <f>IFERROR(IF(M1165/K1165&gt;1,K1165,M1165),0)</f>
        <v/>
      </c>
      <c r="O1165" s="36" t="n">
        <v>24000</v>
      </c>
      <c r="P1165" s="21">
        <f>O1165*H1165</f>
        <v/>
      </c>
      <c r="Q1165" s="30">
        <f>IF(MONTH(E1165+1)=MONTH(E1165+6),MONTH(E1165+1),IF(MIN(EOMONTH(E1165+1,0),E1165+6)-(E1165+1)+1&gt;=3,MONTH(E1165+1),MONTH(E1165+6)))</f>
        <v/>
      </c>
      <c r="R1165" s="22">
        <f>IFERROR(K1165/P1165, 0)</f>
        <v/>
      </c>
      <c r="S1165" s="38">
        <f>IFERROR(N1165/P1165,0)</f>
        <v/>
      </c>
      <c r="T1165" s="31">
        <f>IFERROR(IF(N1165&gt;0,(N1165/K1165),MIN(1,M1165/J1165)),0)</f>
        <v/>
      </c>
      <c r="U1165" s="33" t="inlineStr">
        <is>
          <t>A produção dos doces de sabor Cacau e café não foi possível devido a falta do insumo Aroma de Baunilha. Sua entrega do fornecedor sofreu atraso e a previsao de entrega seria somente na semana seguinte. Por esse motivo, as produções que ocorreriam na semana vigente, foram adiadas para semana seguinte.</t>
        </is>
      </c>
    </row>
    <row r="1166" hidden="1" s="40">
      <c r="A1166" s="18" t="inlineStr">
        <is>
          <t>Semana 1 - Julho</t>
        </is>
      </c>
      <c r="B1166" s="27">
        <f>YEAR(E1166)</f>
        <v/>
      </c>
      <c r="C1166" s="18">
        <f>INDEX({"Janeiro";"Fevereiro";"Março";"Abril";"Maio";"Junho";"Julho";"Agosto";"Setembro";"Outubro";"Novembro";"Dezembro"},Q1166)</f>
        <v/>
      </c>
      <c r="D1166" s="19" t="n">
        <v>1</v>
      </c>
      <c r="E1166" s="20" t="n">
        <v>46202</v>
      </c>
      <c r="F1166" s="18" t="inlineStr">
        <is>
          <t>Doce de Leite 5kg</t>
        </is>
      </c>
      <c r="G1166" s="18" t="inlineStr">
        <is>
          <t>DOCE</t>
        </is>
      </c>
      <c r="H1166" s="21" t="n">
        <v>5</v>
      </c>
      <c r="I1166" s="36" t="n">
        <v>2325</v>
      </c>
      <c r="J1166" s="21">
        <f>I1166*H1166</f>
        <v/>
      </c>
      <c r="K1166" s="21">
        <f>IFERROR(IF(J1166/P1166&gt;1,P1166,J1166),0)</f>
        <v/>
      </c>
      <c r="L1166" s="36" t="n">
        <v>2301</v>
      </c>
      <c r="M1166" s="21">
        <f>L1166*H1166</f>
        <v/>
      </c>
      <c r="N1166" s="21">
        <f>IFERROR(IF(M1166/K1166&gt;1,K1166,M1166),0)</f>
        <v/>
      </c>
      <c r="O1166" s="36" t="n">
        <v>2325</v>
      </c>
      <c r="P1166" s="21">
        <f>O1166*H1166</f>
        <v/>
      </c>
      <c r="Q1166" s="30">
        <f>IF(MONTH(E1166+1)=MONTH(E1166+6),MONTH(E1166+1),IF(MIN(EOMONTH(E1166+1,0),E1166+6)-(E1166+1)+1&gt;=3,MONTH(E1166+1),MONTH(E1166+6)))</f>
        <v/>
      </c>
      <c r="R1166" s="22">
        <f>IFERROR(K1166/P1166, 0)</f>
        <v/>
      </c>
      <c r="S1166" s="38">
        <f>IFERROR(N1166/P1166,0)</f>
        <v/>
      </c>
      <c r="T1166" s="31">
        <f>IFERROR(IF(N1166&gt;0,(N1166/K1166),MIN(1,M1166/J1166)),0)</f>
        <v/>
      </c>
      <c r="U1166" s="33" t="inlineStr">
        <is>
          <t>Optou-se por não produzir mussarela devido ao baixo estoque de leite. Produção ficou para semana seguinte.</t>
        </is>
      </c>
    </row>
    <row r="1167" hidden="1" s="40">
      <c r="A1167" s="18" t="inlineStr">
        <is>
          <t>Semana 1 - Julho</t>
        </is>
      </c>
      <c r="B1167" s="27">
        <f>YEAR(E1167)</f>
        <v/>
      </c>
      <c r="C1167" s="18">
        <f>INDEX({"Janeiro";"Fevereiro";"Março";"Abril";"Maio";"Junho";"Julho";"Agosto";"Setembro";"Outubro";"Novembro";"Dezembro"},Q1167)</f>
        <v/>
      </c>
      <c r="D1167" s="19" t="n">
        <v>1</v>
      </c>
      <c r="E1167" s="20" t="n">
        <v>46202</v>
      </c>
      <c r="F1167" s="23" t="inlineStr">
        <is>
          <t>Doce de Leite 800g</t>
        </is>
      </c>
      <c r="G1167" s="23" t="inlineStr">
        <is>
          <t>DOCE</t>
        </is>
      </c>
      <c r="H1167" s="26" t="n">
        <v>0.8</v>
      </c>
      <c r="I1167" s="36" t="n">
        <v>21000</v>
      </c>
      <c r="J1167" s="21">
        <f>I1167*H1167</f>
        <v/>
      </c>
      <c r="K1167" s="21">
        <f>IFERROR(IF(J1167/P1167&gt;1,P1167,J1167),0)</f>
        <v/>
      </c>
      <c r="L1167" s="36" t="n">
        <v>23726</v>
      </c>
      <c r="M1167" s="21">
        <f>L1167*H1167</f>
        <v/>
      </c>
      <c r="N1167" s="21">
        <f>IFERROR(IF(M1167/K1167&gt;1,K1167,M1167),0)</f>
        <v/>
      </c>
      <c r="O1167" s="36" t="n">
        <v>21000</v>
      </c>
      <c r="P1167" s="21">
        <f>O1167*H1167</f>
        <v/>
      </c>
      <c r="Q1167" s="30">
        <f>IF(MONTH(E1167+1)=MONTH(E1167+6),MONTH(E1167+1),IF(MIN(EOMONTH(E1167+1,0),E1167+6)-(E1167+1)+1&gt;=3,MONTH(E1167+1),MONTH(E1167+6)))</f>
        <v/>
      </c>
      <c r="R1167" s="22">
        <f>IFERROR(K1167/P1167, 0)</f>
        <v/>
      </c>
      <c r="S1167" s="38">
        <f>IFERROR(N1167/P1167,0)</f>
        <v/>
      </c>
      <c r="T1167" s="31">
        <f>IFERROR(IF(N1167&gt;0,(N1167/K1167),MIN(1,M1167/J1167)),0)</f>
        <v/>
      </c>
      <c r="U1167" s="33" t="inlineStr">
        <is>
          <t>Optou-se por não produzir Iogurte desnatado Triplo zero devido as linhas de Iogurte estarem trabalhando com a capacidade máxima em todos os dias de produção. Em conversa com setor comercial, ficou decidido o adiamento para semana seguinte, pois não causaria ruptura comercial.</t>
        </is>
      </c>
    </row>
    <row r="1168" hidden="1" s="40">
      <c r="A1168" s="18" t="inlineStr">
        <is>
          <t>Semana 1 - Julho</t>
        </is>
      </c>
      <c r="B1168" s="27">
        <f>YEAR(E1168)</f>
        <v/>
      </c>
      <c r="C1168" s="18">
        <f>INDEX({"Janeiro";"Fevereiro";"Março";"Abril";"Maio";"Junho";"Julho";"Agosto";"Setembro";"Outubro";"Novembro";"Dezembro"},Q1168)</f>
        <v/>
      </c>
      <c r="D1168" s="19" t="n">
        <v>1</v>
      </c>
      <c r="E1168" s="20" t="n">
        <v>46202</v>
      </c>
      <c r="F1168" s="28" t="inlineStr">
        <is>
          <t>Doce de Leite c/ Café 5kg</t>
        </is>
      </c>
      <c r="G1168" s="23" t="inlineStr">
        <is>
          <t>DOCE</t>
        </is>
      </c>
      <c r="H1168" s="26" t="n">
        <v>5</v>
      </c>
      <c r="I1168" s="36" t="n">
        <v>0</v>
      </c>
      <c r="J1168" s="21">
        <f>I1168*H1168</f>
        <v/>
      </c>
      <c r="K1168" s="21">
        <f>IFERROR(IF(J1168/P1168&gt;1,P1168,J1168),0)</f>
        <v/>
      </c>
      <c r="L1168" s="36" t="n">
        <v>0</v>
      </c>
      <c r="M1168" s="21">
        <f>L1168*H1168</f>
        <v/>
      </c>
      <c r="N1168" s="21">
        <f>IFERROR(IF(M1168/K1168&gt;1,K1168,M1168),0)</f>
        <v/>
      </c>
      <c r="O1168" s="36" t="n">
        <v>160</v>
      </c>
      <c r="P1168" s="21">
        <f>O1168*H1168</f>
        <v/>
      </c>
      <c r="Q1168" s="30">
        <f>IF(MONTH(E1168+1)=MONTH(E1168+6),MONTH(E1168+1),IF(MIN(EOMONTH(E1168+1,0),E1168+6)-(E1168+1)+1&gt;=3,MONTH(E1168+1),MONTH(E1168+6)))</f>
        <v/>
      </c>
      <c r="R1168" s="22">
        <f>IFERROR(K1168/P1168, 0)</f>
        <v/>
      </c>
      <c r="S1168" s="38">
        <f>IFERROR(N1168/P1168,0)</f>
        <v/>
      </c>
      <c r="T1168" s="31">
        <f>IFERROR(IF(N1168&gt;0,(N1168/K1168),MIN(1,M1168/J1168)),0)</f>
        <v/>
      </c>
      <c r="U1168" s="33" t="inlineStr">
        <is>
          <t>Ruptura comercial: Manteiga 500g e Bag Café 5kg</t>
        </is>
      </c>
    </row>
    <row r="1169" hidden="1" s="40">
      <c r="A1169" s="18" t="inlineStr">
        <is>
          <t>Semana 1 - Julho</t>
        </is>
      </c>
      <c r="B1169" s="27">
        <f>YEAR(E1169)</f>
        <v/>
      </c>
      <c r="C1169" s="18">
        <f>INDEX({"Janeiro";"Fevereiro";"Março";"Abril";"Maio";"Junho";"Julho";"Agosto";"Setembro";"Outubro";"Novembro";"Dezembro"},Q1169)</f>
        <v/>
      </c>
      <c r="D1169" s="19" t="n">
        <v>1</v>
      </c>
      <c r="E1169" s="20" t="n">
        <v>46202</v>
      </c>
      <c r="F1169" s="29" t="inlineStr">
        <is>
          <t>Doce de Leite Cacau 5kg - FOOD</t>
        </is>
      </c>
      <c r="G1169" s="23" t="inlineStr">
        <is>
          <t>DOCE</t>
        </is>
      </c>
      <c r="H1169" s="26" t="n">
        <v>5</v>
      </c>
      <c r="I1169" s="36" t="n">
        <v>0</v>
      </c>
      <c r="J1169" s="21">
        <f>I1169*H1169</f>
        <v/>
      </c>
      <c r="K1169" s="21">
        <f>IFERROR(IF(J1169/P1169&gt;1,P1169,J1169),0)</f>
        <v/>
      </c>
      <c r="L1169" s="36" t="n">
        <v>0</v>
      </c>
      <c r="M1169" s="21">
        <f>L1169*H1169</f>
        <v/>
      </c>
      <c r="N1169" s="21">
        <f>IFERROR(IF(M1169/K1169&gt;1,K1169,M1169),0)</f>
        <v/>
      </c>
      <c r="O1169" s="36" t="n">
        <v>465</v>
      </c>
      <c r="P1169" s="21">
        <f>O1169*H1169</f>
        <v/>
      </c>
      <c r="Q1169" s="30">
        <f>IF(MONTH(E1169+1)=MONTH(E1169+6),MONTH(E1169+1),IF(MIN(EOMONTH(E1169+1,0),E1169+6)-(E1169+1)+1&gt;=3,MONTH(E1169+1),MONTH(E1169+6)))</f>
        <v/>
      </c>
      <c r="R1169" s="22">
        <f>IFERROR(K1169/P1169, 0)</f>
        <v/>
      </c>
      <c r="S1169" s="38">
        <f>IFERROR(N1169/P1169,0)</f>
        <v/>
      </c>
      <c r="T1169" s="31">
        <f>IFERROR(IF(N1169&gt;0,(N1169/K1169),MIN(1,M1169/J1169)),0)</f>
        <v/>
      </c>
      <c r="U1169" s="33" t="n"/>
    </row>
    <row r="1170" hidden="1" s="40">
      <c r="A1170" s="18" t="inlineStr">
        <is>
          <t>Semana 1 - Julho</t>
        </is>
      </c>
      <c r="B1170" s="27">
        <f>YEAR(E1170)</f>
        <v/>
      </c>
      <c r="C1170" s="18">
        <f>INDEX({"Janeiro";"Fevereiro";"Março";"Abril";"Maio";"Junho";"Julho";"Agosto";"Setembro";"Outubro";"Novembro";"Dezembro"},Q1170)</f>
        <v/>
      </c>
      <c r="D1170" s="19" t="n">
        <v>1</v>
      </c>
      <c r="E1170" s="20" t="n">
        <v>46202</v>
      </c>
      <c r="F1170" s="18" t="inlineStr">
        <is>
          <t>Doce de Leite c/ coco 400</t>
        </is>
      </c>
      <c r="G1170" s="18" t="inlineStr">
        <is>
          <t>DOCE</t>
        </is>
      </c>
      <c r="H1170" s="21" t="n">
        <v>0.4</v>
      </c>
      <c r="I1170" s="36" t="n">
        <v>6000</v>
      </c>
      <c r="J1170" s="21">
        <f>I1170*H1170</f>
        <v/>
      </c>
      <c r="K1170" s="21">
        <f>IFERROR(IF(J1170/P1170&gt;1,P1170,J1170),0)</f>
        <v/>
      </c>
      <c r="L1170" s="36" t="n">
        <v>6917</v>
      </c>
      <c r="M1170" s="21">
        <f>L1170*H1170</f>
        <v/>
      </c>
      <c r="N1170" s="21">
        <f>IFERROR(IF(M1170/K1170&gt;1,K1170,M1170),0)</f>
        <v/>
      </c>
      <c r="O1170" s="36" t="n">
        <v>6000</v>
      </c>
      <c r="P1170" s="21">
        <f>O1170*H1170</f>
        <v/>
      </c>
      <c r="Q1170" s="30">
        <f>IF(MONTH(E1170+1)=MONTH(E1170+6),MONTH(E1170+1),IF(MIN(EOMONTH(E1170+1,0),E1170+6)-(E1170+1)+1&gt;=3,MONTH(E1170+1),MONTH(E1170+6)))</f>
        <v/>
      </c>
      <c r="R1170" s="22">
        <f>IFERROR(K1170/P1170, 0)</f>
        <v/>
      </c>
      <c r="S1170" s="38">
        <f>IFERROR(N1170/P1170,0)</f>
        <v/>
      </c>
      <c r="T1170" s="31">
        <f>IFERROR(IF(N1170&gt;0,(N1170/K1170),MIN(1,M1170/J1170)),0)</f>
        <v/>
      </c>
      <c r="U1170" s="33" t="n"/>
    </row>
    <row r="1171" hidden="1" s="40">
      <c r="A1171" s="18" t="inlineStr">
        <is>
          <t>Semana 1 - Julho</t>
        </is>
      </c>
      <c r="B1171" s="27">
        <f>YEAR(E1171)</f>
        <v/>
      </c>
      <c r="C1171" s="18">
        <f>INDEX({"Janeiro";"Fevereiro";"Março";"Abril";"Maio";"Junho";"Julho";"Agosto";"Setembro";"Outubro";"Novembro";"Dezembro"},Q1171)</f>
        <v/>
      </c>
      <c r="D1171" s="19" t="n">
        <v>1</v>
      </c>
      <c r="E1171" s="20" t="n">
        <v>46202</v>
      </c>
      <c r="F1171" s="23" t="inlineStr">
        <is>
          <t>Doce de Leite Zero Açúcar e Lactose 400g</t>
        </is>
      </c>
      <c r="G1171" s="23" t="inlineStr">
        <is>
          <t>DOCE</t>
        </is>
      </c>
      <c r="H1171" s="26" t="n">
        <v>0.4</v>
      </c>
      <c r="I1171" s="36" t="n">
        <v>24000</v>
      </c>
      <c r="J1171" s="21">
        <f>I1171*H1171</f>
        <v/>
      </c>
      <c r="K1171" s="21">
        <f>IFERROR(IF(J1171/P1171&gt;1,P1171,J1171),0)</f>
        <v/>
      </c>
      <c r="L1171" s="36" t="n">
        <v>21674</v>
      </c>
      <c r="M1171" s="21">
        <f>L1171*H1171</f>
        <v/>
      </c>
      <c r="N1171" s="21">
        <f>IFERROR(IF(M1171/K1171&gt;1,K1171,M1171),0)</f>
        <v/>
      </c>
      <c r="O1171" s="36" t="n">
        <v>24000</v>
      </c>
      <c r="P1171" s="21">
        <f>O1171*H1171</f>
        <v/>
      </c>
      <c r="Q1171" s="30">
        <f>IF(MONTH(E1171+1)=MONTH(E1171+6),MONTH(E1171+1),IF(MIN(EOMONTH(E1171+1,0),E1171+6)-(E1171+1)+1&gt;=3,MONTH(E1171+1),MONTH(E1171+6)))</f>
        <v/>
      </c>
      <c r="R1171" s="22">
        <f>IFERROR(K1171/P1171, 0)</f>
        <v/>
      </c>
      <c r="S1171" s="38">
        <f>IFERROR(N1171/P1171,0)</f>
        <v/>
      </c>
      <c r="T1171" s="31">
        <f>IFERROR(IF(N1171&gt;0,(N1171/K1171),MIN(1,M1171/J1171)),0)</f>
        <v/>
      </c>
      <c r="U1171" s="33" t="n"/>
    </row>
    <row r="1172" hidden="1" s="40">
      <c r="A1172" s="18" t="inlineStr">
        <is>
          <t>Semana 1 - Julho</t>
        </is>
      </c>
      <c r="B1172" s="27">
        <f>YEAR(E1172)</f>
        <v/>
      </c>
      <c r="C1172" s="18">
        <f>INDEX({"Janeiro";"Fevereiro";"Março";"Abril";"Maio";"Junho";"Julho";"Agosto";"Setembro";"Outubro";"Novembro";"Dezembro"},Q1172)</f>
        <v/>
      </c>
      <c r="D1172" s="19" t="n">
        <v>1</v>
      </c>
      <c r="E1172" s="20" t="n">
        <v>46202</v>
      </c>
      <c r="F1172" s="18" t="inlineStr">
        <is>
          <t>Iogurte Abacaxi c/ Coco 120g</t>
        </is>
      </c>
      <c r="G1172" s="18" t="inlineStr">
        <is>
          <t>IOGURTE</t>
        </is>
      </c>
      <c r="H1172" s="21" t="n">
        <v>0.12</v>
      </c>
      <c r="I1172" s="36" t="n">
        <v>1800</v>
      </c>
      <c r="J1172" s="21">
        <f>I1172*H1172</f>
        <v/>
      </c>
      <c r="K1172" s="21">
        <f>IFERROR(IF(J1172/P1172&gt;1,P1172,J1172),0)</f>
        <v/>
      </c>
      <c r="L1172" s="36" t="n">
        <v>2115</v>
      </c>
      <c r="M1172" s="21">
        <f>L1172*H1172</f>
        <v/>
      </c>
      <c r="N1172" s="21">
        <f>IFERROR(IF(M1172/K1172&gt;1,K1172,M1172),0)</f>
        <v/>
      </c>
      <c r="O1172" s="36" t="n">
        <v>3000</v>
      </c>
      <c r="P1172" s="21">
        <f>O1172*H1172</f>
        <v/>
      </c>
      <c r="Q1172" s="30">
        <f>IF(MONTH(E1172+1)=MONTH(E1172+6),MONTH(E1172+1),IF(MIN(EOMONTH(E1172+1,0),E1172+6)-(E1172+1)+1&gt;=3,MONTH(E1172+1),MONTH(E1172+6)))</f>
        <v/>
      </c>
      <c r="R1172" s="22">
        <f>IFERROR(K1172/P1172, 0)</f>
        <v/>
      </c>
      <c r="S1172" s="38">
        <f>IFERROR(N1172/P1172,0)</f>
        <v/>
      </c>
      <c r="T1172" s="31">
        <f>IFERROR(IF(N1172&gt;0,(N1172/K1172),MIN(1,M1172/J1172)),0)</f>
        <v/>
      </c>
      <c r="U1172" s="33" t="n"/>
    </row>
    <row r="1173" hidden="1" s="40">
      <c r="A1173" s="18" t="inlineStr">
        <is>
          <t>Semana 1 - Julho</t>
        </is>
      </c>
      <c r="B1173" s="27">
        <f>YEAR(E1173)</f>
        <v/>
      </c>
      <c r="C1173" s="18">
        <f>INDEX({"Janeiro";"Fevereiro";"Março";"Abril";"Maio";"Junho";"Julho";"Agosto";"Setembro";"Outubro";"Novembro";"Dezembro"},Q1173)</f>
        <v/>
      </c>
      <c r="D1173" s="19" t="n">
        <v>1</v>
      </c>
      <c r="E1173" s="20" t="n">
        <v>46202</v>
      </c>
      <c r="F1173" s="23" t="inlineStr">
        <is>
          <t>Iogurte Abacaxi c/ Coco 185g</t>
        </is>
      </c>
      <c r="G1173" s="23" t="inlineStr">
        <is>
          <t>IOGURTE</t>
        </is>
      </c>
      <c r="H1173" s="26" t="n">
        <v>0.185</v>
      </c>
      <c r="I1173" s="36" t="n">
        <v>560</v>
      </c>
      <c r="J1173" s="21">
        <f>I1173*H1173</f>
        <v/>
      </c>
      <c r="K1173" s="21">
        <f>IFERROR(IF(J1173/P1173&gt;1,P1173,J1173),0)</f>
        <v/>
      </c>
      <c r="L1173" s="36" t="n">
        <v>515</v>
      </c>
      <c r="M1173" s="21">
        <f>L1173*H1173</f>
        <v/>
      </c>
      <c r="N1173" s="21">
        <f>IFERROR(IF(M1173/K1173&gt;1,K1173,M1173),0)</f>
        <v/>
      </c>
      <c r="O1173" s="36" t="n">
        <v>560</v>
      </c>
      <c r="P1173" s="21">
        <f>O1173*H1173</f>
        <v/>
      </c>
      <c r="Q1173" s="30">
        <f>IF(MONTH(E1173+1)=MONTH(E1173+6),MONTH(E1173+1),IF(MIN(EOMONTH(E1173+1,0),E1173+6)-(E1173+1)+1&gt;=3,MONTH(E1173+1),MONTH(E1173+6)))</f>
        <v/>
      </c>
      <c r="R1173" s="22">
        <f>IFERROR(K1173/P1173, 0)</f>
        <v/>
      </c>
      <c r="S1173" s="38">
        <f>IFERROR(N1173/P1173,0)</f>
        <v/>
      </c>
      <c r="T1173" s="31">
        <f>IFERROR(IF(N1173&gt;0,(N1173/K1173),MIN(1,M1173/J1173)),0)</f>
        <v/>
      </c>
      <c r="U1173" s="33" t="n"/>
    </row>
    <row r="1174" hidden="1" s="40">
      <c r="A1174" s="18" t="inlineStr">
        <is>
          <t>Semana 1 - Julho</t>
        </is>
      </c>
      <c r="B1174" s="27">
        <f>YEAR(E1174)</f>
        <v/>
      </c>
      <c r="C1174" s="18">
        <f>INDEX({"Janeiro";"Fevereiro";"Março";"Abril";"Maio";"Junho";"Julho";"Agosto";"Setembro";"Outubro";"Novembro";"Dezembro"},Q1174)</f>
        <v/>
      </c>
      <c r="D1174" s="19" t="n">
        <v>1</v>
      </c>
      <c r="E1174" s="20" t="n">
        <v>46202</v>
      </c>
      <c r="F1174" s="18" t="inlineStr">
        <is>
          <t>Iogurte Abacaxi c/ Coco 900g</t>
        </is>
      </c>
      <c r="G1174" s="18" t="inlineStr">
        <is>
          <t>IOGURTE</t>
        </is>
      </c>
      <c r="H1174" s="21" t="n">
        <v>0.9</v>
      </c>
      <c r="I1174" s="36" t="n">
        <v>1400</v>
      </c>
      <c r="J1174" s="21">
        <f>I1174*H1174</f>
        <v/>
      </c>
      <c r="K1174" s="21">
        <f>IFERROR(IF(J1174/P1174&gt;1,P1174,J1174),0)</f>
        <v/>
      </c>
      <c r="L1174" s="36" t="n">
        <v>1125</v>
      </c>
      <c r="M1174" s="21">
        <f>L1174*H1174</f>
        <v/>
      </c>
      <c r="N1174" s="21">
        <f>IFERROR(IF(M1174/K1174&gt;1,K1174,M1174),0)</f>
        <v/>
      </c>
      <c r="O1174" s="36" t="n">
        <v>1800</v>
      </c>
      <c r="P1174" s="21">
        <f>O1174*H1174</f>
        <v/>
      </c>
      <c r="Q1174" s="30">
        <f>IF(MONTH(E1174+1)=MONTH(E1174+6),MONTH(E1174+1),IF(MIN(EOMONTH(E1174+1,0),E1174+6)-(E1174+1)+1&gt;=3,MONTH(E1174+1),MONTH(E1174+6)))</f>
        <v/>
      </c>
      <c r="R1174" s="22">
        <f>IFERROR(K1174/P1174, 0)</f>
        <v/>
      </c>
      <c r="S1174" s="38">
        <f>IFERROR(N1174/P1174,0)</f>
        <v/>
      </c>
      <c r="T1174" s="31">
        <f>IFERROR(IF(N1174&gt;0,(N1174/K1174),MIN(1,M1174/J1174)),0)</f>
        <v/>
      </c>
      <c r="U1174" s="33" t="n"/>
    </row>
    <row r="1175" hidden="1" s="40">
      <c r="A1175" s="18" t="inlineStr">
        <is>
          <t>Semana 1 - Julho</t>
        </is>
      </c>
      <c r="B1175" s="27">
        <f>YEAR(E1175)</f>
        <v/>
      </c>
      <c r="C1175" s="18">
        <f>INDEX({"Janeiro";"Fevereiro";"Março";"Abril";"Maio";"Junho";"Julho";"Agosto";"Setembro";"Outubro";"Novembro";"Dezembro"},Q1175)</f>
        <v/>
      </c>
      <c r="D1175" s="19" t="n">
        <v>1</v>
      </c>
      <c r="E1175" s="20" t="n">
        <v>46202</v>
      </c>
      <c r="F1175" s="18" t="inlineStr">
        <is>
          <t>Iogurte Coco 120g</t>
        </is>
      </c>
      <c r="G1175" s="18" t="inlineStr">
        <is>
          <t>IOGURTE</t>
        </is>
      </c>
      <c r="H1175" s="21" t="n">
        <v>0.12</v>
      </c>
      <c r="I1175" s="36" t="n">
        <v>5000</v>
      </c>
      <c r="J1175" s="21">
        <f>I1175*H1175</f>
        <v/>
      </c>
      <c r="K1175" s="21">
        <f>IFERROR(IF(J1175/P1175&gt;1,P1175,J1175),0)</f>
        <v/>
      </c>
      <c r="L1175" s="36" t="n">
        <v>4920</v>
      </c>
      <c r="M1175" s="21">
        <f>L1175*H1175</f>
        <v/>
      </c>
      <c r="N1175" s="21">
        <f>IFERROR(IF(M1175/K1175&gt;1,K1175,M1175),0)</f>
        <v/>
      </c>
      <c r="O1175" s="36" t="n">
        <v>5000</v>
      </c>
      <c r="P1175" s="21">
        <f>O1175*H1175</f>
        <v/>
      </c>
      <c r="Q1175" s="30">
        <f>IF(MONTH(E1175+1)=MONTH(E1175+6),MONTH(E1175+1),IF(MIN(EOMONTH(E1175+1,0),E1175+6)-(E1175+1)+1&gt;=3,MONTH(E1175+1),MONTH(E1175+6)))</f>
        <v/>
      </c>
      <c r="R1175" s="22">
        <f>IFERROR(K1175/P1175, 0)</f>
        <v/>
      </c>
      <c r="S1175" s="38">
        <f>IFERROR(N1175/P1175,0)</f>
        <v/>
      </c>
      <c r="T1175" s="31">
        <f>IFERROR(IF(N1175&gt;0,(N1175/K1175),MIN(1,M1175/J1175)),0)</f>
        <v/>
      </c>
      <c r="U1175" s="33" t="n"/>
    </row>
    <row r="1176" hidden="1" s="40">
      <c r="A1176" s="18" t="inlineStr">
        <is>
          <t>Semana 1 - Julho</t>
        </is>
      </c>
      <c r="B1176" s="27">
        <f>YEAR(E1176)</f>
        <v/>
      </c>
      <c r="C1176" s="18">
        <f>INDEX({"Janeiro";"Fevereiro";"Março";"Abril";"Maio";"Junho";"Julho";"Agosto";"Setembro";"Outubro";"Novembro";"Dezembro"},Q1176)</f>
        <v/>
      </c>
      <c r="D1176" s="19" t="n">
        <v>1</v>
      </c>
      <c r="E1176" s="20" t="n">
        <v>46202</v>
      </c>
      <c r="F1176" s="23" t="inlineStr">
        <is>
          <t>Iogurte Coco 185g</t>
        </is>
      </c>
      <c r="G1176" s="23" t="inlineStr">
        <is>
          <t>IOGURTE</t>
        </is>
      </c>
      <c r="H1176" s="26" t="n">
        <v>0.185</v>
      </c>
      <c r="I1176" s="36" t="n">
        <v>560</v>
      </c>
      <c r="J1176" s="21">
        <f>I1176*H1176</f>
        <v/>
      </c>
      <c r="K1176" s="21">
        <f>IFERROR(IF(J1176/P1176&gt;1,P1176,J1176),0)</f>
        <v/>
      </c>
      <c r="L1176" s="36" t="n">
        <v>512</v>
      </c>
      <c r="M1176" s="21">
        <f>L1176*H1176</f>
        <v/>
      </c>
      <c r="N1176" s="21">
        <f>IFERROR(IF(M1176/K1176&gt;1,K1176,M1176),0)</f>
        <v/>
      </c>
      <c r="O1176" s="36" t="n">
        <v>560</v>
      </c>
      <c r="P1176" s="21">
        <f>O1176*H1176</f>
        <v/>
      </c>
      <c r="Q1176" s="30">
        <f>IF(MONTH(E1176+1)=MONTH(E1176+6),MONTH(E1176+1),IF(MIN(EOMONTH(E1176+1,0),E1176+6)-(E1176+1)+1&gt;=3,MONTH(E1176+1),MONTH(E1176+6)))</f>
        <v/>
      </c>
      <c r="R1176" s="22">
        <f>IFERROR(K1176/P1176, 0)</f>
        <v/>
      </c>
      <c r="S1176" s="38">
        <f>IFERROR(N1176/P1176,0)</f>
        <v/>
      </c>
      <c r="T1176" s="31">
        <f>IFERROR(IF(N1176&gt;0,(N1176/K1176),MIN(1,M1176/J1176)),0)</f>
        <v/>
      </c>
      <c r="U1176" s="33" t="n"/>
    </row>
    <row r="1177" hidden="1" s="40">
      <c r="A1177" s="18" t="inlineStr">
        <is>
          <t>Semana 1 - Julho</t>
        </is>
      </c>
      <c r="B1177" s="27">
        <f>YEAR(E1177)</f>
        <v/>
      </c>
      <c r="C1177" s="18">
        <f>INDEX({"Janeiro";"Fevereiro";"Março";"Abril";"Maio";"Junho";"Julho";"Agosto";"Setembro";"Outubro";"Novembro";"Dezembro"},Q1177)</f>
        <v/>
      </c>
      <c r="D1177" s="19" t="n">
        <v>1</v>
      </c>
      <c r="E1177" s="20" t="n">
        <v>46202</v>
      </c>
      <c r="F1177" s="18" t="inlineStr">
        <is>
          <t>Iogurte Coco 900g</t>
        </is>
      </c>
      <c r="G1177" s="18" t="inlineStr">
        <is>
          <t>IOGURTE</t>
        </is>
      </c>
      <c r="H1177" s="21" t="n">
        <v>0.9</v>
      </c>
      <c r="I1177" s="36" t="n">
        <v>900</v>
      </c>
      <c r="J1177" s="21">
        <f>I1177*H1177</f>
        <v/>
      </c>
      <c r="K1177" s="21">
        <f>IFERROR(IF(J1177/P1177&gt;1,P1177,J1177),0)</f>
        <v/>
      </c>
      <c r="L1177" s="36" t="n">
        <v>758</v>
      </c>
      <c r="M1177" s="21">
        <f>L1177*H1177</f>
        <v/>
      </c>
      <c r="N1177" s="21">
        <f>IFERROR(IF(M1177/K1177&gt;1,K1177,M1177),0)</f>
        <v/>
      </c>
      <c r="O1177" s="36" t="n">
        <v>1800</v>
      </c>
      <c r="P1177" s="21">
        <f>O1177*H1177</f>
        <v/>
      </c>
      <c r="Q1177" s="30">
        <f>IF(MONTH(E1177+1)=MONTH(E1177+6),MONTH(E1177+1),IF(MIN(EOMONTH(E1177+1,0),E1177+6)-(E1177+1)+1&gt;=3,MONTH(E1177+1),MONTH(E1177+6)))</f>
        <v/>
      </c>
      <c r="R1177" s="22">
        <f>IFERROR(K1177/P1177, 0)</f>
        <v/>
      </c>
      <c r="S1177" s="38">
        <f>IFERROR(N1177/P1177,0)</f>
        <v/>
      </c>
      <c r="T1177" s="31">
        <f>IFERROR(IF(N1177&gt;0,(N1177/K1177),MIN(1,M1177/J1177)),0)</f>
        <v/>
      </c>
      <c r="U1177" s="33" t="n"/>
    </row>
    <row r="1178" hidden="1" s="40">
      <c r="A1178" s="18" t="inlineStr">
        <is>
          <t>Semana 1 - Julho</t>
        </is>
      </c>
      <c r="B1178" s="27">
        <f>YEAR(E1178)</f>
        <v/>
      </c>
      <c r="C1178" s="18">
        <f>INDEX({"Janeiro";"Fevereiro";"Março";"Abril";"Maio";"Junho";"Julho";"Agosto";"Setembro";"Outubro";"Novembro";"Dezembro"},Q1178)</f>
        <v/>
      </c>
      <c r="D1178" s="19" t="n">
        <v>1</v>
      </c>
      <c r="E1178" s="20" t="n">
        <v>46202</v>
      </c>
      <c r="F1178" s="23" t="inlineStr">
        <is>
          <t>Iogurte Grego Frutas vermelhas 120g</t>
        </is>
      </c>
      <c r="G1178" s="23" t="inlineStr">
        <is>
          <t>IOGURTE</t>
        </is>
      </c>
      <c r="H1178" s="26" t="n">
        <v>0.17</v>
      </c>
      <c r="I1178" s="36" t="n">
        <v>1400</v>
      </c>
      <c r="J1178" s="21">
        <f>I1178*H1178</f>
        <v/>
      </c>
      <c r="K1178" s="21">
        <f>IFERROR(IF(J1178/P1178&gt;1,P1178,J1178),0)</f>
        <v/>
      </c>
      <c r="L1178" s="36" t="n">
        <v>1319</v>
      </c>
      <c r="M1178" s="21">
        <f>L1178*H1178</f>
        <v/>
      </c>
      <c r="N1178" s="21">
        <f>IFERROR(IF(M1178/K1178&gt;1,K1178,M1178),0)</f>
        <v/>
      </c>
      <c r="O1178" s="36" t="n">
        <v>1400</v>
      </c>
      <c r="P1178" s="21">
        <f>O1178*H1178</f>
        <v/>
      </c>
      <c r="Q1178" s="30">
        <f>IF(MONTH(E1178+1)=MONTH(E1178+6),MONTH(E1178+1),IF(MIN(EOMONTH(E1178+1,0),E1178+6)-(E1178+1)+1&gt;=3,MONTH(E1178+1),MONTH(E1178+6)))</f>
        <v/>
      </c>
      <c r="R1178" s="22">
        <f>IFERROR(K1178/P1178, 0)</f>
        <v/>
      </c>
      <c r="S1178" s="38">
        <f>IFERROR(N1178/P1178,0)</f>
        <v/>
      </c>
      <c r="T1178" s="31">
        <f>IFERROR(IF(N1178&gt;0,(N1178/K1178),MIN(1,M1178/J1178)),0)</f>
        <v/>
      </c>
      <c r="U1178" s="33" t="n"/>
    </row>
    <row r="1179" hidden="1" s="40">
      <c r="A1179" s="18" t="inlineStr">
        <is>
          <t>Semana 1 - Julho</t>
        </is>
      </c>
      <c r="B1179" s="27">
        <f>YEAR(E1179)</f>
        <v/>
      </c>
      <c r="C1179" s="18">
        <f>INDEX({"Janeiro";"Fevereiro";"Março";"Abril";"Maio";"Junho";"Julho";"Agosto";"Setembro";"Outubro";"Novembro";"Dezembro"},Q1179)</f>
        <v/>
      </c>
      <c r="D1179" s="19" t="n">
        <v>1</v>
      </c>
      <c r="E1179" s="20" t="n">
        <v>46202</v>
      </c>
      <c r="F1179" s="23" t="inlineStr">
        <is>
          <t>Iogurte Morango 120g</t>
        </is>
      </c>
      <c r="G1179" s="23" t="inlineStr">
        <is>
          <t>IOGURTE</t>
        </is>
      </c>
      <c r="H1179" s="26" t="n">
        <v>0.12</v>
      </c>
      <c r="I1179" s="36" t="n">
        <v>18000</v>
      </c>
      <c r="J1179" s="21">
        <f>I1179*H1179</f>
        <v/>
      </c>
      <c r="K1179" s="21">
        <f>IFERROR(IF(J1179/P1179&gt;1,P1179,J1179),0)</f>
        <v/>
      </c>
      <c r="L1179" s="36" t="n">
        <v>16682</v>
      </c>
      <c r="M1179" s="21">
        <f>L1179*H1179</f>
        <v/>
      </c>
      <c r="N1179" s="21">
        <f>IFERROR(IF(M1179/K1179&gt;1,K1179,M1179),0)</f>
        <v/>
      </c>
      <c r="O1179" s="36" t="n">
        <v>18000</v>
      </c>
      <c r="P1179" s="21">
        <f>O1179*H1179</f>
        <v/>
      </c>
      <c r="Q1179" s="30">
        <f>IF(MONTH(E1179+1)=MONTH(E1179+6),MONTH(E1179+1),IF(MIN(EOMONTH(E1179+1,0),E1179+6)-(E1179+1)+1&gt;=3,MONTH(E1179+1),MONTH(E1179+6)))</f>
        <v/>
      </c>
      <c r="R1179" s="22">
        <f>IFERROR(K1179/P1179, 0)</f>
        <v/>
      </c>
      <c r="S1179" s="38">
        <f>IFERROR(N1179/P1179,0)</f>
        <v/>
      </c>
      <c r="T1179" s="31">
        <f>IFERROR(IF(N1179&gt;0,(N1179/K1179),MIN(1,M1179/J1179)),0)</f>
        <v/>
      </c>
      <c r="U1179" s="33" t="n"/>
    </row>
    <row r="1180" hidden="1" s="40">
      <c r="A1180" s="18" t="inlineStr">
        <is>
          <t>Semana 1 - Julho</t>
        </is>
      </c>
      <c r="B1180" s="27">
        <f>YEAR(E1180)</f>
        <v/>
      </c>
      <c r="C1180" s="18">
        <f>INDEX({"Janeiro";"Fevereiro";"Março";"Abril";"Maio";"Junho";"Julho";"Agosto";"Setembro";"Outubro";"Novembro";"Dezembro"},Q1180)</f>
        <v/>
      </c>
      <c r="D1180" s="19" t="n">
        <v>1</v>
      </c>
      <c r="E1180" s="20" t="n">
        <v>46202</v>
      </c>
      <c r="F1180" s="18" t="inlineStr">
        <is>
          <t>Iogurte Morango 185g</t>
        </is>
      </c>
      <c r="G1180" s="18" t="inlineStr">
        <is>
          <t>IOGURTE</t>
        </is>
      </c>
      <c r="H1180" s="21" t="n">
        <v>0.185</v>
      </c>
      <c r="I1180" s="36" t="n">
        <v>1720</v>
      </c>
      <c r="J1180" s="21">
        <f>I1180*H1180</f>
        <v/>
      </c>
      <c r="K1180" s="21">
        <f>IFERROR(IF(J1180/P1180&gt;1,P1180,J1180),0)</f>
        <v/>
      </c>
      <c r="L1180" s="36" t="n">
        <v>1716</v>
      </c>
      <c r="M1180" s="21">
        <f>L1180*H1180</f>
        <v/>
      </c>
      <c r="N1180" s="21">
        <f>IFERROR(IF(M1180/K1180&gt;1,K1180,M1180),0)</f>
        <v/>
      </c>
      <c r="O1180" s="36" t="n">
        <v>1720</v>
      </c>
      <c r="P1180" s="21">
        <f>O1180*H1180</f>
        <v/>
      </c>
      <c r="Q1180" s="30">
        <f>IF(MONTH(E1180+1)=MONTH(E1180+6),MONTH(E1180+1),IF(MIN(EOMONTH(E1180+1,0),E1180+6)-(E1180+1)+1&gt;=3,MONTH(E1180+1),MONTH(E1180+6)))</f>
        <v/>
      </c>
      <c r="R1180" s="22">
        <f>IFERROR(K1180/P1180, 0)</f>
        <v/>
      </c>
      <c r="S1180" s="38">
        <f>IFERROR(N1180/P1180,0)</f>
        <v/>
      </c>
      <c r="T1180" s="31">
        <f>IFERROR(IF(N1180&gt;0,(N1180/K1180),MIN(1,M1180/J1180)),0)</f>
        <v/>
      </c>
      <c r="U1180" s="33" t="n"/>
    </row>
    <row r="1181" hidden="1" s="40">
      <c r="A1181" s="18" t="inlineStr">
        <is>
          <t>Semana 1 - Julho</t>
        </is>
      </c>
      <c r="B1181" s="27">
        <f>YEAR(E1181)</f>
        <v/>
      </c>
      <c r="C1181" s="18">
        <f>INDEX({"Janeiro";"Fevereiro";"Março";"Abril";"Maio";"Junho";"Julho";"Agosto";"Setembro";"Outubro";"Novembro";"Dezembro"},Q1181)</f>
        <v/>
      </c>
      <c r="D1181" s="19" t="n">
        <v>1</v>
      </c>
      <c r="E1181" s="20" t="n">
        <v>46202</v>
      </c>
      <c r="F1181" s="23" t="inlineStr">
        <is>
          <t>Iogurte Morango 900G</t>
        </is>
      </c>
      <c r="G1181" s="23" t="inlineStr">
        <is>
          <t>IOGURTE</t>
        </is>
      </c>
      <c r="H1181" s="26" t="n">
        <v>0.9</v>
      </c>
      <c r="I1181" s="36" t="n">
        <v>5200</v>
      </c>
      <c r="J1181" s="21">
        <f>I1181*H1181</f>
        <v/>
      </c>
      <c r="K1181" s="21">
        <f>IFERROR(IF(J1181/P1181&gt;1,P1181,J1181),0)</f>
        <v/>
      </c>
      <c r="L1181" s="36" t="n">
        <v>5978</v>
      </c>
      <c r="M1181" s="21">
        <f>L1181*H1181</f>
        <v/>
      </c>
      <c r="N1181" s="21">
        <f>IFERROR(IF(M1181/K1181&gt;1,K1181,M1181),0)</f>
        <v/>
      </c>
      <c r="O1181" s="36" t="n">
        <v>5200</v>
      </c>
      <c r="P1181" s="21">
        <f>O1181*H1181</f>
        <v/>
      </c>
      <c r="Q1181" s="30">
        <f>IF(MONTH(E1181+1)=MONTH(E1181+6),MONTH(E1181+1),IF(MIN(EOMONTH(E1181+1,0),E1181+6)-(E1181+1)+1&gt;=3,MONTH(E1181+1),MONTH(E1181+6)))</f>
        <v/>
      </c>
      <c r="R1181" s="22">
        <f>IFERROR(K1181/P1181, 0)</f>
        <v/>
      </c>
      <c r="S1181" s="38">
        <f>IFERROR(N1181/P1181,0)</f>
        <v/>
      </c>
      <c r="T1181" s="31">
        <f>IFERROR(IF(N1181&gt;0,(N1181/K1181),MIN(1,M1181/J1181)),0)</f>
        <v/>
      </c>
      <c r="U1181" s="33" t="n"/>
    </row>
    <row r="1182" hidden="1" s="40">
      <c r="A1182" s="18" t="inlineStr">
        <is>
          <t>Semana 1 - Julho</t>
        </is>
      </c>
      <c r="B1182" s="27">
        <f>YEAR(E1182)</f>
        <v/>
      </c>
      <c r="C1182" s="18">
        <f>INDEX({"Janeiro";"Fevereiro";"Março";"Abril";"Maio";"Junho";"Julho";"Agosto";"Setembro";"Outubro";"Novembro";"Dezembro"},Q1182)</f>
        <v/>
      </c>
      <c r="D1182" s="19" t="n">
        <v>1</v>
      </c>
      <c r="E1182" s="20" t="n">
        <v>46202</v>
      </c>
      <c r="F1182" s="18" t="inlineStr">
        <is>
          <t>Iogurte Natural Integral 170g</t>
        </is>
      </c>
      <c r="G1182" s="18" t="inlineStr">
        <is>
          <t>IOGURTE</t>
        </is>
      </c>
      <c r="H1182" s="21" t="n">
        <v>0.17</v>
      </c>
      <c r="I1182" s="36" t="n">
        <v>3820</v>
      </c>
      <c r="J1182" s="21">
        <f>I1182*H1182</f>
        <v/>
      </c>
      <c r="K1182" s="21">
        <f>IFERROR(IF(J1182/P1182&gt;1,P1182,J1182),0)</f>
        <v/>
      </c>
      <c r="L1182" s="36" t="n">
        <v>3574</v>
      </c>
      <c r="M1182" s="21">
        <f>L1182*H1182</f>
        <v/>
      </c>
      <c r="N1182" s="21">
        <f>IFERROR(IF(M1182/K1182&gt;1,K1182,M1182),0)</f>
        <v/>
      </c>
      <c r="O1182" s="36" t="n">
        <v>3800</v>
      </c>
      <c r="P1182" s="21">
        <f>O1182*H1182</f>
        <v/>
      </c>
      <c r="Q1182" s="30">
        <f>IF(MONTH(E1182+1)=MONTH(E1182+6),MONTH(E1182+1),IF(MIN(EOMONTH(E1182+1,0),E1182+6)-(E1182+1)+1&gt;=3,MONTH(E1182+1),MONTH(E1182+6)))</f>
        <v/>
      </c>
      <c r="R1182" s="22">
        <f>IFERROR(K1182/P1182, 0)</f>
        <v/>
      </c>
      <c r="S1182" s="38">
        <f>IFERROR(N1182/P1182,0)</f>
        <v/>
      </c>
      <c r="T1182" s="31">
        <f>IFERROR(IF(N1182&gt;0,(N1182/K1182),MIN(1,M1182/J1182)),0)</f>
        <v/>
      </c>
      <c r="U1182" s="33" t="n"/>
    </row>
    <row r="1183" hidden="1" s="40">
      <c r="A1183" s="18" t="inlineStr">
        <is>
          <t>Semana 1 - Julho</t>
        </is>
      </c>
      <c r="B1183" s="27">
        <f>YEAR(E1183)</f>
        <v/>
      </c>
      <c r="C1183" s="18">
        <f>INDEX({"Janeiro";"Fevereiro";"Março";"Abril";"Maio";"Junho";"Julho";"Agosto";"Setembro";"Outubro";"Novembro";"Dezembro"},Q1183)</f>
        <v/>
      </c>
      <c r="D1183" s="19" t="n">
        <v>1</v>
      </c>
      <c r="E1183" s="20" t="n">
        <v>46202</v>
      </c>
      <c r="F1183" s="18" t="inlineStr">
        <is>
          <t>Iogurte Natural Triplo Zero 170g</t>
        </is>
      </c>
      <c r="G1183" s="18" t="inlineStr">
        <is>
          <t>IOGURTE</t>
        </is>
      </c>
      <c r="H1183" s="21" t="n">
        <v>0.17</v>
      </c>
      <c r="I1183" s="36" t="n">
        <v>0</v>
      </c>
      <c r="J1183" s="21">
        <f>I1183*H1183</f>
        <v/>
      </c>
      <c r="K1183" s="21">
        <f>IFERROR(IF(J1183/P1183&gt;1,P1183,J1183),0)</f>
        <v/>
      </c>
      <c r="L1183" s="36" t="n">
        <v>0</v>
      </c>
      <c r="M1183" s="21">
        <f>L1183*H1183</f>
        <v/>
      </c>
      <c r="N1183" s="21">
        <f>IFERROR(IF(M1183/K1183&gt;1,K1183,M1183),0)</f>
        <v/>
      </c>
      <c r="O1183" s="36" t="n">
        <v>3800</v>
      </c>
      <c r="P1183" s="21">
        <f>O1183*H1183</f>
        <v/>
      </c>
      <c r="Q1183" s="30">
        <f>IF(MONTH(E1183+1)=MONTH(E1183+6),MONTH(E1183+1),IF(MIN(EOMONTH(E1183+1,0),E1183+6)-(E1183+1)+1&gt;=3,MONTH(E1183+1),MONTH(E1183+6)))</f>
        <v/>
      </c>
      <c r="R1183" s="22">
        <f>IFERROR(K1183/P1183, 0)</f>
        <v/>
      </c>
      <c r="S1183" s="38">
        <f>IFERROR(N1183/P1183,0)</f>
        <v/>
      </c>
      <c r="T1183" s="31">
        <f>IFERROR(IF(N1183&gt;0,(N1183/K1183),MIN(1,M1183/J1183)),0)</f>
        <v/>
      </c>
      <c r="U1183" s="33" t="n"/>
    </row>
    <row r="1184" hidden="1" s="40">
      <c r="A1184" s="18" t="inlineStr">
        <is>
          <t>Semana 1 - Julho</t>
        </is>
      </c>
      <c r="B1184" s="27">
        <f>YEAR(E1184)</f>
        <v/>
      </c>
      <c r="C1184" s="18">
        <f>INDEX({"Janeiro";"Fevereiro";"Março";"Abril";"Maio";"Junho";"Julho";"Agosto";"Setembro";"Outubro";"Novembro";"Dezembro"},Q1184)</f>
        <v/>
      </c>
      <c r="D1184" s="19" t="n">
        <v>1</v>
      </c>
      <c r="E1184" s="20" t="n">
        <v>46202</v>
      </c>
      <c r="F1184" s="23" t="inlineStr">
        <is>
          <t>Iogurte Salada 120g</t>
        </is>
      </c>
      <c r="G1184" s="23" t="inlineStr">
        <is>
          <t>IOGURTE</t>
        </is>
      </c>
      <c r="H1184" s="26" t="n">
        <v>0.12</v>
      </c>
      <c r="I1184" s="36" t="n">
        <v>2000</v>
      </c>
      <c r="J1184" s="21">
        <f>I1184*H1184</f>
        <v/>
      </c>
      <c r="K1184" s="21">
        <f>IFERROR(IF(J1184/P1184&gt;1,P1184,J1184),0)</f>
        <v/>
      </c>
      <c r="L1184" s="36" t="n">
        <v>2646</v>
      </c>
      <c r="M1184" s="21">
        <f>L1184*H1184</f>
        <v/>
      </c>
      <c r="N1184" s="21">
        <f>IFERROR(IF(M1184/K1184&gt;1,K1184,M1184),0)</f>
        <v/>
      </c>
      <c r="O1184" s="36" t="n">
        <v>2000</v>
      </c>
      <c r="P1184" s="21">
        <f>O1184*H1184</f>
        <v/>
      </c>
      <c r="Q1184" s="30">
        <f>IF(MONTH(E1184+1)=MONTH(E1184+6),MONTH(E1184+1),IF(MIN(EOMONTH(E1184+1,0),E1184+6)-(E1184+1)+1&gt;=3,MONTH(E1184+1),MONTH(E1184+6)))</f>
        <v/>
      </c>
      <c r="R1184" s="22">
        <f>IFERROR(K1184/P1184, 0)</f>
        <v/>
      </c>
      <c r="S1184" s="38">
        <f>IFERROR(N1184/P1184,0)</f>
        <v/>
      </c>
      <c r="T1184" s="31">
        <f>IFERROR(IF(N1184&gt;0,(N1184/K1184),MIN(1,M1184/J1184)),0)</f>
        <v/>
      </c>
      <c r="U1184" s="33" t="n"/>
    </row>
    <row r="1185" hidden="1" s="40">
      <c r="A1185" s="18" t="inlineStr">
        <is>
          <t>Semana 1 - Julho</t>
        </is>
      </c>
      <c r="B1185" s="27">
        <f>YEAR(E1185)</f>
        <v/>
      </c>
      <c r="C1185" s="18">
        <f>INDEX({"Janeiro";"Fevereiro";"Março";"Abril";"Maio";"Junho";"Julho";"Agosto";"Setembro";"Outubro";"Novembro";"Dezembro"},Q1185)</f>
        <v/>
      </c>
      <c r="D1185" s="19" t="n">
        <v>1</v>
      </c>
      <c r="E1185" s="20" t="n">
        <v>46202</v>
      </c>
      <c r="F1185" s="18" t="inlineStr">
        <is>
          <t>Iogurte Salada 185g</t>
        </is>
      </c>
      <c r="G1185" s="18" t="inlineStr">
        <is>
          <t>IOGURTE</t>
        </is>
      </c>
      <c r="H1185" s="21" t="n">
        <v>0.185</v>
      </c>
      <c r="I1185" s="36" t="n">
        <v>780</v>
      </c>
      <c r="J1185" s="21">
        <f>I1185*H1185</f>
        <v/>
      </c>
      <c r="K1185" s="21">
        <f>IFERROR(IF(J1185/P1185&gt;1,P1185,J1185),0)</f>
        <v/>
      </c>
      <c r="L1185" s="36" t="n">
        <v>749</v>
      </c>
      <c r="M1185" s="21">
        <f>L1185*H1185</f>
        <v/>
      </c>
      <c r="N1185" s="21">
        <f>IFERROR(IF(M1185/K1185&gt;1,K1185,M1185),0)</f>
        <v/>
      </c>
      <c r="O1185" s="36" t="n">
        <v>780</v>
      </c>
      <c r="P1185" s="21">
        <f>O1185*H1185</f>
        <v/>
      </c>
      <c r="Q1185" s="30">
        <f>IF(MONTH(E1185+1)=MONTH(E1185+6),MONTH(E1185+1),IF(MIN(EOMONTH(E1185+1,0),E1185+6)-(E1185+1)+1&gt;=3,MONTH(E1185+1),MONTH(E1185+6)))</f>
        <v/>
      </c>
      <c r="R1185" s="22">
        <f>IFERROR(K1185/P1185, 0)</f>
        <v/>
      </c>
      <c r="S1185" s="38">
        <f>IFERROR(N1185/P1185,0)</f>
        <v/>
      </c>
      <c r="T1185" s="31">
        <f>IFERROR(IF(N1185&gt;0,(N1185/K1185),MIN(1,M1185/J1185)),0)</f>
        <v/>
      </c>
      <c r="U1185" s="33" t="n"/>
    </row>
    <row r="1186" hidden="1" s="40">
      <c r="A1186" s="18" t="inlineStr">
        <is>
          <t>Semana 1 - Julho</t>
        </is>
      </c>
      <c r="B1186" s="27">
        <f>YEAR(E1186)</f>
        <v/>
      </c>
      <c r="C1186" s="18">
        <f>INDEX({"Janeiro";"Fevereiro";"Março";"Abril";"Maio";"Junho";"Julho";"Agosto";"Setembro";"Outubro";"Novembro";"Dezembro"},Q1186)</f>
        <v/>
      </c>
      <c r="D1186" s="19" t="n">
        <v>1</v>
      </c>
      <c r="E1186" s="20" t="n">
        <v>46202</v>
      </c>
      <c r="F1186" s="23" t="inlineStr">
        <is>
          <t>Iogurte Salada 900g</t>
        </is>
      </c>
      <c r="G1186" s="23" t="inlineStr">
        <is>
          <t>IOGURTE</t>
        </is>
      </c>
      <c r="H1186" s="26" t="n">
        <v>0.9</v>
      </c>
      <c r="I1186" s="36" t="n">
        <v>1200</v>
      </c>
      <c r="J1186" s="21">
        <f>I1186*H1186</f>
        <v/>
      </c>
      <c r="K1186" s="21">
        <f>IFERROR(IF(J1186/P1186&gt;1,P1186,J1186),0)</f>
        <v/>
      </c>
      <c r="L1186" s="36" t="n">
        <v>1021</v>
      </c>
      <c r="M1186" s="21">
        <f>L1186*H1186</f>
        <v/>
      </c>
      <c r="N1186" s="21">
        <f>IFERROR(IF(M1186/K1186&gt;1,K1186,M1186),0)</f>
        <v/>
      </c>
      <c r="O1186" s="36" t="n">
        <v>1200</v>
      </c>
      <c r="P1186" s="21">
        <f>O1186*H1186</f>
        <v/>
      </c>
      <c r="Q1186" s="30">
        <f>IF(MONTH(E1186+1)=MONTH(E1186+6),MONTH(E1186+1),IF(MIN(EOMONTH(E1186+1,0),E1186+6)-(E1186+1)+1&gt;=3,MONTH(E1186+1),MONTH(E1186+6)))</f>
        <v/>
      </c>
      <c r="R1186" s="22">
        <f>IFERROR(K1186/P1186, 0)</f>
        <v/>
      </c>
      <c r="S1186" s="38">
        <f>IFERROR(N1186/P1186,0)</f>
        <v/>
      </c>
      <c r="T1186" s="31">
        <f>IFERROR(IF(N1186&gt;0,(N1186/K1186),MIN(1,M1186/J1186)),0)</f>
        <v/>
      </c>
      <c r="U1186" s="33" t="n"/>
    </row>
    <row r="1187" hidden="1" s="40">
      <c r="A1187" s="18" t="inlineStr">
        <is>
          <t>Semana 1 - Julho</t>
        </is>
      </c>
      <c r="B1187" s="27">
        <f>YEAR(E1187)</f>
        <v/>
      </c>
      <c r="C1187" s="18">
        <f>INDEX({"Janeiro";"Fevereiro";"Março";"Abril";"Maio";"Junho";"Julho";"Agosto";"Setembro";"Outubro";"Novembro";"Dezembro"},Q1187)</f>
        <v/>
      </c>
      <c r="D1187" s="19" t="n">
        <v>1</v>
      </c>
      <c r="E1187" s="20" t="n">
        <v>46202</v>
      </c>
      <c r="F1187" s="18" t="inlineStr">
        <is>
          <t>Iogurte Vida Leve Ameixa c/ Grãos 180g</t>
        </is>
      </c>
      <c r="G1187" s="18" t="inlineStr">
        <is>
          <t>IOGURTE</t>
        </is>
      </c>
      <c r="H1187" s="21" t="n">
        <v>0.18</v>
      </c>
      <c r="I1187" s="36" t="n">
        <v>900</v>
      </c>
      <c r="J1187" s="21">
        <f>I1187*H1187</f>
        <v/>
      </c>
      <c r="K1187" s="21">
        <f>IFERROR(IF(J1187/P1187&gt;1,P1187,J1187),0)</f>
        <v/>
      </c>
      <c r="L1187" s="36" t="n">
        <v>1041</v>
      </c>
      <c r="M1187" s="21">
        <f>L1187*H1187</f>
        <v/>
      </c>
      <c r="N1187" s="21">
        <f>IFERROR(IF(M1187/K1187&gt;1,K1187,M1187),0)</f>
        <v/>
      </c>
      <c r="O1187" s="36" t="n">
        <v>900</v>
      </c>
      <c r="P1187" s="21">
        <f>O1187*H1187</f>
        <v/>
      </c>
      <c r="Q1187" s="30">
        <f>IF(MONTH(E1187+1)=MONTH(E1187+6),MONTH(E1187+1),IF(MIN(EOMONTH(E1187+1,0),E1187+6)-(E1187+1)+1&gt;=3,MONTH(E1187+1),MONTH(E1187+6)))</f>
        <v/>
      </c>
      <c r="R1187" s="22">
        <f>IFERROR(K1187/P1187, 0)</f>
        <v/>
      </c>
      <c r="S1187" s="38">
        <f>IFERROR(N1187/P1187,0)</f>
        <v/>
      </c>
      <c r="T1187" s="31">
        <f>IFERROR(IF(N1187&gt;0,(N1187/K1187),MIN(1,M1187/J1187)),0)</f>
        <v/>
      </c>
      <c r="U1187" s="33" t="n"/>
    </row>
    <row r="1188" hidden="1" s="40">
      <c r="A1188" s="18" t="inlineStr">
        <is>
          <t>Semana 1 - Julho</t>
        </is>
      </c>
      <c r="B1188" s="27">
        <f>YEAR(E1188)</f>
        <v/>
      </c>
      <c r="C1188" s="18">
        <f>INDEX({"Janeiro";"Fevereiro";"Março";"Abril";"Maio";"Junho";"Julho";"Agosto";"Setembro";"Outubro";"Novembro";"Dezembro"},Q1188)</f>
        <v/>
      </c>
      <c r="D1188" s="19" t="n">
        <v>1</v>
      </c>
      <c r="E1188" s="20" t="n">
        <v>46202</v>
      </c>
      <c r="F1188" s="23" t="inlineStr">
        <is>
          <t>Iogurte Vida Leve Ameixa c/ Grãos 500g</t>
        </is>
      </c>
      <c r="G1188" s="23" t="inlineStr">
        <is>
          <t>IOGURTE</t>
        </is>
      </c>
      <c r="H1188" s="26" t="n">
        <v>0.5</v>
      </c>
      <c r="I1188" s="36" t="n">
        <v>1100</v>
      </c>
      <c r="J1188" s="21">
        <f>I1188*H1188</f>
        <v/>
      </c>
      <c r="K1188" s="21">
        <f>IFERROR(IF(J1188/P1188&gt;1,P1188,J1188),0)</f>
        <v/>
      </c>
      <c r="L1188" s="36" t="n">
        <v>1372</v>
      </c>
      <c r="M1188" s="21">
        <f>L1188*H1188</f>
        <v/>
      </c>
      <c r="N1188" s="21">
        <f>IFERROR(IF(M1188/K1188&gt;1,K1188,M1188),0)</f>
        <v/>
      </c>
      <c r="O1188" s="36" t="n">
        <v>1100</v>
      </c>
      <c r="P1188" s="21">
        <f>O1188*H1188</f>
        <v/>
      </c>
      <c r="Q1188" s="30">
        <f>IF(MONTH(E1188+1)=MONTH(E1188+6),MONTH(E1188+1),IF(MIN(EOMONTH(E1188+1,0),E1188+6)-(E1188+1)+1&gt;=3,MONTH(E1188+1),MONTH(E1188+6)))</f>
        <v/>
      </c>
      <c r="R1188" s="22">
        <f>IFERROR(K1188/P1188, 0)</f>
        <v/>
      </c>
      <c r="S1188" s="38">
        <f>IFERROR(N1188/P1188,0)</f>
        <v/>
      </c>
      <c r="T1188" s="31">
        <f>IFERROR(IF(N1188&gt;0,(N1188/K1188),MIN(1,M1188/J1188)),0)</f>
        <v/>
      </c>
      <c r="U1188" s="33" t="n"/>
    </row>
    <row r="1189" hidden="1" s="40">
      <c r="A1189" s="18" t="inlineStr">
        <is>
          <t>Semana 1 - Julho</t>
        </is>
      </c>
      <c r="B1189" s="27">
        <f>YEAR(E1189)</f>
        <v/>
      </c>
      <c r="C1189" s="18">
        <f>INDEX({"Janeiro";"Fevereiro";"Março";"Abril";"Maio";"Junho";"Julho";"Agosto";"Setembro";"Outubro";"Novembro";"Dezembro"},Q1189)</f>
        <v/>
      </c>
      <c r="D1189" s="19" t="n">
        <v>1</v>
      </c>
      <c r="E1189" s="20" t="n">
        <v>46202</v>
      </c>
      <c r="F1189" s="18" t="inlineStr">
        <is>
          <t>Iogurte Vida Leve Morango 180g</t>
        </is>
      </c>
      <c r="G1189" s="18" t="inlineStr">
        <is>
          <t>IOGURTE</t>
        </is>
      </c>
      <c r="H1189" s="21" t="n">
        <v>0.185</v>
      </c>
      <c r="I1189" s="36" t="n">
        <v>1200</v>
      </c>
      <c r="J1189" s="21">
        <f>I1189*H1189</f>
        <v/>
      </c>
      <c r="K1189" s="21">
        <f>IFERROR(IF(J1189/P1189&gt;1,P1189,J1189),0)</f>
        <v/>
      </c>
      <c r="L1189" s="36" t="n">
        <v>1265</v>
      </c>
      <c r="M1189" s="21">
        <f>L1189*H1189</f>
        <v/>
      </c>
      <c r="N1189" s="21">
        <f>IFERROR(IF(M1189/K1189&gt;1,K1189,M1189),0)</f>
        <v/>
      </c>
      <c r="O1189" s="36" t="n">
        <v>1200</v>
      </c>
      <c r="P1189" s="21">
        <f>O1189*H1189</f>
        <v/>
      </c>
      <c r="Q1189" s="30">
        <f>IF(MONTH(E1189+1)=MONTH(E1189+6),MONTH(E1189+1),IF(MIN(EOMONTH(E1189+1,0),E1189+6)-(E1189+1)+1&gt;=3,MONTH(E1189+1),MONTH(E1189+6)))</f>
        <v/>
      </c>
      <c r="R1189" s="22">
        <f>IFERROR(K1189/P1189, 0)</f>
        <v/>
      </c>
      <c r="S1189" s="38">
        <f>IFERROR(N1189/P1189,0)</f>
        <v/>
      </c>
      <c r="T1189" s="31">
        <f>IFERROR(IF(N1189&gt;0,(N1189/K1189),MIN(1,M1189/J1189)),0)</f>
        <v/>
      </c>
      <c r="U1189" s="33" t="n"/>
    </row>
    <row r="1190" hidden="1" s="40">
      <c r="A1190" s="18" t="inlineStr">
        <is>
          <t>Semana 1 - Julho</t>
        </is>
      </c>
      <c r="B1190" s="27">
        <f>YEAR(E1190)</f>
        <v/>
      </c>
      <c r="C1190" s="18">
        <f>INDEX({"Janeiro";"Fevereiro";"Março";"Abril";"Maio";"Junho";"Julho";"Agosto";"Setembro";"Outubro";"Novembro";"Dezembro"},Q1190)</f>
        <v/>
      </c>
      <c r="D1190" s="19" t="n">
        <v>1</v>
      </c>
      <c r="E1190" s="20" t="n">
        <v>46202</v>
      </c>
      <c r="F1190" s="23" t="inlineStr">
        <is>
          <t>Iogurte Vida Leve Morango 500g</t>
        </is>
      </c>
      <c r="G1190" s="23" t="inlineStr">
        <is>
          <t>IOGURTE</t>
        </is>
      </c>
      <c r="H1190" s="26" t="n">
        <v>0.5</v>
      </c>
      <c r="I1190" s="36" t="n">
        <v>1800</v>
      </c>
      <c r="J1190" s="21">
        <f>I1190*H1190</f>
        <v/>
      </c>
      <c r="K1190" s="21">
        <f>IFERROR(IF(J1190/P1190&gt;1,P1190,J1190),0)</f>
        <v/>
      </c>
      <c r="L1190" s="36" t="n">
        <v>2366</v>
      </c>
      <c r="M1190" s="21">
        <f>L1190*H1190</f>
        <v/>
      </c>
      <c r="N1190" s="21">
        <f>IFERROR(IF(M1190/K1190&gt;1,K1190,M1190),0)</f>
        <v/>
      </c>
      <c r="O1190" s="36" t="n">
        <v>1800</v>
      </c>
      <c r="P1190" s="21">
        <f>O1190*H1190</f>
        <v/>
      </c>
      <c r="Q1190" s="30">
        <f>IF(MONTH(E1190+1)=MONTH(E1190+6),MONTH(E1190+1),IF(MIN(EOMONTH(E1190+1,0),E1190+6)-(E1190+1)+1&gt;=3,MONTH(E1190+1),MONTH(E1190+6)))</f>
        <v/>
      </c>
      <c r="R1190" s="22">
        <f>IFERROR(K1190/P1190, 0)</f>
        <v/>
      </c>
      <c r="S1190" s="38">
        <f>IFERROR(N1190/P1190,0)</f>
        <v/>
      </c>
      <c r="T1190" s="31">
        <f>IFERROR(IF(N1190&gt;0,(N1190/K1190),MIN(1,M1190/J1190)),0)</f>
        <v/>
      </c>
      <c r="U1190" s="33" t="n"/>
    </row>
    <row r="1191" hidden="1" s="40">
      <c r="A1191" s="18" t="inlineStr">
        <is>
          <t>Semana 1 - Julho</t>
        </is>
      </c>
      <c r="B1191" s="27">
        <f>YEAR(E1191)</f>
        <v/>
      </c>
      <c r="C1191" s="18">
        <f>INDEX({"Janeiro";"Fevereiro";"Março";"Abril";"Maio";"Junho";"Julho";"Agosto";"Setembro";"Outubro";"Novembro";"Dezembro"},Q1191)</f>
        <v/>
      </c>
      <c r="D1191" s="19" t="n">
        <v>1</v>
      </c>
      <c r="E1191" s="20" t="n">
        <v>46202</v>
      </c>
      <c r="F1191" s="18" t="inlineStr">
        <is>
          <t>LEITE PASTEURIZADO VIÇOSA DESNATADO</t>
        </is>
      </c>
      <c r="G1191" s="18" t="inlineStr">
        <is>
          <t>LEITE PAST.</t>
        </is>
      </c>
      <c r="H1191" s="21" t="n">
        <v>1</v>
      </c>
      <c r="I1191" s="36" t="n">
        <v>800</v>
      </c>
      <c r="J1191" s="21">
        <f>I1191*H1191</f>
        <v/>
      </c>
      <c r="K1191" s="21">
        <f>IFERROR(IF(J1191/P1191&gt;1,P1191,J1191),0)</f>
        <v/>
      </c>
      <c r="L1191" s="36" t="n">
        <v>846</v>
      </c>
      <c r="M1191" s="21">
        <f>L1191*H1191</f>
        <v/>
      </c>
      <c r="N1191" s="21">
        <f>IFERROR(IF(M1191/K1191&gt;1,K1191,M1191),0)</f>
        <v/>
      </c>
      <c r="O1191" s="36" t="n">
        <v>800</v>
      </c>
      <c r="P1191" s="21">
        <f>O1191*H1191</f>
        <v/>
      </c>
      <c r="Q1191" s="30">
        <f>IF(MONTH(E1191+1)=MONTH(E1191+6),MONTH(E1191+1),IF(MIN(EOMONTH(E1191+1,0),E1191+6)-(E1191+1)+1&gt;=3,MONTH(E1191+1),MONTH(E1191+6)))</f>
        <v/>
      </c>
      <c r="R1191" s="22">
        <f>IFERROR(K1191/P1191, 0)</f>
        <v/>
      </c>
      <c r="S1191" s="38">
        <f>IFERROR(N1191/P1191,0)</f>
        <v/>
      </c>
      <c r="T1191" s="31">
        <f>IFERROR(IF(N1191&gt;0,(N1191/K1191),MIN(1,M1191/J1191)),0)</f>
        <v/>
      </c>
      <c r="U1191" s="33" t="n"/>
    </row>
    <row r="1192" hidden="1" s="40">
      <c r="A1192" s="18" t="inlineStr">
        <is>
          <t>Semana 1 - Julho</t>
        </is>
      </c>
      <c r="B1192" s="27">
        <f>YEAR(E1192)</f>
        <v/>
      </c>
      <c r="C1192" s="18">
        <f>INDEX({"Janeiro";"Fevereiro";"Março";"Abril";"Maio";"Junho";"Julho";"Agosto";"Setembro";"Outubro";"Novembro";"Dezembro"},Q1192)</f>
        <v/>
      </c>
      <c r="D1192" s="19" t="n">
        <v>1</v>
      </c>
      <c r="E1192" s="20" t="n">
        <v>46202</v>
      </c>
      <c r="F1192" s="23" t="inlineStr">
        <is>
          <t>LEITE PASTEURIZADO VIÇOSA INTEGRAL</t>
        </is>
      </c>
      <c r="G1192" s="23" t="inlineStr">
        <is>
          <t>LEITE PAST.</t>
        </is>
      </c>
      <c r="H1192" s="26" t="n">
        <v>1</v>
      </c>
      <c r="I1192" s="36" t="n">
        <v>21100</v>
      </c>
      <c r="J1192" s="21">
        <f>I1192*H1192</f>
        <v/>
      </c>
      <c r="K1192" s="21">
        <f>IFERROR(IF(J1192/P1192&gt;1,P1192,J1192),0)</f>
        <v/>
      </c>
      <c r="L1192" s="36" t="n">
        <v>21030</v>
      </c>
      <c r="M1192" s="21">
        <f>L1192*H1192</f>
        <v/>
      </c>
      <c r="N1192" s="21">
        <f>IFERROR(IF(M1192/K1192&gt;1,K1192,M1192),0)</f>
        <v/>
      </c>
      <c r="O1192" s="36" t="n">
        <v>21100</v>
      </c>
      <c r="P1192" s="21">
        <f>O1192*H1192</f>
        <v/>
      </c>
      <c r="Q1192" s="30">
        <f>IF(MONTH(E1192+1)=MONTH(E1192+6),MONTH(E1192+1),IF(MIN(EOMONTH(E1192+1,0),E1192+6)-(E1192+1)+1&gt;=3,MONTH(E1192+1),MONTH(E1192+6)))</f>
        <v/>
      </c>
      <c r="R1192" s="22">
        <f>IFERROR(K1192/P1192, 0)</f>
        <v/>
      </c>
      <c r="S1192" s="38">
        <f>IFERROR(N1192/P1192,0)</f>
        <v/>
      </c>
      <c r="T1192" s="31">
        <f>IFERROR(IF(N1192&gt;0,(N1192/K1192),MIN(1,M1192/J1192)),0)</f>
        <v/>
      </c>
      <c r="U1192" s="33" t="n"/>
    </row>
    <row r="1193" hidden="1" s="40">
      <c r="A1193" s="18" t="inlineStr">
        <is>
          <t>Semana 1 - Julho</t>
        </is>
      </c>
      <c r="B1193" s="27">
        <f>YEAR(E1193)</f>
        <v/>
      </c>
      <c r="C1193" s="18">
        <f>INDEX({"Janeiro";"Fevereiro";"Março";"Abril";"Maio";"Junho";"Julho";"Agosto";"Setembro";"Outubro";"Novembro";"Dezembro"},Q1193)</f>
        <v/>
      </c>
      <c r="D1193" s="19" t="n">
        <v>1</v>
      </c>
      <c r="E1193" s="20" t="n">
        <v>46202</v>
      </c>
      <c r="F1193" s="18" t="inlineStr">
        <is>
          <t>LEITE PASTEURIZADO VIÇOSA ZERO LACTOSE INTEGRAL 1 L</t>
        </is>
      </c>
      <c r="G1193" s="18" t="inlineStr">
        <is>
          <t>LEITE PAST.</t>
        </is>
      </c>
      <c r="H1193" s="21" t="n">
        <v>1</v>
      </c>
      <c r="I1193" s="36" t="n">
        <v>1000</v>
      </c>
      <c r="J1193" s="21">
        <f>I1193*H1193</f>
        <v/>
      </c>
      <c r="K1193" s="21">
        <f>IFERROR(IF(J1193/P1193&gt;1,P1193,J1193),0)</f>
        <v/>
      </c>
      <c r="L1193" s="36" t="n">
        <v>934</v>
      </c>
      <c r="M1193" s="21">
        <f>L1193*H1193</f>
        <v/>
      </c>
      <c r="N1193" s="21">
        <f>IFERROR(IF(M1193/K1193&gt;1,K1193,M1193),0)</f>
        <v/>
      </c>
      <c r="O1193" s="36" t="n">
        <v>1000</v>
      </c>
      <c r="P1193" s="21">
        <f>O1193*H1193</f>
        <v/>
      </c>
      <c r="Q1193" s="30">
        <f>IF(MONTH(E1193+1)=MONTH(E1193+6),MONTH(E1193+1),IF(MIN(EOMONTH(E1193+1,0),E1193+6)-(E1193+1)+1&gt;=3,MONTH(E1193+1),MONTH(E1193+6)))</f>
        <v/>
      </c>
      <c r="R1193" s="22">
        <f>IFERROR(K1193/P1193, 0)</f>
        <v/>
      </c>
      <c r="S1193" s="38">
        <f>IFERROR(N1193/P1193,0)</f>
        <v/>
      </c>
      <c r="T1193" s="31">
        <f>IFERROR(IF(N1193&gt;0,(N1193/K1193),MIN(1,M1193/J1193)),0)</f>
        <v/>
      </c>
      <c r="U1193" s="33" t="n"/>
    </row>
    <row r="1194" hidden="1" s="40">
      <c r="A1194" s="18" t="inlineStr">
        <is>
          <t>Semana 1 - Julho</t>
        </is>
      </c>
      <c r="B1194" s="27">
        <f>YEAR(E1194)</f>
        <v/>
      </c>
      <c r="C1194" s="18">
        <f>INDEX({"Janeiro";"Fevereiro";"Março";"Abril";"Maio";"Junho";"Julho";"Agosto";"Setembro";"Outubro";"Novembro";"Dezembro"},Q1194)</f>
        <v/>
      </c>
      <c r="D1194" s="19" t="n">
        <v>1</v>
      </c>
      <c r="E1194" s="20" t="n">
        <v>46202</v>
      </c>
      <c r="F1194" s="23" t="inlineStr">
        <is>
          <t>Manteiga 200g</t>
        </is>
      </c>
      <c r="G1194" s="23" t="inlineStr">
        <is>
          <t>MANTEIGA</t>
        </is>
      </c>
      <c r="H1194" s="26" t="n">
        <v>0.2</v>
      </c>
      <c r="I1194" s="36" t="n">
        <v>2200</v>
      </c>
      <c r="J1194" s="21">
        <f>I1194*H1194</f>
        <v/>
      </c>
      <c r="K1194" s="21">
        <f>IFERROR(IF(J1194/P1194&gt;1,P1194,J1194),0)</f>
        <v/>
      </c>
      <c r="L1194" s="36" t="n">
        <v>2265</v>
      </c>
      <c r="M1194" s="21">
        <f>L1194*H1194</f>
        <v/>
      </c>
      <c r="N1194" s="21">
        <f>IFERROR(IF(M1194/K1194&gt;1,K1194,M1194),0)</f>
        <v/>
      </c>
      <c r="O1194" s="36" t="n">
        <v>3600</v>
      </c>
      <c r="P1194" s="21">
        <f>O1194*H1194</f>
        <v/>
      </c>
      <c r="Q1194" s="30">
        <f>IF(MONTH(E1194+1)=MONTH(E1194+6),MONTH(E1194+1),IF(MIN(EOMONTH(E1194+1,0),E1194+6)-(E1194+1)+1&gt;=3,MONTH(E1194+1),MONTH(E1194+6)))</f>
        <v/>
      </c>
      <c r="R1194" s="22">
        <f>IFERROR(K1194/P1194, 0)</f>
        <v/>
      </c>
      <c r="S1194" s="38">
        <f>IFERROR(N1194/P1194,0)</f>
        <v/>
      </c>
      <c r="T1194" s="31">
        <f>IFERROR(IF(N1194&gt;0,(N1194/K1194),MIN(1,M1194/J1194)),0)</f>
        <v/>
      </c>
      <c r="U1194" s="33" t="n"/>
    </row>
    <row r="1195" hidden="1" s="40">
      <c r="A1195" s="18" t="inlineStr">
        <is>
          <t>Semana 1 - Julho</t>
        </is>
      </c>
      <c r="B1195" s="27">
        <f>YEAR(E1195)</f>
        <v/>
      </c>
      <c r="C1195" s="18">
        <f>INDEX({"Janeiro";"Fevereiro";"Março";"Abril";"Maio";"Junho";"Julho";"Agosto";"Setembro";"Outubro";"Novembro";"Dezembro"},Q1195)</f>
        <v/>
      </c>
      <c r="D1195" s="19" t="n">
        <v>1</v>
      </c>
      <c r="E1195" s="20" t="n">
        <v>46202</v>
      </c>
      <c r="F1195" s="18" t="inlineStr">
        <is>
          <t>Manteiga 500g</t>
        </is>
      </c>
      <c r="G1195" s="18" t="inlineStr">
        <is>
          <t>MANTEIGA</t>
        </is>
      </c>
      <c r="H1195" s="21" t="n">
        <v>0.5</v>
      </c>
      <c r="I1195" s="36" t="n">
        <v>1200</v>
      </c>
      <c r="J1195" s="21">
        <f>I1195*H1195</f>
        <v/>
      </c>
      <c r="K1195" s="21">
        <f>IFERROR(IF(J1195/P1195&gt;1,P1195,J1195),0)</f>
        <v/>
      </c>
      <c r="L1195" s="36" t="n">
        <v>1892</v>
      </c>
      <c r="M1195" s="21">
        <f>L1195*H1195</f>
        <v/>
      </c>
      <c r="N1195" s="21">
        <f>IFERROR(IF(M1195/K1195&gt;1,K1195,M1195),0)</f>
        <v/>
      </c>
      <c r="O1195" s="36" t="n">
        <v>2500</v>
      </c>
      <c r="P1195" s="21">
        <f>O1195*H1195</f>
        <v/>
      </c>
      <c r="Q1195" s="30">
        <f>IF(MONTH(E1195+1)=MONTH(E1195+6),MONTH(E1195+1),IF(MIN(EOMONTH(E1195+1,0),E1195+6)-(E1195+1)+1&gt;=3,MONTH(E1195+1),MONTH(E1195+6)))</f>
        <v/>
      </c>
      <c r="R1195" s="22">
        <f>IFERROR(K1195/P1195, 0)</f>
        <v/>
      </c>
      <c r="S1195" s="38">
        <f>IFERROR(N1195/P1195,0)</f>
        <v/>
      </c>
      <c r="T1195" s="31">
        <f>IFERROR(IF(N1195&gt;0,(N1195/K1195),MIN(1,M1195/J1195)),0)</f>
        <v/>
      </c>
      <c r="U1195" s="33" t="n"/>
    </row>
    <row r="1196" hidden="1" s="40">
      <c r="A1196" s="18" t="inlineStr">
        <is>
          <t>Semana 1 - Julho</t>
        </is>
      </c>
      <c r="B1196" s="27">
        <f>YEAR(E1196)</f>
        <v/>
      </c>
      <c r="C1196" s="18">
        <f>INDEX({"Janeiro";"Fevereiro";"Março";"Abril";"Maio";"Junho";"Julho";"Agosto";"Setembro";"Outubro";"Novembro";"Dezembro"},Q1196)</f>
        <v/>
      </c>
      <c r="D1196" s="19" t="n">
        <v>1</v>
      </c>
      <c r="E1196" s="20" t="n">
        <v>46202</v>
      </c>
      <c r="F1196" s="18" t="inlineStr">
        <is>
          <t>Requeijão Light 200g</t>
        </is>
      </c>
      <c r="G1196" s="18" t="inlineStr">
        <is>
          <t>REQUEIJÃO</t>
        </is>
      </c>
      <c r="H1196" s="34" t="n">
        <v>0.2</v>
      </c>
      <c r="I1196" s="36" t="n">
        <v>600</v>
      </c>
      <c r="J1196" s="21">
        <f>I1196*H1196</f>
        <v/>
      </c>
      <c r="K1196" s="21">
        <f>IFERROR(IF(J1196/P1196&gt;1,P1196,J1196),0)</f>
        <v/>
      </c>
      <c r="L1196" s="36" t="n">
        <v>559</v>
      </c>
      <c r="M1196" s="21">
        <f>L1196*H1196</f>
        <v/>
      </c>
      <c r="N1196" s="21">
        <f>IFERROR(IF(M1196/K1196&gt;1,K1196,M1196),0)</f>
        <v/>
      </c>
      <c r="O1196" s="36" t="n">
        <v>600</v>
      </c>
      <c r="P1196" s="21">
        <f>O1196*H1196</f>
        <v/>
      </c>
      <c r="Q1196" s="30">
        <f>IF(MONTH(E1196+1)=MONTH(E1196+6),MONTH(E1196+1),IF(MIN(EOMONTH(E1196+1,0),E1196+6)-(E1196+1)+1&gt;=3,MONTH(E1196+1),MONTH(E1196+6)))</f>
        <v/>
      </c>
      <c r="R1196" s="22">
        <f>IFERROR(K1196/P1196, 0)</f>
        <v/>
      </c>
      <c r="S1196" s="38">
        <f>IFERROR(N1196/P1196,0)</f>
        <v/>
      </c>
      <c r="T1196" s="31">
        <f>IFERROR(IF(N1196&gt;0,(N1196/K1196),MIN(1,M1196/J1196)),0)</f>
        <v/>
      </c>
      <c r="U1196" s="33" t="n"/>
    </row>
    <row r="1197" hidden="1" s="40">
      <c r="A1197" s="18" t="inlineStr">
        <is>
          <t>Semana 1 - Julho</t>
        </is>
      </c>
      <c r="B1197" s="27">
        <f>YEAR(E1197)</f>
        <v/>
      </c>
      <c r="C1197" s="18">
        <f>INDEX({"Janeiro";"Fevereiro";"Março";"Abril";"Maio";"Junho";"Julho";"Agosto";"Setembro";"Outubro";"Novembro";"Dezembro"},Q1197)</f>
        <v/>
      </c>
      <c r="D1197" s="19" t="n">
        <v>1</v>
      </c>
      <c r="E1197" s="20" t="n">
        <v>46202</v>
      </c>
      <c r="F1197" s="18" t="inlineStr">
        <is>
          <t>REQUEIJÃO VIÇOSA 200g</t>
        </is>
      </c>
      <c r="G1197" s="18" t="inlineStr">
        <is>
          <t>REQUEIJÃO</t>
        </is>
      </c>
      <c r="H1197" s="34" t="n">
        <v>0.2</v>
      </c>
      <c r="I1197" s="36" t="n">
        <v>2100</v>
      </c>
      <c r="J1197" s="21">
        <f>I1197*H1197</f>
        <v/>
      </c>
      <c r="K1197" s="21">
        <f>IFERROR(IF(J1197/P1197&gt;1,P1197,J1197),0)</f>
        <v/>
      </c>
      <c r="L1197" s="36" t="n">
        <v>2166</v>
      </c>
      <c r="M1197" s="21">
        <f>L1197*H1197</f>
        <v/>
      </c>
      <c r="N1197" s="21">
        <f>IFERROR(IF(M1197/K1197&gt;1,K1197,M1197),0)</f>
        <v/>
      </c>
      <c r="O1197" s="36" t="n">
        <v>2800</v>
      </c>
      <c r="P1197" s="21">
        <f>O1197*H1197</f>
        <v/>
      </c>
      <c r="Q1197" s="30">
        <f>IF(MONTH(E1197+1)=MONTH(E1197+6),MONTH(E1197+1),IF(MIN(EOMONTH(E1197+1,0),E1197+6)-(E1197+1)+1&gt;=3,MONTH(E1197+1),MONTH(E1197+6)))</f>
        <v/>
      </c>
      <c r="R1197" s="22">
        <f>IFERROR(K1197/P1197, 0)</f>
        <v/>
      </c>
      <c r="S1197" s="38">
        <f>IFERROR(N1197/P1197,0)</f>
        <v/>
      </c>
      <c r="T1197" s="31">
        <f>IFERROR(IF(N1197&gt;0,(N1197/K1197),MIN(1,M1197/J1197)),0)</f>
        <v/>
      </c>
      <c r="U1197" s="33" t="n"/>
    </row>
    <row r="1198" hidden="1" s="40">
      <c r="A1198" s="18" t="inlineStr">
        <is>
          <t>Semana 1 - Julho</t>
        </is>
      </c>
      <c r="B1198" s="27">
        <f>YEAR(E1198)</f>
        <v/>
      </c>
      <c r="C1198" s="18">
        <f>INDEX({"Janeiro";"Fevereiro";"Março";"Abril";"Maio";"Junho";"Julho";"Agosto";"Setembro";"Outubro";"Novembro";"Dezembro"},Q1198)</f>
        <v/>
      </c>
      <c r="D1198" s="19" t="n">
        <v>1</v>
      </c>
      <c r="E1198" s="20" t="n">
        <v>46202</v>
      </c>
      <c r="F1198" s="23" t="inlineStr">
        <is>
          <t>REQUEIJÃO VIÇOSA 400g</t>
        </is>
      </c>
      <c r="G1198" s="23" t="inlineStr">
        <is>
          <t>REQUEIJÃO</t>
        </is>
      </c>
      <c r="H1198" s="35" t="n">
        <v>0.4</v>
      </c>
      <c r="I1198" s="36" t="n">
        <v>1200</v>
      </c>
      <c r="J1198" s="21">
        <f>I1198*H1198</f>
        <v/>
      </c>
      <c r="K1198" s="21">
        <f>IFERROR(IF(J1198/P1198&gt;1,P1198,J1198),0)</f>
        <v/>
      </c>
      <c r="L1198" s="36" t="n">
        <v>2761</v>
      </c>
      <c r="M1198" s="21">
        <f>L1198*H1198</f>
        <v/>
      </c>
      <c r="N1198" s="21">
        <f>IFERROR(IF(M1198/K1198&gt;1,K1198,M1198),0)</f>
        <v/>
      </c>
      <c r="O1198" s="36" t="n">
        <v>3200</v>
      </c>
      <c r="P1198" s="21">
        <f>O1198*H1198</f>
        <v/>
      </c>
      <c r="Q1198" s="30">
        <f>IF(MONTH(E1198+1)=MONTH(E1198+6),MONTH(E1198+1),IF(MIN(EOMONTH(E1198+1,0),E1198+6)-(E1198+1)+1&gt;=3,MONTH(E1198+1),MONTH(E1198+6)))</f>
        <v/>
      </c>
      <c r="R1198" s="22">
        <f>IFERROR(K1198/P1198, 0)</f>
        <v/>
      </c>
      <c r="S1198" s="38">
        <f>IFERROR(N1198/P1198,0)</f>
        <v/>
      </c>
      <c r="T1198" s="31">
        <f>IFERROR(IF(N1198&gt;0,(N1198/K1198),MIN(1,M1198/J1198)),0)</f>
        <v/>
      </c>
      <c r="U1198" s="33" t="n"/>
    </row>
    <row r="1199" hidden="1" s="40">
      <c r="A1199" s="18" t="inlineStr">
        <is>
          <t>Semana 1 - Julho</t>
        </is>
      </c>
      <c r="B1199" s="27">
        <f>YEAR(E1199)</f>
        <v/>
      </c>
      <c r="C1199" s="18">
        <f>INDEX({"Janeiro";"Fevereiro";"Março";"Abril";"Maio";"Junho";"Julho";"Agosto";"Setembro";"Outubro";"Novembro";"Dezembro"},Q1199)</f>
        <v/>
      </c>
      <c r="D1199" s="19" t="n">
        <v>1</v>
      </c>
      <c r="E1199" s="20" t="n">
        <v>46202</v>
      </c>
      <c r="F1199" s="23" t="inlineStr">
        <is>
          <t>QUEIJO MUSSARELA 3KG</t>
        </is>
      </c>
      <c r="G1199" s="18" t="inlineStr">
        <is>
          <t>QUEIJO</t>
        </is>
      </c>
      <c r="H1199" s="34" t="n">
        <v>1</v>
      </c>
      <c r="I1199" s="36" t="n">
        <v>0</v>
      </c>
      <c r="J1199" s="21">
        <f>I1199*H1199</f>
        <v/>
      </c>
      <c r="K1199" s="21">
        <f>IFERROR(IF(J1199/P1199&gt;1,P1199,J1199),0)</f>
        <v/>
      </c>
      <c r="L1199" s="36" t="n">
        <v>0</v>
      </c>
      <c r="M1199" s="21">
        <f>L1199*H1199</f>
        <v/>
      </c>
      <c r="N1199" s="21">
        <f>IFERROR(IF(M1199/K1199&gt;1,K1199,M1199),0)</f>
        <v/>
      </c>
      <c r="O1199" s="36" t="n">
        <v>1000</v>
      </c>
      <c r="P1199" s="21">
        <f>O1199*H1199</f>
        <v/>
      </c>
      <c r="Q1199" s="30">
        <f>IF(MONTH(E1199+1)=MONTH(E1199+6),MONTH(E1199+1),IF(MIN(EOMONTH(E1199+1,0),E1199+6)-(E1199+1)+1&gt;=3,MONTH(E1199+1),MONTH(E1199+6)))</f>
        <v/>
      </c>
      <c r="R1199" s="22">
        <f>IFERROR(K1199/P1199, 0)</f>
        <v/>
      </c>
      <c r="S1199" s="38">
        <f>IFERROR(N1199/P1199,0)</f>
        <v/>
      </c>
      <c r="T1199" s="31">
        <f>IFERROR(IF(N1199&gt;0,(N1199/K1199),MIN(1,M1199/J1199)),0)</f>
        <v/>
      </c>
      <c r="U1199" s="33" t="n"/>
    </row>
    <row r="1200" hidden="1" s="40">
      <c r="A1200" s="18" t="inlineStr">
        <is>
          <t>Semana 2 - Julho</t>
        </is>
      </c>
      <c r="B1200" s="27">
        <f>YEAR(E1200)</f>
        <v/>
      </c>
      <c r="C1200" s="18">
        <f>INDEX({"Janeiro";"Fevereiro";"Março";"Abril";"Maio";"Junho";"Julho";"Agosto";"Setembro";"Outubro";"Novembro";"Dezembro"},Q1200)</f>
        <v/>
      </c>
      <c r="D1200" s="19" t="n">
        <v>2</v>
      </c>
      <c r="E1200" s="20" t="n">
        <v>46209</v>
      </c>
      <c r="F1200" s="23" t="inlineStr">
        <is>
          <t>Doce de Leite 400g</t>
        </is>
      </c>
      <c r="G1200" s="23" t="inlineStr">
        <is>
          <t>DOCE</t>
        </is>
      </c>
      <c r="H1200" s="34" t="n">
        <v>0.4</v>
      </c>
      <c r="I1200" s="36" t="n">
        <v>12000</v>
      </c>
      <c r="J1200" s="21">
        <f>I1200*H1200</f>
        <v/>
      </c>
      <c r="K1200" s="21">
        <f>IFERROR(IF(J1200/P1200&gt;1,P1200,J1200),0)</f>
        <v/>
      </c>
      <c r="L1200" s="36" t="n">
        <v>12495</v>
      </c>
      <c r="M1200" s="21">
        <f>L1200*H1200</f>
        <v/>
      </c>
      <c r="N1200" s="21">
        <f>IFERROR(IF(M1200/K1200&gt;1,K1200,M1200),0)</f>
        <v/>
      </c>
      <c r="O1200" s="36" t="n">
        <v>12000</v>
      </c>
      <c r="P1200" s="21">
        <f>O1200*H1200</f>
        <v/>
      </c>
      <c r="Q1200" s="30">
        <f>IF(MONTH(E1200+1)=MONTH(E1200+6),MONTH(E1200+1),IF(MIN(EOMONTH(E1200+1,0),E1200+6)-(E1200+1)+1&gt;=3,MONTH(E1200+1),MONTH(E1200+6)))</f>
        <v/>
      </c>
      <c r="R1200" s="22">
        <f>IFERROR(K1200/P1200, 0)</f>
        <v/>
      </c>
      <c r="S1200" s="38">
        <f>IFERROR(N1200/P1200,0)</f>
        <v/>
      </c>
      <c r="T1200" s="31">
        <f>IFERROR(IF(N1200&gt;0,(N1200/K1200),MIN(1,M1200/J1200)),0)</f>
        <v/>
      </c>
      <c r="U1200" s="33" t="inlineStr">
        <is>
          <t>Foi solicitado a produção de queijo minas padrão, mas devido a baixa quantidade de leite em estoque, setor comercial aceitou adiar a produção. Essa produção seria apenas para aumentar estoque e o adiamento não causaria ruptura comercial.</t>
        </is>
      </c>
    </row>
    <row r="1201" hidden="1" s="40">
      <c r="A1201" s="18" t="inlineStr">
        <is>
          <t>Semana 2 - Julho</t>
        </is>
      </c>
      <c r="B1201" s="27">
        <f>YEAR(E1201)</f>
        <v/>
      </c>
      <c r="C1201" s="18">
        <f>INDEX({"Janeiro";"Fevereiro";"Março";"Abril";"Maio";"Junho";"Julho";"Agosto";"Setembro";"Outubro";"Novembro";"Dezembro"},Q1201)</f>
        <v/>
      </c>
      <c r="D1201" s="19" t="n">
        <v>2</v>
      </c>
      <c r="E1201" s="20" t="n">
        <v>46209</v>
      </c>
      <c r="F1201" s="18" t="inlineStr">
        <is>
          <t>Doce de Leite 5kg</t>
        </is>
      </c>
      <c r="G1201" s="23" t="inlineStr">
        <is>
          <t>DOCE</t>
        </is>
      </c>
      <c r="H1201" s="34" t="n">
        <v>5</v>
      </c>
      <c r="I1201" s="36" t="n">
        <v>1395</v>
      </c>
      <c r="J1201" s="21">
        <f>I1201*H1201</f>
        <v/>
      </c>
      <c r="K1201" s="21">
        <f>IFERROR(IF(J1201/P1201&gt;1,P1201,J1201),0)</f>
        <v/>
      </c>
      <c r="L1201" s="36" t="n">
        <v>1548</v>
      </c>
      <c r="M1201" s="21">
        <f>L1201*H1201</f>
        <v/>
      </c>
      <c r="N1201" s="21">
        <f>IFERROR(IF(M1201/K1201&gt;1,K1201,M1201),0)</f>
        <v/>
      </c>
      <c r="O1201" s="36" t="n">
        <v>1860</v>
      </c>
      <c r="P1201" s="21">
        <f>O1201*H1201</f>
        <v/>
      </c>
      <c r="Q1201" s="30">
        <f>IF(MONTH(E1201+1)=MONTH(E1201+6),MONTH(E1201+1),IF(MIN(EOMONTH(E1201+1,0),E1201+6)-(E1201+1)+1&gt;=3,MONTH(E1201+1),MONTH(E1201+6)))</f>
        <v/>
      </c>
      <c r="R1201" s="22">
        <f>IFERROR(K1201/P1201, 0)</f>
        <v/>
      </c>
      <c r="S1201" s="38">
        <f>IFERROR(N1201/P1201,0)</f>
        <v/>
      </c>
      <c r="T1201" s="31">
        <f>IFERROR(IF(N1201&gt;0,(N1201/K1201),MIN(1,M1201/J1201)),0)</f>
        <v/>
      </c>
      <c r="U1201" s="33" t="inlineStr">
        <is>
          <t>Não foi produzido o Doce Bag de café pois o aroma de baunilha estava em falta e chegou somente na quinta-feira da semana vigente. Os doceiros que estavam na escala não sabiam a manobra de destinar apenas 2 tachos para produzir a demanda pequena de 160 unidades e não gerar um excedente de um lote completo. A produção será feita na segunda-feira da semana seguinte, a fim de não causar ruptura comercial.</t>
        </is>
      </c>
    </row>
    <row r="1202" hidden="1" s="40">
      <c r="A1202" s="18" t="inlineStr">
        <is>
          <t>Semana 2 - Julho</t>
        </is>
      </c>
      <c r="B1202" s="27">
        <f>YEAR(E1202)</f>
        <v/>
      </c>
      <c r="C1202" s="18">
        <f>INDEX({"Janeiro";"Fevereiro";"Março";"Abril";"Maio";"Junho";"Julho";"Agosto";"Setembro";"Outubro";"Novembro";"Dezembro"},Q1202)</f>
        <v/>
      </c>
      <c r="D1202" s="19" t="n">
        <v>2</v>
      </c>
      <c r="E1202" s="20" t="n">
        <v>46209</v>
      </c>
      <c r="F1202" s="23" t="inlineStr">
        <is>
          <t>Doce de Leite 800g</t>
        </is>
      </c>
      <c r="G1202" s="23" t="inlineStr">
        <is>
          <t>DOCE</t>
        </is>
      </c>
      <c r="H1202" s="35" t="n">
        <v>0.8</v>
      </c>
      <c r="I1202" s="36" t="n">
        <v>24000</v>
      </c>
      <c r="J1202" s="21">
        <f>I1202*H1202</f>
        <v/>
      </c>
      <c r="K1202" s="21">
        <f>IFERROR(IF(J1202/P1202&gt;1,P1202,J1202),0)</f>
        <v/>
      </c>
      <c r="L1202" s="36" t="n">
        <v>25876</v>
      </c>
      <c r="M1202" s="21">
        <f>L1202*H1202</f>
        <v/>
      </c>
      <c r="N1202" s="21">
        <f>IFERROR(IF(M1202/K1202&gt;1,K1202,M1202),0)</f>
        <v/>
      </c>
      <c r="O1202" s="36" t="n">
        <v>24000</v>
      </c>
      <c r="P1202" s="21">
        <f>O1202*H1202</f>
        <v/>
      </c>
      <c r="Q1202" s="30">
        <f>IF(MONTH(E1202+1)=MONTH(E1202+6),MONTH(E1202+1),IF(MIN(EOMONTH(E1202+1,0),E1202+6)-(E1202+1)+1&gt;=3,MONTH(E1202+1),MONTH(E1202+6)))</f>
        <v/>
      </c>
      <c r="R1202" s="22">
        <f>IFERROR(K1202/P1202, 0)</f>
        <v/>
      </c>
      <c r="S1202" s="38">
        <f>IFERROR(N1202/P1202,0)</f>
        <v/>
      </c>
      <c r="T1202" s="31">
        <f>IFERROR(IF(N1202&gt;0,(N1202/K1202),MIN(1,M1202/J1202)),0)</f>
        <v/>
      </c>
      <c r="U1202" s="33" t="inlineStr">
        <is>
          <t>Por falta de selo e creme, a demanda de Manteiga não foi atendida. Para semana seguinte, foi encomendado uma quantidade de 1000kg de creme para atender essa demanda e produzir uma maior quantidade. O selo chegou na quinta-feira, por isso o creme não foi comprado na semana vigente.</t>
        </is>
      </c>
    </row>
    <row r="1203" hidden="1" s="40">
      <c r="A1203" s="18" t="inlineStr">
        <is>
          <t>Semana 2 - Julho</t>
        </is>
      </c>
      <c r="B1203" s="27">
        <f>YEAR(E1203)</f>
        <v/>
      </c>
      <c r="C1203" s="18">
        <f>INDEX({"Janeiro";"Fevereiro";"Março";"Abril";"Maio";"Junho";"Julho";"Agosto";"Setembro";"Outubro";"Novembro";"Dezembro"},Q1203)</f>
        <v/>
      </c>
      <c r="D1203" s="19" t="n">
        <v>2</v>
      </c>
      <c r="E1203" s="20" t="n">
        <v>46209</v>
      </c>
      <c r="F1203" s="18" t="inlineStr">
        <is>
          <t>Doce de Leite 5kg - Bombeável</t>
        </is>
      </c>
      <c r="G1203" s="23" t="inlineStr">
        <is>
          <t>DOCE</t>
        </is>
      </c>
      <c r="H1203" s="34" t="n">
        <v>5</v>
      </c>
      <c r="I1203" s="36" t="n">
        <v>60</v>
      </c>
      <c r="J1203" s="21">
        <f>I1203*H1203</f>
        <v/>
      </c>
      <c r="K1203" s="21">
        <f>IFERROR(IF(J1203/P1203&gt;1,P1203,J1203),0)</f>
        <v/>
      </c>
      <c r="L1203" s="36" t="n">
        <v>60</v>
      </c>
      <c r="M1203" s="21">
        <f>L1203*H1203</f>
        <v/>
      </c>
      <c r="N1203" s="21">
        <f>IFERROR(IF(M1203/K1203&gt;1,K1203,M1203),0)</f>
        <v/>
      </c>
      <c r="O1203" s="36" t="n">
        <v>60</v>
      </c>
      <c r="P1203" s="21">
        <f>O1203*H1203</f>
        <v/>
      </c>
      <c r="Q1203" s="30">
        <f>IF(MONTH(E1203+1)=MONTH(E1203+6),MONTH(E1203+1),IF(MIN(EOMONTH(E1203+1,0),E1203+6)-(E1203+1)+1&gt;=3,MONTH(E1203+1),MONTH(E1203+6)))</f>
        <v/>
      </c>
      <c r="R1203" s="22">
        <f>IFERROR(K1203/P1203, 0)</f>
        <v/>
      </c>
      <c r="S1203" s="38">
        <f>IFERROR(N1203/P1203,0)</f>
        <v/>
      </c>
      <c r="T1203" s="31">
        <f>IFERROR(IF(N1203&gt;0,(N1203/K1203),MIN(1,M1203/J1203)),0)</f>
        <v/>
      </c>
      <c r="U1203" s="33" t="inlineStr">
        <is>
          <t>Problemas na máquina de envase 120g no dia da produção de iogurte de coco fizeram com que fosse atendido apenas 59% da demanda. Na próxima produção essa diferença será acrescentada.</t>
        </is>
      </c>
    </row>
    <row r="1204" hidden="1" s="40">
      <c r="A1204" s="18" t="inlineStr">
        <is>
          <t>Semana 2 - Julho</t>
        </is>
      </c>
      <c r="B1204" s="27">
        <f>YEAR(E1204)</f>
        <v/>
      </c>
      <c r="C1204" s="18">
        <f>INDEX({"Janeiro";"Fevereiro";"Março";"Abril";"Maio";"Junho";"Julho";"Agosto";"Setembro";"Outubro";"Novembro";"Dezembro"},Q1204)</f>
        <v/>
      </c>
      <c r="D1204" s="19" t="n">
        <v>2</v>
      </c>
      <c r="E1204" s="20" t="n">
        <v>46209</v>
      </c>
      <c r="F1204" s="23" t="inlineStr">
        <is>
          <t>Doce de Leite c/ Café 400</t>
        </is>
      </c>
      <c r="G1204" s="23" t="inlineStr">
        <is>
          <t>DOCE</t>
        </is>
      </c>
      <c r="H1204" s="34" t="n">
        <v>0.4</v>
      </c>
      <c r="I1204" s="36" t="n">
        <v>6000</v>
      </c>
      <c r="J1204" s="21">
        <f>I1204*H1204</f>
        <v/>
      </c>
      <c r="K1204" s="21">
        <f>IFERROR(IF(J1204/P1204&gt;1,P1204,J1204),0)</f>
        <v/>
      </c>
      <c r="L1204" s="36" t="n">
        <v>6538</v>
      </c>
      <c r="M1204" s="21">
        <f>L1204*H1204</f>
        <v/>
      </c>
      <c r="N1204" s="21">
        <f>IFERROR(IF(M1204/K1204&gt;1,K1204,M1204),0)</f>
        <v/>
      </c>
      <c r="O1204" s="36" t="n">
        <v>6000</v>
      </c>
      <c r="P1204" s="21">
        <f>O1204*H1204</f>
        <v/>
      </c>
      <c r="Q1204" s="30">
        <f>IF(MONTH(E1204+1)=MONTH(E1204+6),MONTH(E1204+1),IF(MIN(EOMONTH(E1204+1,0),E1204+6)-(E1204+1)+1&gt;=3,MONTH(E1204+1),MONTH(E1204+6)))</f>
        <v/>
      </c>
      <c r="R1204" s="22">
        <f>IFERROR(K1204/P1204, 0)</f>
        <v/>
      </c>
      <c r="S1204" s="38">
        <f>IFERROR(N1204/P1204,0)</f>
        <v/>
      </c>
      <c r="T1204" s="31">
        <f>IFERROR(IF(N1204&gt;0,(N1204/K1204),MIN(1,M1204/J1204)),0)</f>
        <v/>
      </c>
      <c r="U1204" s="33" t="n"/>
    </row>
    <row r="1205" hidden="1" s="40">
      <c r="A1205" s="18" t="inlineStr">
        <is>
          <t>Semana 2 - Julho</t>
        </is>
      </c>
      <c r="B1205" s="27">
        <f>YEAR(E1205)</f>
        <v/>
      </c>
      <c r="C1205" s="18">
        <f>INDEX({"Janeiro";"Fevereiro";"Março";"Abril";"Maio";"Junho";"Julho";"Agosto";"Setembro";"Outubro";"Novembro";"Dezembro"},Q1205)</f>
        <v/>
      </c>
      <c r="D1205" s="19" t="n">
        <v>2</v>
      </c>
      <c r="E1205" s="20" t="n">
        <v>46209</v>
      </c>
      <c r="F1205" s="18" t="inlineStr">
        <is>
          <t>Doce de Leite Cacau 400g</t>
        </is>
      </c>
      <c r="G1205" s="23" t="inlineStr">
        <is>
          <t>DOCE</t>
        </is>
      </c>
      <c r="H1205" s="34" t="n">
        <v>0.4</v>
      </c>
      <c r="I1205" s="36" t="n">
        <v>6000</v>
      </c>
      <c r="J1205" s="21">
        <f>I1205*H1205</f>
        <v/>
      </c>
      <c r="K1205" s="21">
        <f>IFERROR(IF(J1205/P1205&gt;1,P1205,J1205),0)</f>
        <v/>
      </c>
      <c r="L1205" s="36" t="n">
        <v>6085</v>
      </c>
      <c r="M1205" s="21">
        <f>L1205*H1205</f>
        <v/>
      </c>
      <c r="N1205" s="21">
        <f>IFERROR(IF(M1205/K1205&gt;1,K1205,M1205),0)</f>
        <v/>
      </c>
      <c r="O1205" s="36" t="n">
        <v>6000</v>
      </c>
      <c r="P1205" s="21">
        <f>O1205*H1205</f>
        <v/>
      </c>
      <c r="Q1205" s="30">
        <f>IF(MONTH(E1205+1)=MONTH(E1205+6),MONTH(E1205+1),IF(MIN(EOMONTH(E1205+1,0),E1205+6)-(E1205+1)+1&gt;=3,MONTH(E1205+1),MONTH(E1205+6)))</f>
        <v/>
      </c>
      <c r="R1205" s="22">
        <f>IFERROR(K1205/P1205, 0)</f>
        <v/>
      </c>
      <c r="S1205" s="38">
        <f>IFERROR(N1205/P1205,0)</f>
        <v/>
      </c>
      <c r="T1205" s="31">
        <f>IFERROR(IF(N1205&gt;0,(N1205/K1205),MIN(1,M1205/J1205)),0)</f>
        <v/>
      </c>
      <c r="U1205" s="33" t="n"/>
    </row>
    <row r="1206" hidden="1" s="40">
      <c r="A1206" s="18" t="inlineStr">
        <is>
          <t>Semana 2 - Julho</t>
        </is>
      </c>
      <c r="B1206" s="27">
        <f>YEAR(E1206)</f>
        <v/>
      </c>
      <c r="C1206" s="18">
        <f>INDEX({"Janeiro";"Fevereiro";"Março";"Abril";"Maio";"Junho";"Julho";"Agosto";"Setembro";"Outubro";"Novembro";"Dezembro"},Q1206)</f>
        <v/>
      </c>
      <c r="D1206" s="19" t="n">
        <v>2</v>
      </c>
      <c r="E1206" s="20" t="n">
        <v>46209</v>
      </c>
      <c r="F1206" s="23" t="inlineStr">
        <is>
          <t>Doce de Leite Cacau 5kg - FOOD</t>
        </is>
      </c>
      <c r="G1206" s="23" t="inlineStr">
        <is>
          <t>DOCE</t>
        </is>
      </c>
      <c r="H1206" s="35" t="n">
        <v>5</v>
      </c>
      <c r="I1206" s="36" t="n">
        <v>930</v>
      </c>
      <c r="J1206" s="21">
        <f>I1206*H1206</f>
        <v/>
      </c>
      <c r="K1206" s="21">
        <f>IFERROR(IF(J1206/P1206&gt;1,P1206,J1206),0)</f>
        <v/>
      </c>
      <c r="L1206" s="36" t="n">
        <v>997</v>
      </c>
      <c r="M1206" s="21">
        <f>L1206*H1206</f>
        <v/>
      </c>
      <c r="N1206" s="21">
        <f>IFERROR(IF(M1206/K1206&gt;1,K1206,M1206),0)</f>
        <v/>
      </c>
      <c r="O1206" s="36" t="n">
        <v>930</v>
      </c>
      <c r="P1206" s="21">
        <f>O1206*H1206</f>
        <v/>
      </c>
      <c r="Q1206" s="30">
        <f>IF(MONTH(E1206+1)=MONTH(E1206+6),MONTH(E1206+1),IF(MIN(EOMONTH(E1206+1,0),E1206+6)-(E1206+1)+1&gt;=3,MONTH(E1206+1),MONTH(E1206+6)))</f>
        <v/>
      </c>
      <c r="R1206" s="22">
        <f>IFERROR(K1206/P1206, 0)</f>
        <v/>
      </c>
      <c r="S1206" s="38">
        <f>IFERROR(N1206/P1206,0)</f>
        <v/>
      </c>
      <c r="T1206" s="31">
        <f>IFERROR(IF(N1206&gt;0,(N1206/K1206),MIN(1,M1206/J1206)),0)</f>
        <v/>
      </c>
      <c r="U1206" s="33" t="n"/>
    </row>
    <row r="1207" hidden="1" s="40">
      <c r="A1207" s="18" t="inlineStr">
        <is>
          <t>Semana 2 - Julho</t>
        </is>
      </c>
      <c r="B1207" s="27">
        <f>YEAR(E1207)</f>
        <v/>
      </c>
      <c r="C1207" s="18">
        <f>INDEX({"Janeiro";"Fevereiro";"Março";"Abril";"Maio";"Junho";"Julho";"Agosto";"Setembro";"Outubro";"Novembro";"Dezembro"},Q1207)</f>
        <v/>
      </c>
      <c r="D1207" s="19" t="n">
        <v>2</v>
      </c>
      <c r="E1207" s="20" t="n">
        <v>46209</v>
      </c>
      <c r="F1207" s="23" t="inlineStr">
        <is>
          <t>Doce de Leite c/ Café 5KG</t>
        </is>
      </c>
      <c r="G1207" s="23" t="inlineStr">
        <is>
          <t>DOCE</t>
        </is>
      </c>
      <c r="H1207" s="35" t="n">
        <v>5</v>
      </c>
      <c r="I1207" s="36" t="n">
        <v>0</v>
      </c>
      <c r="J1207" s="21">
        <f>I1207*H1207</f>
        <v/>
      </c>
      <c r="K1207" s="21">
        <f>IFERROR(IF(J1207/P1207&gt;1,P1207,J1207),0)</f>
        <v/>
      </c>
      <c r="L1207" s="36" t="n">
        <v>0</v>
      </c>
      <c r="M1207" s="21">
        <f>L1207*H1207</f>
        <v/>
      </c>
      <c r="N1207" s="21">
        <f>IFERROR(IF(M1207/K1207&gt;1,K1207,M1207),0)</f>
        <v/>
      </c>
      <c r="O1207" s="36" t="n">
        <v>160</v>
      </c>
      <c r="P1207" s="21">
        <f>O1207*H1207</f>
        <v/>
      </c>
      <c r="Q1207" s="30">
        <f>IF(MONTH(E1207+1)=MONTH(E1207+6),MONTH(E1207+1),IF(MIN(EOMONTH(E1207+1,0),E1207+6)-(E1207+1)+1&gt;=3,MONTH(E1207+1),MONTH(E1207+6)))</f>
        <v/>
      </c>
      <c r="R1207" s="22">
        <f>IFERROR(K1207/P1207, 0)</f>
        <v/>
      </c>
      <c r="S1207" s="38">
        <f>IFERROR(N1207/P1207,0)</f>
        <v/>
      </c>
      <c r="T1207" s="31">
        <f>IFERROR(IF(N1207&gt;0,(N1207/K1207),MIN(1,M1207/J1207)),0)</f>
        <v/>
      </c>
      <c r="U1207" s="33" t="n"/>
    </row>
    <row r="1208" hidden="1" s="40">
      <c r="A1208" s="18" t="inlineStr">
        <is>
          <t>Semana 2 - Julho</t>
        </is>
      </c>
      <c r="B1208" s="27">
        <f>YEAR(E1208)</f>
        <v/>
      </c>
      <c r="C1208" s="18">
        <f>INDEX({"Janeiro";"Fevereiro";"Março";"Abril";"Maio";"Junho";"Julho";"Agosto";"Setembro";"Outubro";"Novembro";"Dezembro"},Q1208)</f>
        <v/>
      </c>
      <c r="D1208" s="19" t="n">
        <v>2</v>
      </c>
      <c r="E1208" s="20" t="n">
        <v>46209</v>
      </c>
      <c r="F1208" s="23" t="inlineStr">
        <is>
          <t>Doce de Leite Zero Açúcar e Lactose 400g</t>
        </is>
      </c>
      <c r="G1208" s="23" t="inlineStr">
        <is>
          <t>DOCE</t>
        </is>
      </c>
      <c r="H1208" s="34" t="n">
        <v>0.4</v>
      </c>
      <c r="I1208" s="36" t="n">
        <v>24000</v>
      </c>
      <c r="J1208" s="21">
        <f>I1208*H1208</f>
        <v/>
      </c>
      <c r="K1208" s="21">
        <f>IFERROR(IF(J1208/P1208&gt;1,P1208,J1208),0)</f>
        <v/>
      </c>
      <c r="L1208" s="36" t="n">
        <v>21808</v>
      </c>
      <c r="M1208" s="21">
        <f>L1208*H1208</f>
        <v/>
      </c>
      <c r="N1208" s="21">
        <f>IFERROR(IF(M1208/K1208&gt;1,K1208,M1208),0)</f>
        <v/>
      </c>
      <c r="O1208" s="36" t="n">
        <v>24000</v>
      </c>
      <c r="P1208" s="21">
        <f>O1208*H1208</f>
        <v/>
      </c>
      <c r="Q1208" s="30">
        <f>IF(MONTH(E1208+1)=MONTH(E1208+6),MONTH(E1208+1),IF(MIN(EOMONTH(E1208+1,0),E1208+6)-(E1208+1)+1&gt;=3,MONTH(E1208+1),MONTH(E1208+6)))</f>
        <v/>
      </c>
      <c r="R1208" s="22">
        <f>IFERROR(K1208/P1208, 0)</f>
        <v/>
      </c>
      <c r="S1208" s="38">
        <f>IFERROR(N1208/P1208,0)</f>
        <v/>
      </c>
      <c r="T1208" s="31">
        <f>IFERROR(IF(N1208&gt;0,(N1208/K1208),MIN(1,M1208/J1208)),0)</f>
        <v/>
      </c>
      <c r="U1208" s="33" t="n"/>
    </row>
    <row r="1209" hidden="1" s="40">
      <c r="A1209" s="18" t="inlineStr">
        <is>
          <t>Semana 2 - Julho</t>
        </is>
      </c>
      <c r="B1209" s="27">
        <f>YEAR(E1209)</f>
        <v/>
      </c>
      <c r="C1209" s="18">
        <f>INDEX({"Janeiro";"Fevereiro";"Março";"Abril";"Maio";"Junho";"Julho";"Agosto";"Setembro";"Outubro";"Novembro";"Dezembro"},Q1209)</f>
        <v/>
      </c>
      <c r="D1209" s="19" t="n">
        <v>2</v>
      </c>
      <c r="E1209" s="20" t="n">
        <v>46209</v>
      </c>
      <c r="F1209" s="18" t="inlineStr">
        <is>
          <t>Iogurte Abacaxi c/ Coco 120g</t>
        </is>
      </c>
      <c r="G1209" s="23" t="inlineStr">
        <is>
          <t>IOGURTE</t>
        </is>
      </c>
      <c r="H1209" s="34" t="n">
        <v>0.12</v>
      </c>
      <c r="I1209" s="36" t="n">
        <v>2000</v>
      </c>
      <c r="J1209" s="21">
        <f>I1209*H1209</f>
        <v/>
      </c>
      <c r="K1209" s="21">
        <f>IFERROR(IF(J1209/P1209&gt;1,P1209,J1209),0)</f>
        <v/>
      </c>
      <c r="L1209" s="36" t="n">
        <v>2389</v>
      </c>
      <c r="M1209" s="21">
        <f>L1209*H1209</f>
        <v/>
      </c>
      <c r="N1209" s="21">
        <f>IFERROR(IF(M1209/K1209&gt;1,K1209,M1209),0)</f>
        <v/>
      </c>
      <c r="O1209" s="36" t="n">
        <v>2000</v>
      </c>
      <c r="P1209" s="21">
        <f>O1209*H1209</f>
        <v/>
      </c>
      <c r="Q1209" s="30">
        <f>IF(MONTH(E1209+1)=MONTH(E1209+6),MONTH(E1209+1),IF(MIN(EOMONTH(E1209+1,0),E1209+6)-(E1209+1)+1&gt;=3,MONTH(E1209+1),MONTH(E1209+6)))</f>
        <v/>
      </c>
      <c r="R1209" s="22">
        <f>IFERROR(K1209/P1209, 0)</f>
        <v/>
      </c>
      <c r="S1209" s="38">
        <f>IFERROR(N1209/P1209,0)</f>
        <v/>
      </c>
      <c r="T1209" s="31">
        <f>IFERROR(IF(N1209&gt;0,(N1209/K1209),MIN(1,M1209/J1209)),0)</f>
        <v/>
      </c>
      <c r="U1209" s="33" t="n"/>
    </row>
    <row r="1210" hidden="1" s="40">
      <c r="A1210" s="18" t="inlineStr">
        <is>
          <t>Semana 2 - Julho</t>
        </is>
      </c>
      <c r="B1210" s="27">
        <f>YEAR(E1210)</f>
        <v/>
      </c>
      <c r="C1210" s="18">
        <f>INDEX({"Janeiro";"Fevereiro";"Março";"Abril";"Maio";"Junho";"Julho";"Agosto";"Setembro";"Outubro";"Novembro";"Dezembro"},Q1210)</f>
        <v/>
      </c>
      <c r="D1210" s="19" t="n">
        <v>2</v>
      </c>
      <c r="E1210" s="20" t="n">
        <v>46209</v>
      </c>
      <c r="F1210" s="23" t="inlineStr">
        <is>
          <t>Iogurte Abacaxi c/ Coco 185g</t>
        </is>
      </c>
      <c r="G1210" s="23" t="inlineStr">
        <is>
          <t>IOGURTE</t>
        </is>
      </c>
      <c r="H1210" s="35" t="n">
        <v>0.185</v>
      </c>
      <c r="I1210" s="36" t="n">
        <v>260</v>
      </c>
      <c r="J1210" s="21">
        <f>I1210*H1210</f>
        <v/>
      </c>
      <c r="K1210" s="21">
        <f>IFERROR(IF(J1210/P1210&gt;1,P1210,J1210),0)</f>
        <v/>
      </c>
      <c r="L1210" s="36" t="n">
        <v>255</v>
      </c>
      <c r="M1210" s="21">
        <f>L1210*H1210</f>
        <v/>
      </c>
      <c r="N1210" s="21">
        <f>IFERROR(IF(M1210/K1210&gt;1,K1210,M1210),0)</f>
        <v/>
      </c>
      <c r="O1210" s="36" t="n">
        <v>260</v>
      </c>
      <c r="P1210" s="21">
        <f>O1210*H1210</f>
        <v/>
      </c>
      <c r="Q1210" s="30">
        <f>IF(MONTH(E1210+1)=MONTH(E1210+6),MONTH(E1210+1),IF(MIN(EOMONTH(E1210+1,0),E1210+6)-(E1210+1)+1&gt;=3,MONTH(E1210+1),MONTH(E1210+6)))</f>
        <v/>
      </c>
      <c r="R1210" s="22">
        <f>IFERROR(K1210/P1210, 0)</f>
        <v/>
      </c>
      <c r="S1210" s="38">
        <f>IFERROR(N1210/P1210,0)</f>
        <v/>
      </c>
      <c r="T1210" s="31">
        <f>IFERROR(IF(N1210&gt;0,(N1210/K1210),MIN(1,M1210/J1210)),0)</f>
        <v/>
      </c>
      <c r="U1210" s="33" t="n"/>
    </row>
    <row r="1211" hidden="1" s="40">
      <c r="A1211" s="18" t="inlineStr">
        <is>
          <t>Semana 2 - Julho</t>
        </is>
      </c>
      <c r="B1211" s="27">
        <f>YEAR(E1211)</f>
        <v/>
      </c>
      <c r="C1211" s="18">
        <f>INDEX({"Janeiro";"Fevereiro";"Março";"Abril";"Maio";"Junho";"Julho";"Agosto";"Setembro";"Outubro";"Novembro";"Dezembro"},Q1211)</f>
        <v/>
      </c>
      <c r="D1211" s="19" t="n">
        <v>2</v>
      </c>
      <c r="E1211" s="20" t="n">
        <v>46209</v>
      </c>
      <c r="F1211" s="18" t="inlineStr">
        <is>
          <t>Iogurte Abacaxi c/ Coco 900g</t>
        </is>
      </c>
      <c r="G1211" s="23" t="inlineStr">
        <is>
          <t>IOGURTE</t>
        </is>
      </c>
      <c r="H1211" s="34" t="n">
        <v>0.9</v>
      </c>
      <c r="I1211" s="36" t="n">
        <v>1890</v>
      </c>
      <c r="J1211" s="21">
        <f>I1211*H1211</f>
        <v/>
      </c>
      <c r="K1211" s="21">
        <f>IFERROR(IF(J1211/P1211&gt;1,P1211,J1211),0)</f>
        <v/>
      </c>
      <c r="L1211" s="36" t="n">
        <v>1679</v>
      </c>
      <c r="M1211" s="21">
        <f>L1211*H1211</f>
        <v/>
      </c>
      <c r="N1211" s="21">
        <f>IFERROR(IF(M1211/K1211&gt;1,K1211,M1211),0)</f>
        <v/>
      </c>
      <c r="O1211" s="36" t="n">
        <v>1800</v>
      </c>
      <c r="P1211" s="21">
        <f>O1211*H1211</f>
        <v/>
      </c>
      <c r="Q1211" s="30">
        <f>IF(MONTH(E1211+1)=MONTH(E1211+6),MONTH(E1211+1),IF(MIN(EOMONTH(E1211+1,0),E1211+6)-(E1211+1)+1&gt;=3,MONTH(E1211+1),MONTH(E1211+6)))</f>
        <v/>
      </c>
      <c r="R1211" s="22">
        <f>IFERROR(K1211/P1211, 0)</f>
        <v/>
      </c>
      <c r="S1211" s="38">
        <f>IFERROR(N1211/P1211,0)</f>
        <v/>
      </c>
      <c r="T1211" s="31">
        <f>IFERROR(IF(N1211&gt;0,(N1211/K1211),MIN(1,M1211/J1211)),0)</f>
        <v/>
      </c>
      <c r="U1211" s="33" t="n"/>
    </row>
    <row r="1212" hidden="1" s="40">
      <c r="A1212" s="18" t="inlineStr">
        <is>
          <t>Semana 2 - Julho</t>
        </is>
      </c>
      <c r="B1212" s="27">
        <f>YEAR(E1212)</f>
        <v/>
      </c>
      <c r="C1212" s="18">
        <f>INDEX({"Janeiro";"Fevereiro";"Março";"Abril";"Maio";"Junho";"Julho";"Agosto";"Setembro";"Outubro";"Novembro";"Dezembro"},Q1212)</f>
        <v/>
      </c>
      <c r="D1212" s="19" t="n">
        <v>2</v>
      </c>
      <c r="E1212" s="20" t="n">
        <v>46209</v>
      </c>
      <c r="F1212" s="23" t="inlineStr">
        <is>
          <t>Iogurte Coco 120g</t>
        </is>
      </c>
      <c r="G1212" s="23" t="inlineStr">
        <is>
          <t>IOGURTE</t>
        </is>
      </c>
      <c r="H1212" s="34" t="n">
        <v>0.12</v>
      </c>
      <c r="I1212" s="36" t="n">
        <v>2000</v>
      </c>
      <c r="J1212" s="21">
        <f>I1212*H1212</f>
        <v/>
      </c>
      <c r="K1212" s="21">
        <f>IFERROR(IF(J1212/P1212&gt;1,P1212,J1212),0)</f>
        <v/>
      </c>
      <c r="L1212" s="36" t="n">
        <v>1185</v>
      </c>
      <c r="M1212" s="21">
        <f>L1212*H1212</f>
        <v/>
      </c>
      <c r="N1212" s="21">
        <f>IFERROR(IF(M1212/K1212&gt;1,K1212,M1212),0)</f>
        <v/>
      </c>
      <c r="O1212" s="36" t="n">
        <v>2000</v>
      </c>
      <c r="P1212" s="21">
        <f>O1212*H1212</f>
        <v/>
      </c>
      <c r="Q1212" s="30">
        <f>IF(MONTH(E1212+1)=MONTH(E1212+6),MONTH(E1212+1),IF(MIN(EOMONTH(E1212+1,0),E1212+6)-(E1212+1)+1&gt;=3,MONTH(E1212+1),MONTH(E1212+6)))</f>
        <v/>
      </c>
      <c r="R1212" s="22">
        <f>IFERROR(K1212/P1212, 0)</f>
        <v/>
      </c>
      <c r="S1212" s="38">
        <f>IFERROR(N1212/P1212,0)</f>
        <v/>
      </c>
      <c r="T1212" s="31">
        <f>IFERROR(IF(N1212&gt;0,(N1212/K1212),MIN(1,M1212/J1212)),0)</f>
        <v/>
      </c>
      <c r="U1212" s="33" t="n"/>
    </row>
    <row r="1213" hidden="1" s="40">
      <c r="A1213" s="18" t="inlineStr">
        <is>
          <t>Semana 2 - Julho</t>
        </is>
      </c>
      <c r="B1213" s="27">
        <f>YEAR(E1213)</f>
        <v/>
      </c>
      <c r="C1213" s="18">
        <f>INDEX({"Janeiro";"Fevereiro";"Março";"Abril";"Maio";"Junho";"Julho";"Agosto";"Setembro";"Outubro";"Novembro";"Dezembro"},Q1213)</f>
        <v/>
      </c>
      <c r="D1213" s="19" t="n">
        <v>2</v>
      </c>
      <c r="E1213" s="20" t="n">
        <v>46209</v>
      </c>
      <c r="F1213" s="18" t="inlineStr">
        <is>
          <t>Iogurte Coco 185g</t>
        </is>
      </c>
      <c r="G1213" s="23" t="inlineStr">
        <is>
          <t>IOGURTE</t>
        </is>
      </c>
      <c r="H1213" s="35" t="n">
        <v>0.185</v>
      </c>
      <c r="I1213" s="36" t="n">
        <v>560</v>
      </c>
      <c r="J1213" s="21">
        <f>I1213*H1213</f>
        <v/>
      </c>
      <c r="K1213" s="21">
        <f>IFERROR(IF(J1213/P1213&gt;1,P1213,J1213),0)</f>
        <v/>
      </c>
      <c r="L1213" s="36" t="n">
        <v>749</v>
      </c>
      <c r="M1213" s="21">
        <f>L1213*H1213</f>
        <v/>
      </c>
      <c r="N1213" s="21">
        <f>IFERROR(IF(M1213/K1213&gt;1,K1213,M1213),0)</f>
        <v/>
      </c>
      <c r="O1213" s="36" t="n">
        <v>560</v>
      </c>
      <c r="P1213" s="21">
        <f>O1213*H1213</f>
        <v/>
      </c>
      <c r="Q1213" s="30">
        <f>IF(MONTH(E1213+1)=MONTH(E1213+6),MONTH(E1213+1),IF(MIN(EOMONTH(E1213+1,0),E1213+6)-(E1213+1)+1&gt;=3,MONTH(E1213+1),MONTH(E1213+6)))</f>
        <v/>
      </c>
      <c r="R1213" s="22">
        <f>IFERROR(K1213/P1213, 0)</f>
        <v/>
      </c>
      <c r="S1213" s="38">
        <f>IFERROR(N1213/P1213,0)</f>
        <v/>
      </c>
      <c r="T1213" s="31">
        <f>IFERROR(IF(N1213&gt;0,(N1213/K1213),MIN(1,M1213/J1213)),0)</f>
        <v/>
      </c>
      <c r="U1213" s="33" t="n"/>
    </row>
    <row r="1214" hidden="1" s="40">
      <c r="A1214" s="18" t="inlineStr">
        <is>
          <t>Semana 2 - Julho</t>
        </is>
      </c>
      <c r="B1214" s="27">
        <f>YEAR(E1214)</f>
        <v/>
      </c>
      <c r="C1214" s="18">
        <f>INDEX({"Janeiro";"Fevereiro";"Março";"Abril";"Maio";"Junho";"Julho";"Agosto";"Setembro";"Outubro";"Novembro";"Dezembro"},Q1214)</f>
        <v/>
      </c>
      <c r="D1214" s="19" t="n">
        <v>2</v>
      </c>
      <c r="E1214" s="20" t="n">
        <v>46209</v>
      </c>
      <c r="F1214" s="23" t="inlineStr">
        <is>
          <t>Iogurte Coco 900g</t>
        </is>
      </c>
      <c r="G1214" s="23" t="inlineStr">
        <is>
          <t>IOGURTE</t>
        </is>
      </c>
      <c r="H1214" s="34" t="n">
        <v>0.9</v>
      </c>
      <c r="I1214" s="36" t="n">
        <v>1200</v>
      </c>
      <c r="J1214" s="21">
        <f>I1214*H1214</f>
        <v/>
      </c>
      <c r="K1214" s="21">
        <f>IFERROR(IF(J1214/P1214&gt;1,P1214,J1214),0)</f>
        <v/>
      </c>
      <c r="L1214" s="36" t="n">
        <v>1116</v>
      </c>
      <c r="M1214" s="21">
        <f>L1214*H1214</f>
        <v/>
      </c>
      <c r="N1214" s="21">
        <f>IFERROR(IF(M1214/K1214&gt;1,K1214,M1214),0)</f>
        <v/>
      </c>
      <c r="O1214" s="36" t="n">
        <v>1200</v>
      </c>
      <c r="P1214" s="21">
        <f>O1214*H1214</f>
        <v/>
      </c>
      <c r="Q1214" s="30">
        <f>IF(MONTH(E1214+1)=MONTH(E1214+6),MONTH(E1214+1),IF(MIN(EOMONTH(E1214+1,0),E1214+6)-(E1214+1)+1&gt;=3,MONTH(E1214+1),MONTH(E1214+6)))</f>
        <v/>
      </c>
      <c r="R1214" s="22">
        <f>IFERROR(K1214/P1214, 0)</f>
        <v/>
      </c>
      <c r="S1214" s="38">
        <f>IFERROR(N1214/P1214,0)</f>
        <v/>
      </c>
      <c r="T1214" s="31">
        <f>IFERROR(IF(N1214&gt;0,(N1214/K1214),MIN(1,M1214/J1214)),0)</f>
        <v/>
      </c>
      <c r="U1214" s="33" t="n"/>
    </row>
    <row r="1215" hidden="1" s="40">
      <c r="A1215" s="18" t="inlineStr">
        <is>
          <t>Semana 2 - Julho</t>
        </is>
      </c>
      <c r="B1215" s="27">
        <f>YEAR(E1215)</f>
        <v/>
      </c>
      <c r="C1215" s="18">
        <f>INDEX({"Janeiro";"Fevereiro";"Março";"Abril";"Maio";"Junho";"Julho";"Agosto";"Setembro";"Outubro";"Novembro";"Dezembro"},Q1215)</f>
        <v/>
      </c>
      <c r="D1215" s="19" t="n">
        <v>2</v>
      </c>
      <c r="E1215" s="20" t="n">
        <v>46209</v>
      </c>
      <c r="F1215" s="18" t="inlineStr">
        <is>
          <t>Iogurte Morango 120g</t>
        </is>
      </c>
      <c r="G1215" s="23" t="inlineStr">
        <is>
          <t>IOGURTE</t>
        </is>
      </c>
      <c r="H1215" s="34" t="n">
        <v>0.12</v>
      </c>
      <c r="I1215" s="36" t="n">
        <v>18000</v>
      </c>
      <c r="J1215" s="21">
        <f>I1215*H1215</f>
        <v/>
      </c>
      <c r="K1215" s="21">
        <f>IFERROR(IF(J1215/P1215&gt;1,P1215,J1215),0)</f>
        <v/>
      </c>
      <c r="L1215" s="36" t="n">
        <v>16598</v>
      </c>
      <c r="M1215" s="21">
        <f>L1215*H1215</f>
        <v/>
      </c>
      <c r="N1215" s="21">
        <f>IFERROR(IF(M1215/K1215&gt;1,K1215,M1215),0)</f>
        <v/>
      </c>
      <c r="O1215" s="36" t="n">
        <v>18000</v>
      </c>
      <c r="P1215" s="21">
        <f>O1215*H1215</f>
        <v/>
      </c>
      <c r="Q1215" s="30">
        <f>IF(MONTH(E1215+1)=MONTH(E1215+6),MONTH(E1215+1),IF(MIN(EOMONTH(E1215+1,0),E1215+6)-(E1215+1)+1&gt;=3,MONTH(E1215+1),MONTH(E1215+6)))</f>
        <v/>
      </c>
      <c r="R1215" s="22">
        <f>IFERROR(K1215/P1215, 0)</f>
        <v/>
      </c>
      <c r="S1215" s="38">
        <f>IFERROR(N1215/P1215,0)</f>
        <v/>
      </c>
      <c r="T1215" s="31">
        <f>IFERROR(IF(N1215&gt;0,(N1215/K1215),MIN(1,M1215/J1215)),0)</f>
        <v/>
      </c>
      <c r="U1215" s="33" t="n"/>
    </row>
    <row r="1216" hidden="1" s="40">
      <c r="A1216" s="18" t="inlineStr">
        <is>
          <t>Semana 2 - Julho</t>
        </is>
      </c>
      <c r="B1216" s="27">
        <f>YEAR(E1216)</f>
        <v/>
      </c>
      <c r="C1216" s="18">
        <f>INDEX({"Janeiro";"Fevereiro";"Março";"Abril";"Maio";"Junho";"Julho";"Agosto";"Setembro";"Outubro";"Novembro";"Dezembro"},Q1216)</f>
        <v/>
      </c>
      <c r="D1216" s="19" t="n">
        <v>2</v>
      </c>
      <c r="E1216" s="20" t="n">
        <v>46209</v>
      </c>
      <c r="F1216" s="23" t="inlineStr">
        <is>
          <t>Iogurte Morango 185g</t>
        </is>
      </c>
      <c r="G1216" s="23" t="inlineStr">
        <is>
          <t>IOGURTE</t>
        </is>
      </c>
      <c r="H1216" s="35" t="n">
        <v>0.185</v>
      </c>
      <c r="I1216" s="36" t="n">
        <v>1820</v>
      </c>
      <c r="J1216" s="21">
        <f>I1216*H1216</f>
        <v/>
      </c>
      <c r="K1216" s="21">
        <f>IFERROR(IF(J1216/P1216&gt;1,P1216,J1216),0)</f>
        <v/>
      </c>
      <c r="L1216" s="36" t="n">
        <v>1773</v>
      </c>
      <c r="M1216" s="21">
        <f>L1216*H1216</f>
        <v/>
      </c>
      <c r="N1216" s="21">
        <f>IFERROR(IF(M1216/K1216&gt;1,K1216,M1216),0)</f>
        <v/>
      </c>
      <c r="O1216" s="36" t="n">
        <v>1820</v>
      </c>
      <c r="P1216" s="21">
        <f>O1216*H1216</f>
        <v/>
      </c>
      <c r="Q1216" s="30">
        <f>IF(MONTH(E1216+1)=MONTH(E1216+6),MONTH(E1216+1),IF(MIN(EOMONTH(E1216+1,0),E1216+6)-(E1216+1)+1&gt;=3,MONTH(E1216+1),MONTH(E1216+6)))</f>
        <v/>
      </c>
      <c r="R1216" s="22">
        <f>IFERROR(K1216/P1216, 0)</f>
        <v/>
      </c>
      <c r="S1216" s="38">
        <f>IFERROR(N1216/P1216,0)</f>
        <v/>
      </c>
      <c r="T1216" s="31">
        <f>IFERROR(IF(N1216&gt;0,(N1216/K1216),MIN(1,M1216/J1216)),0)</f>
        <v/>
      </c>
      <c r="U1216" s="33" t="n"/>
    </row>
    <row r="1217" hidden="1" s="40">
      <c r="A1217" s="18" t="inlineStr">
        <is>
          <t>Semana 2 - Julho</t>
        </is>
      </c>
      <c r="B1217" s="27">
        <f>YEAR(E1217)</f>
        <v/>
      </c>
      <c r="C1217" s="18">
        <f>INDEX({"Janeiro";"Fevereiro";"Março";"Abril";"Maio";"Junho";"Julho";"Agosto";"Setembro";"Outubro";"Novembro";"Dezembro"},Q1217)</f>
        <v/>
      </c>
      <c r="D1217" s="19" t="n">
        <v>2</v>
      </c>
      <c r="E1217" s="20" t="n">
        <v>46209</v>
      </c>
      <c r="F1217" s="18" t="inlineStr">
        <is>
          <t>Iogurte Morango 900G</t>
        </is>
      </c>
      <c r="G1217" s="23" t="inlineStr">
        <is>
          <t>IOGURTE</t>
        </is>
      </c>
      <c r="H1217" s="34" t="n">
        <v>0.9</v>
      </c>
      <c r="I1217" s="36" t="n">
        <v>1300</v>
      </c>
      <c r="J1217" s="21">
        <f>I1217*H1217</f>
        <v/>
      </c>
      <c r="K1217" s="21">
        <f>IFERROR(IF(J1217/P1217&gt;1,P1217,J1217),0)</f>
        <v/>
      </c>
      <c r="L1217" s="36" t="n">
        <v>1307</v>
      </c>
      <c r="M1217" s="21">
        <f>L1217*H1217</f>
        <v/>
      </c>
      <c r="N1217" s="21">
        <f>IFERROR(IF(M1217/K1217&gt;1,K1217,M1217),0)</f>
        <v/>
      </c>
      <c r="O1217" s="36" t="n">
        <v>1300</v>
      </c>
      <c r="P1217" s="21">
        <f>O1217*H1217</f>
        <v/>
      </c>
      <c r="Q1217" s="30">
        <f>IF(MONTH(E1217+1)=MONTH(E1217+6),MONTH(E1217+1),IF(MIN(EOMONTH(E1217+1,0),E1217+6)-(E1217+1)+1&gt;=3,MONTH(E1217+1),MONTH(E1217+6)))</f>
        <v/>
      </c>
      <c r="R1217" s="22">
        <f>IFERROR(K1217/P1217, 0)</f>
        <v/>
      </c>
      <c r="S1217" s="38">
        <f>IFERROR(N1217/P1217,0)</f>
        <v/>
      </c>
      <c r="T1217" s="31">
        <f>IFERROR(IF(N1217&gt;0,(N1217/K1217),MIN(1,M1217/J1217)),0)</f>
        <v/>
      </c>
      <c r="U1217" s="33" t="n"/>
    </row>
    <row r="1218" hidden="1" s="40">
      <c r="A1218" s="18" t="inlineStr">
        <is>
          <t>Semana 2 - Julho</t>
        </is>
      </c>
      <c r="B1218" s="27">
        <f>YEAR(E1218)</f>
        <v/>
      </c>
      <c r="C1218" s="18">
        <f>INDEX({"Janeiro";"Fevereiro";"Março";"Abril";"Maio";"Junho";"Julho";"Agosto";"Setembro";"Outubro";"Novembro";"Dezembro"},Q1218)</f>
        <v/>
      </c>
      <c r="D1218" s="19" t="n">
        <v>2</v>
      </c>
      <c r="E1218" s="20" t="n">
        <v>46209</v>
      </c>
      <c r="F1218" s="23" t="inlineStr">
        <is>
          <t>Iogurte Natural Integral 170g</t>
        </is>
      </c>
      <c r="G1218" s="23" t="inlineStr">
        <is>
          <t>IOGURTE</t>
        </is>
      </c>
      <c r="H1218" s="35" t="n">
        <v>0.17</v>
      </c>
      <c r="I1218" s="36" t="n">
        <v>3820</v>
      </c>
      <c r="J1218" s="21">
        <f>I1218*H1218</f>
        <v/>
      </c>
      <c r="K1218" s="21">
        <f>IFERROR(IF(J1218/P1218&gt;1,P1218,J1218),0)</f>
        <v/>
      </c>
      <c r="L1218" s="36" t="n">
        <v>3461</v>
      </c>
      <c r="M1218" s="21">
        <f>L1218*H1218</f>
        <v/>
      </c>
      <c r="N1218" s="21">
        <f>IFERROR(IF(M1218/K1218&gt;1,K1218,M1218),0)</f>
        <v/>
      </c>
      <c r="O1218" s="36" t="n">
        <v>3800</v>
      </c>
      <c r="P1218" s="21">
        <f>O1218*H1218</f>
        <v/>
      </c>
      <c r="Q1218" s="30">
        <f>IF(MONTH(E1218+1)=MONTH(E1218+6),MONTH(E1218+1),IF(MIN(EOMONTH(E1218+1,0),E1218+6)-(E1218+1)+1&gt;=3,MONTH(E1218+1),MONTH(E1218+6)))</f>
        <v/>
      </c>
      <c r="R1218" s="22">
        <f>IFERROR(K1218/P1218, 0)</f>
        <v/>
      </c>
      <c r="S1218" s="38">
        <f>IFERROR(N1218/P1218,0)</f>
        <v/>
      </c>
      <c r="T1218" s="31">
        <f>IFERROR(IF(N1218&gt;0,(N1218/K1218),MIN(1,M1218/J1218)),0)</f>
        <v/>
      </c>
      <c r="U1218" s="33" t="n"/>
    </row>
    <row r="1219" hidden="1" s="40">
      <c r="A1219" s="18" t="inlineStr">
        <is>
          <t>Semana 2 - Julho</t>
        </is>
      </c>
      <c r="B1219" s="27">
        <f>YEAR(E1219)</f>
        <v/>
      </c>
      <c r="C1219" s="18">
        <f>INDEX({"Janeiro";"Fevereiro";"Março";"Abril";"Maio";"Junho";"Julho";"Agosto";"Setembro";"Outubro";"Novembro";"Dezembro"},Q1219)</f>
        <v/>
      </c>
      <c r="D1219" s="19" t="n">
        <v>2</v>
      </c>
      <c r="E1219" s="20" t="n">
        <v>46209</v>
      </c>
      <c r="F1219" s="18" t="inlineStr">
        <is>
          <t>Iogurte Natural Triplo Zero 170g</t>
        </is>
      </c>
      <c r="G1219" s="23" t="inlineStr">
        <is>
          <t>IOGURTE</t>
        </is>
      </c>
      <c r="H1219" s="34" t="n">
        <v>0.17</v>
      </c>
      <c r="I1219" s="36" t="n">
        <v>3820</v>
      </c>
      <c r="J1219" s="21">
        <f>I1219*H1219</f>
        <v/>
      </c>
      <c r="K1219" s="21">
        <f>IFERROR(IF(J1219/P1219&gt;1,P1219,J1219),0)</f>
        <v/>
      </c>
      <c r="L1219" s="36" t="n">
        <v>3770</v>
      </c>
      <c r="M1219" s="21">
        <f>L1219*H1219</f>
        <v/>
      </c>
      <c r="N1219" s="21">
        <f>IFERROR(IF(M1219/K1219&gt;1,K1219,M1219),0)</f>
        <v/>
      </c>
      <c r="O1219" s="36" t="n">
        <v>3800</v>
      </c>
      <c r="P1219" s="21">
        <f>O1219*H1219</f>
        <v/>
      </c>
      <c r="Q1219" s="30">
        <f>IF(MONTH(E1219+1)=MONTH(E1219+6),MONTH(E1219+1),IF(MIN(EOMONTH(E1219+1,0),E1219+6)-(E1219+1)+1&gt;=3,MONTH(E1219+1),MONTH(E1219+6)))</f>
        <v/>
      </c>
      <c r="R1219" s="22">
        <f>IFERROR(K1219/P1219, 0)</f>
        <v/>
      </c>
      <c r="S1219" s="38">
        <f>IFERROR(N1219/P1219,0)</f>
        <v/>
      </c>
      <c r="T1219" s="31">
        <f>IFERROR(IF(N1219&gt;0,(N1219/K1219),MIN(1,M1219/J1219)),0)</f>
        <v/>
      </c>
      <c r="U1219" s="33" t="n"/>
    </row>
    <row r="1220" hidden="1" s="40">
      <c r="A1220" s="18" t="inlineStr">
        <is>
          <t>Semana 2 - Julho</t>
        </is>
      </c>
      <c r="B1220" s="27">
        <f>YEAR(E1220)</f>
        <v/>
      </c>
      <c r="C1220" s="18">
        <f>INDEX({"Janeiro";"Fevereiro";"Março";"Abril";"Maio";"Junho";"Julho";"Agosto";"Setembro";"Outubro";"Novembro";"Dezembro"},Q1220)</f>
        <v/>
      </c>
      <c r="D1220" s="19" t="n">
        <v>2</v>
      </c>
      <c r="E1220" s="20" t="n">
        <v>46209</v>
      </c>
      <c r="F1220" s="18" t="inlineStr">
        <is>
          <t>Iogurte Salada 120g</t>
        </is>
      </c>
      <c r="G1220" s="23" t="inlineStr">
        <is>
          <t>IOGURTE</t>
        </is>
      </c>
      <c r="H1220" s="34" t="n">
        <v>0.12</v>
      </c>
      <c r="I1220" s="36" t="n">
        <v>2000</v>
      </c>
      <c r="J1220" s="21">
        <f>I1220*H1220</f>
        <v/>
      </c>
      <c r="K1220" s="21">
        <f>IFERROR(IF(J1220/P1220&gt;1,P1220,J1220),0)</f>
        <v/>
      </c>
      <c r="L1220" s="36" t="n">
        <v>2250</v>
      </c>
      <c r="M1220" s="21">
        <f>L1220*H1220</f>
        <v/>
      </c>
      <c r="N1220" s="21">
        <f>IFERROR(IF(M1220/K1220&gt;1,K1220,M1220),0)</f>
        <v/>
      </c>
      <c r="O1220" s="36" t="n">
        <v>2000</v>
      </c>
      <c r="P1220" s="21">
        <f>O1220*H1220</f>
        <v/>
      </c>
      <c r="Q1220" s="30">
        <f>IF(MONTH(E1220+1)=MONTH(E1220+6),MONTH(E1220+1),IF(MIN(EOMONTH(E1220+1,0),E1220+6)-(E1220+1)+1&gt;=3,MONTH(E1220+1),MONTH(E1220+6)))</f>
        <v/>
      </c>
      <c r="R1220" s="22">
        <f>IFERROR(K1220/P1220, 0)</f>
        <v/>
      </c>
      <c r="S1220" s="38">
        <f>IFERROR(N1220/P1220,0)</f>
        <v/>
      </c>
      <c r="T1220" s="31">
        <f>IFERROR(IF(N1220&gt;0,(N1220/K1220),MIN(1,M1220/J1220)),0)</f>
        <v/>
      </c>
      <c r="U1220" s="33" t="n"/>
    </row>
    <row r="1221" hidden="1" s="40">
      <c r="A1221" s="18" t="inlineStr">
        <is>
          <t>Semana 2 - Julho</t>
        </is>
      </c>
      <c r="B1221" s="27">
        <f>YEAR(E1221)</f>
        <v/>
      </c>
      <c r="C1221" s="18">
        <f>INDEX({"Janeiro";"Fevereiro";"Março";"Abril";"Maio";"Junho";"Julho";"Agosto";"Setembro";"Outubro";"Novembro";"Dezembro"},Q1221)</f>
        <v/>
      </c>
      <c r="D1221" s="19" t="n">
        <v>2</v>
      </c>
      <c r="E1221" s="20" t="n">
        <v>46209</v>
      </c>
      <c r="F1221" s="23" t="inlineStr">
        <is>
          <t>Iogurte Salada 185g</t>
        </is>
      </c>
      <c r="G1221" s="23" t="inlineStr">
        <is>
          <t>IOGURTE</t>
        </is>
      </c>
      <c r="H1221" s="35" t="n">
        <v>0.185</v>
      </c>
      <c r="I1221" s="36" t="n">
        <v>780</v>
      </c>
      <c r="J1221" s="21">
        <f>I1221*H1221</f>
        <v/>
      </c>
      <c r="K1221" s="21">
        <f>IFERROR(IF(J1221/P1221&gt;1,P1221,J1221),0)</f>
        <v/>
      </c>
      <c r="L1221" s="36" t="n">
        <v>773</v>
      </c>
      <c r="M1221" s="21">
        <f>L1221*H1221</f>
        <v/>
      </c>
      <c r="N1221" s="21">
        <f>IFERROR(IF(M1221/K1221&gt;1,K1221,M1221),0)</f>
        <v/>
      </c>
      <c r="O1221" s="36" t="n">
        <v>560</v>
      </c>
      <c r="P1221" s="21">
        <f>O1221*H1221</f>
        <v/>
      </c>
      <c r="Q1221" s="30">
        <f>IF(MONTH(E1221+1)=MONTH(E1221+6),MONTH(E1221+1),IF(MIN(EOMONTH(E1221+1,0),E1221+6)-(E1221+1)+1&gt;=3,MONTH(E1221+1),MONTH(E1221+6)))</f>
        <v/>
      </c>
      <c r="R1221" s="22">
        <f>IFERROR(K1221/P1221, 0)</f>
        <v/>
      </c>
      <c r="S1221" s="38">
        <f>IFERROR(N1221/P1221,0)</f>
        <v/>
      </c>
      <c r="T1221" s="31">
        <f>IFERROR(IF(N1221&gt;0,(N1221/K1221),MIN(1,M1221/J1221)),0)</f>
        <v/>
      </c>
      <c r="U1221" s="33" t="n"/>
    </row>
    <row r="1222" hidden="1" s="40">
      <c r="A1222" s="18" t="inlineStr">
        <is>
          <t>Semana 2 - Julho</t>
        </is>
      </c>
      <c r="B1222" s="27">
        <f>YEAR(E1222)</f>
        <v/>
      </c>
      <c r="C1222" s="18">
        <f>INDEX({"Janeiro";"Fevereiro";"Março";"Abril";"Maio";"Junho";"Julho";"Agosto";"Setembro";"Outubro";"Novembro";"Dezembro"},Q1222)</f>
        <v/>
      </c>
      <c r="D1222" s="19" t="n">
        <v>2</v>
      </c>
      <c r="E1222" s="20" t="n">
        <v>46209</v>
      </c>
      <c r="F1222" s="18" t="inlineStr">
        <is>
          <t>Iogurte Salada 900g</t>
        </is>
      </c>
      <c r="G1222" s="23" t="inlineStr">
        <is>
          <t>IOGURTE</t>
        </is>
      </c>
      <c r="H1222" s="34" t="n">
        <v>0.9</v>
      </c>
      <c r="I1222" s="36" t="n">
        <v>1200</v>
      </c>
      <c r="J1222" s="21">
        <f>I1222*H1222</f>
        <v/>
      </c>
      <c r="K1222" s="21">
        <f>IFERROR(IF(J1222/P1222&gt;1,P1222,J1222),0)</f>
        <v/>
      </c>
      <c r="L1222" s="36" t="n">
        <v>1110</v>
      </c>
      <c r="M1222" s="21">
        <f>L1222*H1222</f>
        <v/>
      </c>
      <c r="N1222" s="21">
        <f>IFERROR(IF(M1222/K1222&gt;1,K1222,M1222),0)</f>
        <v/>
      </c>
      <c r="O1222" s="36" t="n">
        <v>1200</v>
      </c>
      <c r="P1222" s="21">
        <f>O1222*H1222</f>
        <v/>
      </c>
      <c r="Q1222" s="30">
        <f>IF(MONTH(E1222+1)=MONTH(E1222+6),MONTH(E1222+1),IF(MIN(EOMONTH(E1222+1,0),E1222+6)-(E1222+1)+1&gt;=3,MONTH(E1222+1),MONTH(E1222+6)))</f>
        <v/>
      </c>
      <c r="R1222" s="22">
        <f>IFERROR(K1222/P1222, 0)</f>
        <v/>
      </c>
      <c r="S1222" s="38">
        <f>IFERROR(N1222/P1222,0)</f>
        <v/>
      </c>
      <c r="T1222" s="31">
        <f>IFERROR(IF(N1222&gt;0,(N1222/K1222),MIN(1,M1222/J1222)),0)</f>
        <v/>
      </c>
      <c r="U1222" s="33" t="n"/>
    </row>
    <row r="1223" hidden="1" s="40">
      <c r="A1223" s="18" t="inlineStr">
        <is>
          <t>Semana 2 - Julho</t>
        </is>
      </c>
      <c r="B1223" s="27">
        <f>YEAR(E1223)</f>
        <v/>
      </c>
      <c r="C1223" s="18">
        <f>INDEX({"Janeiro";"Fevereiro";"Março";"Abril";"Maio";"Junho";"Julho";"Agosto";"Setembro";"Outubro";"Novembro";"Dezembro"},Q1223)</f>
        <v/>
      </c>
      <c r="D1223" s="19" t="n">
        <v>2</v>
      </c>
      <c r="E1223" s="20" t="n">
        <v>46209</v>
      </c>
      <c r="F1223" s="23" t="inlineStr">
        <is>
          <t>LEITE PASTEURIZADO VIÇOSA DESNATADO</t>
        </is>
      </c>
      <c r="G1223" s="18" t="inlineStr">
        <is>
          <t>LEITE PAST.</t>
        </is>
      </c>
      <c r="H1223" s="34" t="n">
        <v>1</v>
      </c>
      <c r="I1223" s="36" t="n">
        <v>450</v>
      </c>
      <c r="J1223" s="21">
        <f>I1223*H1223</f>
        <v/>
      </c>
      <c r="K1223" s="21">
        <f>IFERROR(IF(J1223/P1223&gt;1,P1223,J1223),0)</f>
        <v/>
      </c>
      <c r="L1223" s="36" t="n">
        <v>498</v>
      </c>
      <c r="M1223" s="21">
        <f>L1223*H1223</f>
        <v/>
      </c>
      <c r="N1223" s="21">
        <f>IFERROR(IF(M1223/K1223&gt;1,K1223,M1223),0)</f>
        <v/>
      </c>
      <c r="O1223" s="36" t="n">
        <v>450</v>
      </c>
      <c r="P1223" s="21">
        <f>O1223*H1223</f>
        <v/>
      </c>
      <c r="Q1223" s="30">
        <f>IF(MONTH(E1223+1)=MONTH(E1223+6),MONTH(E1223+1),IF(MIN(EOMONTH(E1223+1,0),E1223+6)-(E1223+1)+1&gt;=3,MONTH(E1223+1),MONTH(E1223+6)))</f>
        <v/>
      </c>
      <c r="R1223" s="22">
        <f>IFERROR(K1223/P1223, 0)</f>
        <v/>
      </c>
      <c r="S1223" s="38">
        <f>IFERROR(N1223/P1223,0)</f>
        <v/>
      </c>
      <c r="T1223" s="31">
        <f>IFERROR(IF(N1223&gt;0,(N1223/K1223),MIN(1,M1223/J1223)),0)</f>
        <v/>
      </c>
      <c r="U1223" s="33" t="n"/>
    </row>
    <row r="1224" hidden="1" s="40">
      <c r="A1224" s="18" t="inlineStr">
        <is>
          <t>Semana 2 - Julho</t>
        </is>
      </c>
      <c r="B1224" s="27">
        <f>YEAR(E1224)</f>
        <v/>
      </c>
      <c r="C1224" s="18">
        <f>INDEX({"Janeiro";"Fevereiro";"Março";"Abril";"Maio";"Junho";"Julho";"Agosto";"Setembro";"Outubro";"Novembro";"Dezembro"},Q1224)</f>
        <v/>
      </c>
      <c r="D1224" s="19" t="n">
        <v>2</v>
      </c>
      <c r="E1224" s="20" t="n">
        <v>46209</v>
      </c>
      <c r="F1224" s="18" t="inlineStr">
        <is>
          <t>LEITE PASTEURIZADO VIÇOSA INTEGRAL</t>
        </is>
      </c>
      <c r="G1224" s="18" t="inlineStr">
        <is>
          <t>LEITE PAST.</t>
        </is>
      </c>
      <c r="H1224" s="34" t="n">
        <v>1</v>
      </c>
      <c r="I1224" s="36" t="n">
        <v>21590</v>
      </c>
      <c r="J1224" s="21">
        <f>I1224*H1224</f>
        <v/>
      </c>
      <c r="K1224" s="21">
        <f>IFERROR(IF(J1224/P1224&gt;1,P1224,J1224),0)</f>
        <v/>
      </c>
      <c r="L1224" s="36" t="n">
        <v>21766</v>
      </c>
      <c r="M1224" s="21">
        <f>L1224*H1224</f>
        <v/>
      </c>
      <c r="N1224" s="21">
        <f>IFERROR(IF(M1224/K1224&gt;1,K1224,M1224),0)</f>
        <v/>
      </c>
      <c r="O1224" s="36" t="n">
        <v>21590</v>
      </c>
      <c r="P1224" s="21">
        <f>O1224*H1224</f>
        <v/>
      </c>
      <c r="Q1224" s="30">
        <f>IF(MONTH(E1224+1)=MONTH(E1224+6),MONTH(E1224+1),IF(MIN(EOMONTH(E1224+1,0),E1224+6)-(E1224+1)+1&gt;=3,MONTH(E1224+1),MONTH(E1224+6)))</f>
        <v/>
      </c>
      <c r="R1224" s="22">
        <f>IFERROR(K1224/P1224, 0)</f>
        <v/>
      </c>
      <c r="S1224" s="38">
        <f>IFERROR(N1224/P1224,0)</f>
        <v/>
      </c>
      <c r="T1224" s="31">
        <f>IFERROR(IF(N1224&gt;0,(N1224/K1224),MIN(1,M1224/J1224)),0)</f>
        <v/>
      </c>
      <c r="U1224" s="33" t="n"/>
    </row>
    <row r="1225" hidden="1" s="40">
      <c r="A1225" s="18" t="inlineStr">
        <is>
          <t>Semana 2 - Julho</t>
        </is>
      </c>
      <c r="B1225" s="27">
        <f>YEAR(E1225)</f>
        <v/>
      </c>
      <c r="C1225" s="18">
        <f>INDEX({"Janeiro";"Fevereiro";"Março";"Abril";"Maio";"Junho";"Julho";"Agosto";"Setembro";"Outubro";"Novembro";"Dezembro"},Q1225)</f>
        <v/>
      </c>
      <c r="D1225" s="19" t="n">
        <v>2</v>
      </c>
      <c r="E1225" s="20" t="n">
        <v>46209</v>
      </c>
      <c r="F1225" s="18" t="inlineStr">
        <is>
          <t>LEITE PASTEURIZADO VIÇOSA ZERO LACTOSE INTEGRAL 1 L</t>
        </is>
      </c>
      <c r="G1225" s="18" t="inlineStr">
        <is>
          <t>LEITE PAST.</t>
        </is>
      </c>
      <c r="H1225" s="34" t="n">
        <v>1</v>
      </c>
      <c r="I1225" s="36" t="n">
        <v>1000</v>
      </c>
      <c r="J1225" s="21">
        <f>I1225*H1225</f>
        <v/>
      </c>
      <c r="K1225" s="21">
        <f>IFERROR(IF(J1225/P1225&gt;1,P1225,J1225),0)</f>
        <v/>
      </c>
      <c r="L1225" s="36" t="n">
        <v>1018</v>
      </c>
      <c r="M1225" s="21">
        <f>L1225*H1225</f>
        <v/>
      </c>
      <c r="N1225" s="21">
        <f>IFERROR(IF(M1225/K1225&gt;1,K1225,M1225),0)</f>
        <v/>
      </c>
      <c r="O1225" s="36" t="n">
        <v>1000</v>
      </c>
      <c r="P1225" s="21">
        <f>O1225*H1225</f>
        <v/>
      </c>
      <c r="Q1225" s="30">
        <f>IF(MONTH(E1225+1)=MONTH(E1225+6),MONTH(E1225+1),IF(MIN(EOMONTH(E1225+1,0),E1225+6)-(E1225+1)+1&gt;=3,MONTH(E1225+1),MONTH(E1225+6)))</f>
        <v/>
      </c>
      <c r="R1225" s="22">
        <f>IFERROR(K1225/P1225, 0)</f>
        <v/>
      </c>
      <c r="S1225" s="38">
        <f>IFERROR(N1225/P1225,0)</f>
        <v/>
      </c>
      <c r="T1225" s="31">
        <f>IFERROR(IF(N1225&gt;0,(N1225/K1225),MIN(1,M1225/J1225)),0)</f>
        <v/>
      </c>
      <c r="U1225" s="33" t="n"/>
    </row>
    <row r="1226" hidden="1" s="40">
      <c r="A1226" s="18" t="inlineStr">
        <is>
          <t>Semana 2 - Julho</t>
        </is>
      </c>
      <c r="B1226" s="27">
        <f>YEAR(E1226)</f>
        <v/>
      </c>
      <c r="C1226" s="18">
        <f>INDEX({"Janeiro";"Fevereiro";"Março";"Abril";"Maio";"Junho";"Julho";"Agosto";"Setembro";"Outubro";"Novembro";"Dezembro"},Q1226)</f>
        <v/>
      </c>
      <c r="D1226" s="19" t="n">
        <v>2</v>
      </c>
      <c r="E1226" s="20" t="n">
        <v>46209</v>
      </c>
      <c r="F1226" s="18" t="inlineStr">
        <is>
          <t>Manteiga 200g</t>
        </is>
      </c>
      <c r="G1226" s="18" t="inlineStr">
        <is>
          <t>MANTEIGA</t>
        </is>
      </c>
      <c r="H1226" s="34" t="n">
        <v>0.2</v>
      </c>
      <c r="I1226" s="36" t="n">
        <v>0</v>
      </c>
      <c r="J1226" s="21">
        <f>I1226*H1226</f>
        <v/>
      </c>
      <c r="K1226" s="21">
        <f>IFERROR(IF(J1226/P1226&gt;1,P1226,J1226),0)</f>
        <v/>
      </c>
      <c r="L1226" s="36" t="n">
        <v>0</v>
      </c>
      <c r="M1226" s="21">
        <f>L1226*H1226</f>
        <v/>
      </c>
      <c r="N1226" s="21">
        <f>IFERROR(IF(M1226/K1226&gt;1,K1226,M1226),0)</f>
        <v/>
      </c>
      <c r="O1226" s="36" t="n">
        <v>1330</v>
      </c>
      <c r="P1226" s="21">
        <f>O1226*H1226</f>
        <v/>
      </c>
      <c r="Q1226" s="30">
        <f>IF(MONTH(E1226+1)=MONTH(E1226+6),MONTH(E1226+1),IF(MIN(EOMONTH(E1226+1,0),E1226+6)-(E1226+1)+1&gt;=3,MONTH(E1226+1),MONTH(E1226+6)))</f>
        <v/>
      </c>
      <c r="R1226" s="22">
        <f>IFERROR(K1226/P1226, 0)</f>
        <v/>
      </c>
      <c r="S1226" s="38">
        <f>IFERROR(N1226/P1226,0)</f>
        <v/>
      </c>
      <c r="T1226" s="31">
        <f>IFERROR(IF(N1226&gt;0,(N1226/K1226),MIN(1,M1226/J1226)),0)</f>
        <v/>
      </c>
      <c r="U1226" s="33" t="n"/>
    </row>
    <row r="1227" hidden="1" s="40">
      <c r="A1227" s="18" t="inlineStr">
        <is>
          <t>Semana 2 - Julho</t>
        </is>
      </c>
      <c r="B1227" s="27">
        <f>YEAR(E1227)</f>
        <v/>
      </c>
      <c r="C1227" s="18">
        <f>INDEX({"Janeiro";"Fevereiro";"Março";"Abril";"Maio";"Junho";"Julho";"Agosto";"Setembro";"Outubro";"Novembro";"Dezembro"},Q1227)</f>
        <v/>
      </c>
      <c r="D1227" s="19" t="n">
        <v>2</v>
      </c>
      <c r="E1227" s="20" t="n">
        <v>46209</v>
      </c>
      <c r="F1227" s="23" t="inlineStr">
        <is>
          <t>Manteiga 500g</t>
        </is>
      </c>
      <c r="G1227" s="18" t="inlineStr">
        <is>
          <t>MANTEIGA</t>
        </is>
      </c>
      <c r="H1227" s="35" t="n">
        <v>0.5</v>
      </c>
      <c r="I1227" s="36" t="n">
        <v>1650</v>
      </c>
      <c r="J1227" s="21">
        <f>I1227*H1227</f>
        <v/>
      </c>
      <c r="K1227" s="21">
        <f>IFERROR(IF(J1227/P1227&gt;1,P1227,J1227),0)</f>
        <v/>
      </c>
      <c r="L1227" s="36" t="n">
        <v>1485</v>
      </c>
      <c r="M1227" s="21">
        <f>L1227*H1227</f>
        <v/>
      </c>
      <c r="N1227" s="21">
        <f>IFERROR(IF(M1227/K1227&gt;1,K1227,M1227),0)</f>
        <v/>
      </c>
      <c r="O1227" s="36" t="n">
        <v>2543</v>
      </c>
      <c r="P1227" s="21">
        <f>O1227*H1227</f>
        <v/>
      </c>
      <c r="Q1227" s="30">
        <f>IF(MONTH(E1227+1)=MONTH(E1227+6),MONTH(E1227+1),IF(MIN(EOMONTH(E1227+1,0),E1227+6)-(E1227+1)+1&gt;=3,MONTH(E1227+1),MONTH(E1227+6)))</f>
        <v/>
      </c>
      <c r="R1227" s="22">
        <f>IFERROR(K1227/P1227, 0)</f>
        <v/>
      </c>
      <c r="S1227" s="38">
        <f>IFERROR(N1227/P1227,0)</f>
        <v/>
      </c>
      <c r="T1227" s="31">
        <f>IFERROR(IF(N1227&gt;0,(N1227/K1227),MIN(1,M1227/J1227)),0)</f>
        <v/>
      </c>
      <c r="U1227" s="33" t="n"/>
    </row>
    <row r="1228" hidden="1" s="40">
      <c r="A1228" s="18" t="inlineStr">
        <is>
          <t>Semana 2 - Julho</t>
        </is>
      </c>
      <c r="B1228" s="27">
        <f>YEAR(E1228)</f>
        <v/>
      </c>
      <c r="C1228" s="18">
        <f>INDEX({"Janeiro";"Fevereiro";"Março";"Abril";"Maio";"Junho";"Julho";"Agosto";"Setembro";"Outubro";"Novembro";"Dezembro"},Q1228)</f>
        <v/>
      </c>
      <c r="D1228" s="19" t="n">
        <v>2</v>
      </c>
      <c r="E1228" s="20" t="n">
        <v>46209</v>
      </c>
      <c r="F1228" s="23" t="inlineStr">
        <is>
          <t>QUEIJO MINAS PADRÃO (MEIA LUA)</t>
        </is>
      </c>
      <c r="G1228" s="18" t="inlineStr">
        <is>
          <t>QUEIJO</t>
        </is>
      </c>
      <c r="H1228" s="34" t="n">
        <v>1</v>
      </c>
      <c r="I1228" s="36" t="n">
        <v>0</v>
      </c>
      <c r="J1228" s="21">
        <f>I1228*H1228</f>
        <v/>
      </c>
      <c r="K1228" s="21">
        <f>IFERROR(IF(J1228/P1228&gt;1,P1228,J1228),0)</f>
        <v/>
      </c>
      <c r="L1228" s="36" t="n">
        <v>0</v>
      </c>
      <c r="M1228" s="21">
        <f>L1228*H1228</f>
        <v/>
      </c>
      <c r="N1228" s="21">
        <f>IFERROR(IF(M1228/K1228&gt;1,K1228,M1228),0)</f>
        <v/>
      </c>
      <c r="O1228" s="36" t="n">
        <v>200</v>
      </c>
      <c r="P1228" s="21">
        <f>O1228*H1228</f>
        <v/>
      </c>
      <c r="Q1228" s="30">
        <f>IF(MONTH(E1228+1)=MONTH(E1228+6),MONTH(E1228+1),IF(MIN(EOMONTH(E1228+1,0),E1228+6)-(E1228+1)+1&gt;=3,MONTH(E1228+1),MONTH(E1228+6)))</f>
        <v/>
      </c>
      <c r="R1228" s="22">
        <f>IFERROR(K1228/P1228, 0)</f>
        <v/>
      </c>
      <c r="S1228" s="38">
        <f>IFERROR(N1228/P1228,0)</f>
        <v/>
      </c>
      <c r="T1228" s="31">
        <f>IFERROR(IF(N1228&gt;0,(N1228/K1228),MIN(1,M1228/J1228)),0)</f>
        <v/>
      </c>
      <c r="U1228" s="33" t="n"/>
    </row>
    <row r="1229" hidden="1" s="40">
      <c r="A1229" s="18" t="inlineStr">
        <is>
          <t>Semana 2 - Julho</t>
        </is>
      </c>
      <c r="B1229" s="27">
        <f>YEAR(E1229)</f>
        <v/>
      </c>
      <c r="C1229" s="18">
        <f>INDEX({"Janeiro";"Fevereiro";"Março";"Abril";"Maio";"Junho";"Julho";"Agosto";"Setembro";"Outubro";"Novembro";"Dezembro"},Q1229)</f>
        <v/>
      </c>
      <c r="D1229" s="19" t="n">
        <v>2</v>
      </c>
      <c r="E1229" s="20" t="n">
        <v>46209</v>
      </c>
      <c r="F1229" s="18" t="inlineStr">
        <is>
          <t>QUEIJO MUSSARELA 3KG</t>
        </is>
      </c>
      <c r="G1229" s="18" t="inlineStr">
        <is>
          <t>QUEIJO</t>
        </is>
      </c>
      <c r="H1229" s="34" t="n">
        <v>1</v>
      </c>
      <c r="I1229" s="36" t="n">
        <v>1500</v>
      </c>
      <c r="J1229" s="21">
        <f>I1229*H1229</f>
        <v/>
      </c>
      <c r="K1229" s="21">
        <f>IFERROR(IF(J1229/P1229&gt;1,P1229,J1229),0)</f>
        <v/>
      </c>
      <c r="L1229" s="37" t="n">
        <v>1500</v>
      </c>
      <c r="M1229" s="21">
        <f>L1229*H1229</f>
        <v/>
      </c>
      <c r="N1229" s="21">
        <f>IFERROR(IF(M1229/K1229&gt;1,K1229,M1229),0)</f>
        <v/>
      </c>
      <c r="O1229" s="36" t="n">
        <v>1000</v>
      </c>
      <c r="P1229" s="21">
        <f>O1229*H1229</f>
        <v/>
      </c>
      <c r="Q1229" s="30">
        <f>IF(MONTH(E1229+1)=MONTH(E1229+6),MONTH(E1229+1),IF(MIN(EOMONTH(E1229+1,0),E1229+6)-(E1229+1)+1&gt;=3,MONTH(E1229+1),MONTH(E1229+6)))</f>
        <v/>
      </c>
      <c r="R1229" s="22">
        <f>IFERROR(K1229/P1229, 0)</f>
        <v/>
      </c>
      <c r="S1229" s="38">
        <f>IFERROR(N1229/P1229,0)</f>
        <v/>
      </c>
      <c r="T1229" s="31">
        <f>IFERROR(IF(N1229&gt;0,(N1229/K1229),MIN(1,M1229/J1229)),0)</f>
        <v/>
      </c>
      <c r="U1229" s="33" t="n"/>
    </row>
    <row r="1230" hidden="1" s="40">
      <c r="A1230" s="18" t="inlineStr">
        <is>
          <t>Semana 2 - Julho</t>
        </is>
      </c>
      <c r="B1230" s="27">
        <f>YEAR(E1230)</f>
        <v/>
      </c>
      <c r="C1230" s="18">
        <f>INDEX({"Janeiro";"Fevereiro";"Março";"Abril";"Maio";"Junho";"Julho";"Agosto";"Setembro";"Outubro";"Novembro";"Dezembro"},Q1230)</f>
        <v/>
      </c>
      <c r="D1230" s="19" t="n">
        <v>2</v>
      </c>
      <c r="E1230" s="20" t="n">
        <v>46209</v>
      </c>
      <c r="F1230" s="18" t="inlineStr">
        <is>
          <t>Requeijão Light 200g</t>
        </is>
      </c>
      <c r="G1230" s="23" t="inlineStr">
        <is>
          <t>REQUEIJÃO</t>
        </is>
      </c>
      <c r="H1230" s="34" t="n">
        <v>0.2</v>
      </c>
      <c r="I1230" s="36" t="n">
        <v>600</v>
      </c>
      <c r="J1230" s="21">
        <f>I1230*H1230</f>
        <v/>
      </c>
      <c r="K1230" s="21">
        <f>IFERROR(IF(J1230/P1230&gt;1,P1230,J1230),0)</f>
        <v/>
      </c>
      <c r="L1230" s="37" t="n">
        <v>583</v>
      </c>
      <c r="M1230" s="21">
        <f>L1230*H1230</f>
        <v/>
      </c>
      <c r="N1230" s="21">
        <f>IFERROR(IF(M1230/K1230&gt;1,K1230,M1230),0)</f>
        <v/>
      </c>
      <c r="O1230" s="36" t="n">
        <v>600</v>
      </c>
      <c r="P1230" s="21">
        <f>O1230*H1230</f>
        <v/>
      </c>
      <c r="Q1230" s="30">
        <f>IF(MONTH(E1230+1)=MONTH(E1230+6),MONTH(E1230+1),IF(MIN(EOMONTH(E1230+1,0),E1230+6)-(E1230+1)+1&gt;=3,MONTH(E1230+1),MONTH(E1230+6)))</f>
        <v/>
      </c>
      <c r="R1230" s="22">
        <f>IFERROR(K1230/P1230, 0)</f>
        <v/>
      </c>
      <c r="S1230" s="38">
        <f>IFERROR(N1230/P1230,0)</f>
        <v/>
      </c>
      <c r="T1230" s="31">
        <f>IFERROR(IF(N1230&gt;0,(N1230/K1230),MIN(1,M1230/J1230)),0)</f>
        <v/>
      </c>
      <c r="U1230" s="33" t="n"/>
    </row>
    <row r="1231" hidden="1" s="40">
      <c r="A1231" s="18" t="inlineStr">
        <is>
          <t>Semana 2 - Julho</t>
        </is>
      </c>
      <c r="B1231" s="27">
        <f>YEAR(E1231)</f>
        <v/>
      </c>
      <c r="C1231" s="18">
        <f>INDEX({"Janeiro";"Fevereiro";"Março";"Abril";"Maio";"Junho";"Julho";"Agosto";"Setembro";"Outubro";"Novembro";"Dezembro"},Q1231)</f>
        <v/>
      </c>
      <c r="D1231" s="19" t="n">
        <v>2</v>
      </c>
      <c r="E1231" s="20" t="n">
        <v>46209</v>
      </c>
      <c r="F1231" s="23" t="inlineStr">
        <is>
          <t>REQUEIJÃO VIÇOSA 200g</t>
        </is>
      </c>
      <c r="G1231" s="23" t="inlineStr">
        <is>
          <t>REQUEIJÃO</t>
        </is>
      </c>
      <c r="H1231" s="35" t="n">
        <v>0.2</v>
      </c>
      <c r="I1231" s="36" t="n">
        <v>2200</v>
      </c>
      <c r="J1231" s="21">
        <f>I1231*H1231</f>
        <v/>
      </c>
      <c r="K1231" s="21">
        <f>IFERROR(IF(J1231/P1231&gt;1,P1231,J1231),0)</f>
        <v/>
      </c>
      <c r="L1231" s="37" t="n">
        <v>2449</v>
      </c>
      <c r="M1231" s="21">
        <f>L1231*H1231</f>
        <v/>
      </c>
      <c r="N1231" s="21">
        <f>IFERROR(IF(M1231/K1231&gt;1,K1231,M1231),0)</f>
        <v/>
      </c>
      <c r="O1231" s="36" t="n">
        <v>2200</v>
      </c>
      <c r="P1231" s="21">
        <f>O1231*H1231</f>
        <v/>
      </c>
      <c r="Q1231" s="30">
        <f>IF(MONTH(E1231+1)=MONTH(E1231+6),MONTH(E1231+1),IF(MIN(EOMONTH(E1231+1,0),E1231+6)-(E1231+1)+1&gt;=3,MONTH(E1231+1),MONTH(E1231+6)))</f>
        <v/>
      </c>
      <c r="R1231" s="22">
        <f>IFERROR(K1231/P1231, 0)</f>
        <v/>
      </c>
      <c r="S1231" s="38">
        <f>IFERROR(N1231/P1231,0)</f>
        <v/>
      </c>
      <c r="T1231" s="31">
        <f>IFERROR(IF(N1231&gt;0,(N1231/K1231),MIN(1,M1231/J1231)),0)</f>
        <v/>
      </c>
      <c r="U1231" s="33" t="n"/>
    </row>
    <row r="1232" hidden="1" s="40">
      <c r="A1232" s="18" t="inlineStr">
        <is>
          <t>Semana 2 - Julho</t>
        </is>
      </c>
      <c r="B1232" s="27">
        <f>YEAR(E1232)</f>
        <v/>
      </c>
      <c r="C1232" s="18">
        <f>INDEX({"Janeiro";"Fevereiro";"Março";"Abril";"Maio";"Junho";"Julho";"Agosto";"Setembro";"Outubro";"Novembro";"Dezembro"},Q1232)</f>
        <v/>
      </c>
      <c r="D1232" s="19" t="n">
        <v>2</v>
      </c>
      <c r="E1232" s="20" t="n">
        <v>46209</v>
      </c>
      <c r="F1232" s="23" t="inlineStr">
        <is>
          <t>REQUEIJÃO VIÇOSA 400g</t>
        </is>
      </c>
      <c r="G1232" s="23" t="inlineStr">
        <is>
          <t>REQUEIJÃO</t>
        </is>
      </c>
      <c r="H1232" s="34" t="n">
        <v>0.4</v>
      </c>
      <c r="I1232" s="36" t="n">
        <v>4900</v>
      </c>
      <c r="J1232" s="21">
        <f>I1232*H1232</f>
        <v/>
      </c>
      <c r="K1232" s="21">
        <f>IFERROR(IF(J1232/P1232&gt;1,P1232,J1232),0)</f>
        <v/>
      </c>
      <c r="L1232" s="37" t="n">
        <v>7343</v>
      </c>
      <c r="M1232" s="21">
        <f>L1232*H1232</f>
        <v/>
      </c>
      <c r="N1232" s="21">
        <f>IFERROR(IF(M1232/K1232&gt;1,K1232,M1232),0)</f>
        <v/>
      </c>
      <c r="O1232" s="36" t="n">
        <v>2200</v>
      </c>
      <c r="P1232" s="21">
        <f>O1232*H1232</f>
        <v/>
      </c>
      <c r="Q1232" s="30">
        <f>IF(MONTH(E1232+1)=MONTH(E1232+6),MONTH(E1232+1),IF(MIN(EOMONTH(E1232+1,0),E1232+6)-(E1232+1)+1&gt;=3,MONTH(E1232+1),MONTH(E1232+6)))</f>
        <v/>
      </c>
      <c r="R1232" s="22">
        <f>IFERROR(K1232/P1232, 0)</f>
        <v/>
      </c>
      <c r="S1232" s="38">
        <f>IFERROR(N1232/P1232,0)</f>
        <v/>
      </c>
      <c r="T1232" s="31">
        <f>IFERROR(IF(N1232&gt;0,(N1232/K1232),MIN(1,M1232/J1232)),0)</f>
        <v/>
      </c>
      <c r="U1232" s="33" t="n"/>
    </row>
    <row r="1233" s="40">
      <c r="A1233" s="18" t="inlineStr">
        <is>
          <t>Semana 3 - Julho</t>
        </is>
      </c>
      <c r="B1233" s="27">
        <f>YEAR(E1233)</f>
        <v/>
      </c>
      <c r="C1233" s="18">
        <f>INDEX({"Janeiro";"Fevereiro";"Março";"Abril";"Maio";"Junho";"Julho";"Agosto";"Setembro";"Outubro";"Novembro";"Dezembro"},Q1233)</f>
        <v/>
      </c>
      <c r="D1233" s="19" t="n">
        <v>3</v>
      </c>
      <c r="E1233" s="20" t="n">
        <v>46216</v>
      </c>
      <c r="F1233" s="23" t="inlineStr">
        <is>
          <t>Doce de Leite 400g</t>
        </is>
      </c>
      <c r="G1233" s="23" t="inlineStr">
        <is>
          <t>DOCE</t>
        </is>
      </c>
      <c r="H1233" s="34" t="n">
        <v>0.4</v>
      </c>
      <c r="I1233" s="36" t="n">
        <v>24000</v>
      </c>
      <c r="J1233" s="21">
        <f>I1233*H1233</f>
        <v/>
      </c>
      <c r="K1233" s="21">
        <f>IFERROR(IF(J1233/P1233&gt;1,P1233,J1233),0)</f>
        <v/>
      </c>
      <c r="L1233" s="36" t="n">
        <v>24424</v>
      </c>
      <c r="M1233" s="21">
        <f>L1233*H1233</f>
        <v/>
      </c>
      <c r="N1233" s="21">
        <f>IFERROR(IF(M1233/K1233&gt;1,K1233,M1233),0)</f>
        <v/>
      </c>
      <c r="O1233" s="36" t="n">
        <v>24000</v>
      </c>
      <c r="P1233" s="21">
        <f>O1233*H1233</f>
        <v/>
      </c>
      <c r="Q1233" s="30">
        <f>IF(MONTH(E1233+1)=MONTH(E1233+6),MONTH(E1233+1),IF(MIN(EOMONTH(E1233+1,0),E1233+6)-(E1233+1)+1&gt;=3,MONTH(E1233+1),MONTH(E1233+6)))</f>
        <v/>
      </c>
      <c r="R1233" s="22">
        <f>IFERROR(K1233/P1233, 0)</f>
        <v/>
      </c>
      <c r="S1233" s="38">
        <f>IFERROR(N1233/P1233,0)</f>
        <v/>
      </c>
      <c r="T1233" s="31">
        <f>IFERROR(IF(N1233&gt;0,(N1233/K1233),MIN(1,M1233/J1233)),0)</f>
        <v/>
      </c>
      <c r="U1233" s="33" t="n"/>
    </row>
    <row r="1234" s="40">
      <c r="A1234" s="18" t="inlineStr">
        <is>
          <t>Semana 3 - Julho</t>
        </is>
      </c>
      <c r="B1234" s="27">
        <f>YEAR(E1234)</f>
        <v/>
      </c>
      <c r="C1234" s="18">
        <f>INDEX({"Janeiro";"Fevereiro";"Março";"Abril";"Maio";"Junho";"Julho";"Agosto";"Setembro";"Outubro";"Novembro";"Dezembro"},Q1234)</f>
        <v/>
      </c>
      <c r="D1234" s="19" t="n">
        <v>3</v>
      </c>
      <c r="E1234" s="20" t="n">
        <v>46216</v>
      </c>
      <c r="F1234" s="23" t="inlineStr">
        <is>
          <t>Doce de Leite 5kg</t>
        </is>
      </c>
      <c r="G1234" s="23" t="inlineStr">
        <is>
          <t>DOCE</t>
        </is>
      </c>
      <c r="H1234" s="34" t="n">
        <v>5</v>
      </c>
      <c r="I1234" s="36" t="n">
        <v>1860</v>
      </c>
      <c r="J1234" s="21">
        <f>I1234*H1234</f>
        <v/>
      </c>
      <c r="K1234" s="21">
        <f>IFERROR(IF(J1234/P1234&gt;1,P1234,J1234),0)</f>
        <v/>
      </c>
      <c r="L1234" s="36" t="n">
        <v>1747</v>
      </c>
      <c r="M1234" s="21">
        <f>L1234*H1234</f>
        <v/>
      </c>
      <c r="N1234" s="21">
        <f>IFERROR(IF(M1234/K1234&gt;1,K1234,M1234),0)</f>
        <v/>
      </c>
      <c r="O1234" s="36" t="n">
        <v>1860</v>
      </c>
      <c r="P1234" s="21">
        <f>O1234*H1234</f>
        <v/>
      </c>
      <c r="Q1234" s="30">
        <f>IF(MONTH(E1234+1)=MONTH(E1234+6),MONTH(E1234+1),IF(MIN(EOMONTH(E1234+1,0),E1234+6)-(E1234+1)+1&gt;=3,MONTH(E1234+1),MONTH(E1234+6)))</f>
        <v/>
      </c>
      <c r="R1234" s="22">
        <f>IFERROR(K1234/P1234, 0)</f>
        <v/>
      </c>
      <c r="S1234" s="38">
        <f>IFERROR(N1234/P1234,0)</f>
        <v/>
      </c>
      <c r="T1234" s="31">
        <f>IFERROR(IF(N1234&gt;0,(N1234/K1234),MIN(1,M1234/J1234)),0)</f>
        <v/>
      </c>
      <c r="U1234" s="33" t="n"/>
    </row>
    <row r="1235" s="40">
      <c r="A1235" s="18" t="inlineStr">
        <is>
          <t>Semana 3 - Julho</t>
        </is>
      </c>
      <c r="B1235" s="27">
        <f>YEAR(E1235)</f>
        <v/>
      </c>
      <c r="C1235" s="18">
        <f>INDEX({"Janeiro";"Fevereiro";"Março";"Abril";"Maio";"Junho";"Julho";"Agosto";"Setembro";"Outubro";"Novembro";"Dezembro"},Q1235)</f>
        <v/>
      </c>
      <c r="D1235" s="19" t="n">
        <v>3</v>
      </c>
      <c r="E1235" s="20" t="n">
        <v>46216</v>
      </c>
      <c r="F1235" s="23" t="inlineStr">
        <is>
          <t>Doce de Leite 800g</t>
        </is>
      </c>
      <c r="G1235" s="23" t="inlineStr">
        <is>
          <t>DOCE</t>
        </is>
      </c>
      <c r="H1235" s="34" t="n">
        <v>0.8</v>
      </c>
      <c r="I1235" s="36" t="n">
        <v>24000</v>
      </c>
      <c r="J1235" s="21">
        <f>I1235*H1235</f>
        <v/>
      </c>
      <c r="K1235" s="21">
        <f>IFERROR(IF(J1235/P1235&gt;1,P1235,J1235),0)</f>
        <v/>
      </c>
      <c r="L1235" s="36" t="n">
        <v>27176</v>
      </c>
      <c r="M1235" s="21">
        <f>L1235*H1235</f>
        <v/>
      </c>
      <c r="N1235" s="21">
        <f>IFERROR(IF(M1235/K1235&gt;1,K1235,M1235),0)</f>
        <v/>
      </c>
      <c r="O1235" s="36" t="n">
        <v>24000</v>
      </c>
      <c r="P1235" s="21">
        <f>O1235*H1235</f>
        <v/>
      </c>
      <c r="Q1235" s="30">
        <f>IF(MONTH(E1235+1)=MONTH(E1235+6),MONTH(E1235+1),IF(MIN(EOMONTH(E1235+1,0),E1235+6)-(E1235+1)+1&gt;=3,MONTH(E1235+1),MONTH(E1235+6)))</f>
        <v/>
      </c>
      <c r="R1235" s="22">
        <f>IFERROR(K1235/P1235, 0)</f>
        <v/>
      </c>
      <c r="S1235" s="38">
        <f>IFERROR(N1235/P1235,0)</f>
        <v/>
      </c>
      <c r="T1235" s="31">
        <f>IFERROR(IF(N1235&gt;0,(N1235/K1235),MIN(1,M1235/J1235)),0)</f>
        <v/>
      </c>
      <c r="U1235" s="33" t="n"/>
    </row>
    <row r="1236" s="40">
      <c r="A1236" s="18" t="inlineStr">
        <is>
          <t>Semana 3 - Julho</t>
        </is>
      </c>
      <c r="B1236" s="27">
        <f>YEAR(E1236)</f>
        <v/>
      </c>
      <c r="C1236" s="18">
        <f>INDEX({"Janeiro";"Fevereiro";"Março";"Abril";"Maio";"Junho";"Julho";"Agosto";"Setembro";"Outubro";"Novembro";"Dezembro"},Q1236)</f>
        <v/>
      </c>
      <c r="D1236" s="19" t="n">
        <v>3</v>
      </c>
      <c r="E1236" s="20" t="n">
        <v>46216</v>
      </c>
      <c r="F1236" s="23" t="inlineStr">
        <is>
          <t>Doce de Leite Cacau 5kg - FOOD</t>
        </is>
      </c>
      <c r="G1236" s="23" t="inlineStr">
        <is>
          <t>DOCE</t>
        </is>
      </c>
      <c r="H1236" s="34" t="n">
        <v>5</v>
      </c>
      <c r="I1236" s="36" t="n">
        <v>465</v>
      </c>
      <c r="J1236" s="21">
        <f>I1236*H1236</f>
        <v/>
      </c>
      <c r="K1236" s="21">
        <f>IFERROR(IF(J1236/P1236&gt;1,P1236,J1236),0)</f>
        <v/>
      </c>
      <c r="L1236" s="36" t="n">
        <v>495</v>
      </c>
      <c r="M1236" s="21">
        <f>L1236*H1236</f>
        <v/>
      </c>
      <c r="N1236" s="21">
        <f>IFERROR(IF(M1236/K1236&gt;1,K1236,M1236),0)</f>
        <v/>
      </c>
      <c r="O1236" s="36" t="n">
        <v>465</v>
      </c>
      <c r="P1236" s="21">
        <f>O1236*H1236</f>
        <v/>
      </c>
      <c r="Q1236" s="30">
        <f>IF(MONTH(E1236+1)=MONTH(E1236+6),MONTH(E1236+1),IF(MIN(EOMONTH(E1236+1,0),E1236+6)-(E1236+1)+1&gt;=3,MONTH(E1236+1),MONTH(E1236+6)))</f>
        <v/>
      </c>
      <c r="R1236" s="22">
        <f>IFERROR(K1236/P1236, 0)</f>
        <v/>
      </c>
      <c r="S1236" s="38">
        <f>IFERROR(N1236/P1236,0)</f>
        <v/>
      </c>
      <c r="T1236" s="31">
        <f>IFERROR(IF(N1236&gt;0,(N1236/K1236),MIN(1,M1236/J1236)),0)</f>
        <v/>
      </c>
      <c r="U1236" s="33" t="n"/>
    </row>
    <row r="1237" s="40">
      <c r="A1237" s="18" t="inlineStr">
        <is>
          <t>Semana 3 - Julho</t>
        </is>
      </c>
      <c r="B1237" s="27">
        <f>YEAR(E1237)</f>
        <v/>
      </c>
      <c r="C1237" s="18">
        <f>INDEX({"Janeiro";"Fevereiro";"Março";"Abril";"Maio";"Junho";"Julho";"Agosto";"Setembro";"Outubro";"Novembro";"Dezembro"},Q1237)</f>
        <v/>
      </c>
      <c r="D1237" s="19" t="n">
        <v>3</v>
      </c>
      <c r="E1237" s="20" t="n">
        <v>46216</v>
      </c>
      <c r="F1237" s="23" t="inlineStr">
        <is>
          <t>Doce de Leite Zero Açúcar e Lactose 400g</t>
        </is>
      </c>
      <c r="G1237" s="23" t="inlineStr">
        <is>
          <t>DOCE</t>
        </is>
      </c>
      <c r="H1237" s="34" t="n">
        <v>0.4</v>
      </c>
      <c r="I1237" s="36" t="n">
        <v>24000</v>
      </c>
      <c r="J1237" s="21">
        <f>I1237*H1237</f>
        <v/>
      </c>
      <c r="K1237" s="21">
        <f>IFERROR(IF(J1237/P1237&gt;1,P1237,J1237),0)</f>
        <v/>
      </c>
      <c r="L1237" s="36" t="n">
        <v>22150</v>
      </c>
      <c r="M1237" s="21">
        <f>L1237*H1237</f>
        <v/>
      </c>
      <c r="N1237" s="21">
        <f>IFERROR(IF(M1237/K1237&gt;1,K1237,M1237),0)</f>
        <v/>
      </c>
      <c r="O1237" s="36" t="n">
        <v>24000</v>
      </c>
      <c r="P1237" s="21">
        <f>O1237*H1237</f>
        <v/>
      </c>
      <c r="Q1237" s="30">
        <f>IF(MONTH(E1237+1)=MONTH(E1237+6),MONTH(E1237+1),IF(MIN(EOMONTH(E1237+1,0),E1237+6)-(E1237+1)+1&gt;=3,MONTH(E1237+1),MONTH(E1237+6)))</f>
        <v/>
      </c>
      <c r="R1237" s="22">
        <f>IFERROR(K1237/P1237, 0)</f>
        <v/>
      </c>
      <c r="S1237" s="38">
        <f>IFERROR(N1237/P1237,0)</f>
        <v/>
      </c>
      <c r="T1237" s="31">
        <f>IFERROR(IF(N1237&gt;0,(N1237/K1237),MIN(1,M1237/J1237)),0)</f>
        <v/>
      </c>
      <c r="U1237" s="33" t="n"/>
    </row>
    <row r="1238" s="40">
      <c r="A1238" s="18" t="inlineStr">
        <is>
          <t>Semana 3 - Julho</t>
        </is>
      </c>
      <c r="B1238" s="27">
        <f>YEAR(E1238)</f>
        <v/>
      </c>
      <c r="C1238" s="18">
        <f>INDEX({"Janeiro";"Fevereiro";"Março";"Abril";"Maio";"Junho";"Julho";"Agosto";"Setembro";"Outubro";"Novembro";"Dezembro"},Q1238)</f>
        <v/>
      </c>
      <c r="D1238" s="19" t="n">
        <v>3</v>
      </c>
      <c r="E1238" s="20" t="n">
        <v>46216</v>
      </c>
      <c r="F1238" s="23" t="inlineStr">
        <is>
          <t>Doce de Leite c/ Café 5kg</t>
        </is>
      </c>
      <c r="G1238" s="23" t="inlineStr">
        <is>
          <t>DOCE</t>
        </is>
      </c>
      <c r="H1238" s="34" t="n">
        <v>5</v>
      </c>
      <c r="I1238" s="36" t="n">
        <v>160</v>
      </c>
      <c r="J1238" s="21">
        <f>I1238*H1238</f>
        <v/>
      </c>
      <c r="K1238" s="21">
        <f>IFERROR(IF(J1238/P1238&gt;1,P1238,J1238),0)</f>
        <v/>
      </c>
      <c r="L1238" s="36" t="n">
        <v>148</v>
      </c>
      <c r="M1238" s="21">
        <f>L1238*H1238</f>
        <v/>
      </c>
      <c r="N1238" s="21">
        <f>IFERROR(IF(M1238/K1238&gt;1,K1238,M1238),0)</f>
        <v/>
      </c>
      <c r="O1238" s="36" t="n">
        <v>160</v>
      </c>
      <c r="P1238" s="21">
        <f>O1238*H1238</f>
        <v/>
      </c>
      <c r="Q1238" s="30">
        <f>IF(MONTH(E1238+1)=MONTH(E1238+6),MONTH(E1238+1),IF(MIN(EOMONTH(E1238+1,0),E1238+6)-(E1238+1)+1&gt;=3,MONTH(E1238+1),MONTH(E1238+6)))</f>
        <v/>
      </c>
      <c r="R1238" s="22">
        <f>IFERROR(K1238/P1238, 0)</f>
        <v/>
      </c>
      <c r="S1238" s="38">
        <f>IFERROR(N1238/P1238,0)</f>
        <v/>
      </c>
      <c r="T1238" s="31">
        <f>IFERROR(IF(N1238&gt;0,(N1238/K1238),MIN(1,M1238/J1238)),0)</f>
        <v/>
      </c>
      <c r="U1238" s="33" t="n"/>
    </row>
    <row r="1239" s="40">
      <c r="A1239" s="18" t="inlineStr">
        <is>
          <t>Semana 3 - Julho</t>
        </is>
      </c>
      <c r="B1239" s="27">
        <f>YEAR(E1239)</f>
        <v/>
      </c>
      <c r="C1239" s="18">
        <f>INDEX({"Janeiro";"Fevereiro";"Março";"Abril";"Maio";"Junho";"Julho";"Agosto";"Setembro";"Outubro";"Novembro";"Dezembro"},Q1239)</f>
        <v/>
      </c>
      <c r="D1239" s="19" t="n">
        <v>3</v>
      </c>
      <c r="E1239" s="20" t="n">
        <v>46216</v>
      </c>
      <c r="F1239" s="23" t="inlineStr">
        <is>
          <t>Doce de Leite c/ coco 400</t>
        </is>
      </c>
      <c r="G1239" s="23" t="inlineStr">
        <is>
          <t>DOCE</t>
        </is>
      </c>
      <c r="H1239" s="34" t="n">
        <v>0.4</v>
      </c>
      <c r="I1239" s="36" t="n">
        <v>6000</v>
      </c>
      <c r="J1239" s="21">
        <f>I1239*H1239</f>
        <v/>
      </c>
      <c r="K1239" s="21">
        <f>IFERROR(IF(J1239/P1239&gt;1,P1239,J1239),0)</f>
        <v/>
      </c>
      <c r="L1239" s="36" t="n">
        <v>7270</v>
      </c>
      <c r="M1239" s="21">
        <f>L1239*H1239</f>
        <v/>
      </c>
      <c r="N1239" s="21">
        <f>IFERROR(IF(M1239/K1239&gt;1,K1239,M1239),0)</f>
        <v/>
      </c>
      <c r="O1239" s="36" t="n">
        <v>6000</v>
      </c>
      <c r="P1239" s="21">
        <f>O1239*H1239</f>
        <v/>
      </c>
      <c r="Q1239" s="30">
        <f>IF(MONTH(E1239+1)=MONTH(E1239+6),MONTH(E1239+1),IF(MIN(EOMONTH(E1239+1,0),E1239+6)-(E1239+1)+1&gt;=3,MONTH(E1239+1),MONTH(E1239+6)))</f>
        <v/>
      </c>
      <c r="R1239" s="22">
        <f>IFERROR(K1239/P1239, 0)</f>
        <v/>
      </c>
      <c r="S1239" s="38">
        <f>IFERROR(N1239/P1239,0)</f>
        <v/>
      </c>
      <c r="T1239" s="31">
        <f>IFERROR(IF(N1239&gt;0,(N1239/K1239),MIN(1,M1239/J1239)),0)</f>
        <v/>
      </c>
      <c r="U1239" s="33" t="n"/>
    </row>
    <row r="1240" s="40">
      <c r="A1240" s="18" t="inlineStr">
        <is>
          <t>Semana 3 - Julho</t>
        </is>
      </c>
      <c r="B1240" s="27">
        <f>YEAR(E1240)</f>
        <v/>
      </c>
      <c r="C1240" s="18">
        <f>INDEX({"Janeiro";"Fevereiro";"Março";"Abril";"Maio";"Junho";"Julho";"Agosto";"Setembro";"Outubro";"Novembro";"Dezembro"},Q1240)</f>
        <v/>
      </c>
      <c r="D1240" s="19" t="n">
        <v>3</v>
      </c>
      <c r="E1240" s="20" t="n">
        <v>46216</v>
      </c>
      <c r="F1240" s="23" t="inlineStr">
        <is>
          <t>Iogurte Abacaxi c/ Coco 120g</t>
        </is>
      </c>
      <c r="G1240" s="23" t="inlineStr">
        <is>
          <t>IOGURTE</t>
        </is>
      </c>
      <c r="H1240" s="34" t="n">
        <v>0.12</v>
      </c>
      <c r="I1240" s="36" t="n">
        <v>4300</v>
      </c>
      <c r="J1240" s="21">
        <f>I1240*H1240</f>
        <v/>
      </c>
      <c r="K1240" s="21">
        <f>IFERROR(IF(J1240/P1240&gt;1,P1240,J1240),0)</f>
        <v/>
      </c>
      <c r="L1240" s="36" t="n">
        <v>4472</v>
      </c>
      <c r="M1240" s="21">
        <f>L1240*H1240</f>
        <v/>
      </c>
      <c r="N1240" s="21">
        <f>IFERROR(IF(M1240/K1240&gt;1,K1240,M1240),0)</f>
        <v/>
      </c>
      <c r="O1240" s="36" t="n">
        <v>2000</v>
      </c>
      <c r="P1240" s="21">
        <f>O1240*H1240</f>
        <v/>
      </c>
      <c r="Q1240" s="30">
        <f>IF(MONTH(E1240+1)=MONTH(E1240+6),MONTH(E1240+1),IF(MIN(EOMONTH(E1240+1,0),E1240+6)-(E1240+1)+1&gt;=3,MONTH(E1240+1),MONTH(E1240+6)))</f>
        <v/>
      </c>
      <c r="R1240" s="22">
        <f>IFERROR(K1240/P1240, 0)</f>
        <v/>
      </c>
      <c r="S1240" s="38">
        <f>IFERROR(N1240/P1240,0)</f>
        <v/>
      </c>
      <c r="T1240" s="31">
        <f>IFERROR(IF(N1240&gt;0,(N1240/K1240),MIN(1,M1240/J1240)),0)</f>
        <v/>
      </c>
      <c r="U1240" s="33" t="n"/>
    </row>
    <row r="1241" s="40">
      <c r="A1241" s="18" t="inlineStr">
        <is>
          <t>Semana 3 - Julho</t>
        </is>
      </c>
      <c r="B1241" s="27">
        <f>YEAR(E1241)</f>
        <v/>
      </c>
      <c r="C1241" s="18">
        <f>INDEX({"Janeiro";"Fevereiro";"Março";"Abril";"Maio";"Junho";"Julho";"Agosto";"Setembro";"Outubro";"Novembro";"Dezembro"},Q1241)</f>
        <v/>
      </c>
      <c r="D1241" s="19" t="n">
        <v>3</v>
      </c>
      <c r="E1241" s="20" t="n">
        <v>46216</v>
      </c>
      <c r="F1241" s="23" t="inlineStr">
        <is>
          <t>Iogurte Abacaxi c/ Coco 185g</t>
        </is>
      </c>
      <c r="G1241" s="23" t="inlineStr">
        <is>
          <t>IOGURTE</t>
        </is>
      </c>
      <c r="H1241" s="34" t="n">
        <v>0.185</v>
      </c>
      <c r="I1241" s="36" t="n">
        <v>780</v>
      </c>
      <c r="J1241" s="21">
        <f>I1241*H1241</f>
        <v/>
      </c>
      <c r="K1241" s="21">
        <f>IFERROR(IF(J1241/P1241&gt;1,P1241,J1241),0)</f>
        <v/>
      </c>
      <c r="L1241" s="36" t="n">
        <v>767</v>
      </c>
      <c r="M1241" s="21">
        <f>L1241*H1241</f>
        <v/>
      </c>
      <c r="N1241" s="21">
        <f>IFERROR(IF(M1241/K1241&gt;1,K1241,M1241),0)</f>
        <v/>
      </c>
      <c r="O1241" s="36" t="n">
        <v>520</v>
      </c>
      <c r="P1241" s="21">
        <f>O1241*H1241</f>
        <v/>
      </c>
      <c r="Q1241" s="30">
        <f>IF(MONTH(E1241+1)=MONTH(E1241+6),MONTH(E1241+1),IF(MIN(EOMONTH(E1241+1,0),E1241+6)-(E1241+1)+1&gt;=3,MONTH(E1241+1),MONTH(E1241+6)))</f>
        <v/>
      </c>
      <c r="R1241" s="22">
        <f>IFERROR(K1241/P1241, 0)</f>
        <v/>
      </c>
      <c r="S1241" s="38">
        <f>IFERROR(N1241/P1241,0)</f>
        <v/>
      </c>
      <c r="T1241" s="31">
        <f>IFERROR(IF(N1241&gt;0,(N1241/K1241),MIN(1,M1241/J1241)),0)</f>
        <v/>
      </c>
      <c r="U1241" s="33" t="n"/>
    </row>
    <row r="1242">
      <c r="A1242" s="18" t="inlineStr">
        <is>
          <t>Semana 3 - Julho</t>
        </is>
      </c>
      <c r="B1242" s="27">
        <f>YEAR(E1242)</f>
        <v/>
      </c>
      <c r="C1242" s="18">
        <f>INDEX({"Janeiro";"Fevereiro";"Março";"Abril";"Maio";"Junho";"Julho";"Agosto";"Setembro";"Outubro";"Novembro";"Dezembro"},Q1242)</f>
        <v/>
      </c>
      <c r="D1242" s="19" t="n">
        <v>3</v>
      </c>
      <c r="E1242" s="20" t="n">
        <v>46216</v>
      </c>
      <c r="F1242" s="23" t="inlineStr">
        <is>
          <t>Iogurte Abacaxi c/ Coco 900g</t>
        </is>
      </c>
      <c r="G1242" s="23" t="inlineStr">
        <is>
          <t>IOGURTE</t>
        </is>
      </c>
      <c r="H1242" s="34" t="n">
        <v>0.9</v>
      </c>
      <c r="I1242" s="36" t="n">
        <v>1710</v>
      </c>
      <c r="J1242" s="21">
        <f>I1242*H1242</f>
        <v/>
      </c>
      <c r="K1242" s="21">
        <f>IFERROR(IF(J1242/P1242&gt;1,P1242,J1242),0)</f>
        <v/>
      </c>
      <c r="L1242" s="36" t="n">
        <v>1716</v>
      </c>
      <c r="M1242" s="21">
        <f>L1242*H1242</f>
        <v/>
      </c>
      <c r="N1242" s="21">
        <f>IFERROR(IF(M1242/K1242&gt;1,K1242,M1242),0)</f>
        <v/>
      </c>
      <c r="O1242" s="36" t="n">
        <v>1500</v>
      </c>
      <c r="P1242" s="21">
        <f>O1242*H1242</f>
        <v/>
      </c>
      <c r="Q1242" s="30">
        <f>IF(MONTH(E1242+1)=MONTH(E1242+6),MONTH(E1242+1),IF(MIN(EOMONTH(E1242+1,0),E1242+6)-(E1242+1)+1&gt;=3,MONTH(E1242+1),MONTH(E1242+6)))</f>
        <v/>
      </c>
      <c r="R1242" s="22">
        <f>IFERROR(K1242/P1242, 0)</f>
        <v/>
      </c>
      <c r="S1242" s="38">
        <f>IFERROR(N1242/P1242,0)</f>
        <v/>
      </c>
      <c r="T1242" s="31">
        <f>IFERROR(IF(N1242&gt;0,(N1242/K1242),MIN(1,M1242/J1242)),0)</f>
        <v/>
      </c>
      <c r="U1242" s="33" t="n"/>
    </row>
    <row r="1243">
      <c r="A1243" s="18" t="inlineStr">
        <is>
          <t>Semana 3 - Julho</t>
        </is>
      </c>
      <c r="B1243" s="27">
        <f>YEAR(E1243)</f>
        <v/>
      </c>
      <c r="C1243" s="18">
        <f>INDEX({"Janeiro";"Fevereiro";"Março";"Abril";"Maio";"Junho";"Julho";"Agosto";"Setembro";"Outubro";"Novembro";"Dezembro"},Q1243)</f>
        <v/>
      </c>
      <c r="D1243" s="19" t="n">
        <v>3</v>
      </c>
      <c r="E1243" s="20" t="n">
        <v>46216</v>
      </c>
      <c r="F1243" s="23" t="inlineStr">
        <is>
          <t>Iogurte Coco 120g</t>
        </is>
      </c>
      <c r="G1243" s="23" t="inlineStr">
        <is>
          <t>IOGURTE</t>
        </is>
      </c>
      <c r="H1243" s="34" t="n">
        <v>0.12</v>
      </c>
      <c r="I1243" s="36" t="n">
        <v>3500</v>
      </c>
      <c r="J1243" s="21">
        <f>I1243*H1243</f>
        <v/>
      </c>
      <c r="K1243" s="21">
        <f>IFERROR(IF(J1243/P1243&gt;1,P1243,J1243),0)</f>
        <v/>
      </c>
      <c r="L1243" s="36" t="n">
        <v>3480</v>
      </c>
      <c r="M1243" s="21">
        <f>L1243*H1243</f>
        <v/>
      </c>
      <c r="N1243" s="21">
        <f>IFERROR(IF(M1243/K1243&gt;1,K1243,M1243),0)</f>
        <v/>
      </c>
      <c r="O1243" s="36" t="n">
        <v>2000</v>
      </c>
      <c r="P1243" s="21">
        <f>O1243*H1243</f>
        <v/>
      </c>
      <c r="Q1243" s="30">
        <f>IF(MONTH(E1243+1)=MONTH(E1243+6),MONTH(E1243+1),IF(MIN(EOMONTH(E1243+1,0),E1243+6)-(E1243+1)+1&gt;=3,MONTH(E1243+1),MONTH(E1243+6)))</f>
        <v/>
      </c>
      <c r="R1243" s="22">
        <f>IFERROR(K1243/P1243, 0)</f>
        <v/>
      </c>
      <c r="S1243" s="38">
        <f>IFERROR(N1243/P1243,0)</f>
        <v/>
      </c>
      <c r="T1243" s="31">
        <f>IFERROR(IF(N1243&gt;0,(N1243/K1243),MIN(1,M1243/J1243)),0)</f>
        <v/>
      </c>
      <c r="U1243" s="33" t="n"/>
    </row>
    <row r="1244">
      <c r="A1244" s="18" t="inlineStr">
        <is>
          <t>Semana 3 - Julho</t>
        </is>
      </c>
      <c r="B1244" s="27">
        <f>YEAR(E1244)</f>
        <v/>
      </c>
      <c r="C1244" s="18">
        <f>INDEX({"Janeiro";"Fevereiro";"Março";"Abril";"Maio";"Junho";"Julho";"Agosto";"Setembro";"Outubro";"Novembro";"Dezembro"},Q1244)</f>
        <v/>
      </c>
      <c r="D1244" s="19" t="n">
        <v>3</v>
      </c>
      <c r="E1244" s="20" t="n">
        <v>46216</v>
      </c>
      <c r="F1244" s="23" t="inlineStr">
        <is>
          <t>Iogurte Coco 185g</t>
        </is>
      </c>
      <c r="G1244" s="23" t="inlineStr">
        <is>
          <t>IOGURTE</t>
        </is>
      </c>
      <c r="H1244" s="34" t="n">
        <v>0.185</v>
      </c>
      <c r="I1244" s="36" t="n">
        <v>520</v>
      </c>
      <c r="J1244" s="21">
        <f>I1244*H1244</f>
        <v/>
      </c>
      <c r="K1244" s="21">
        <f>IFERROR(IF(J1244/P1244&gt;1,P1244,J1244),0)</f>
        <v/>
      </c>
      <c r="L1244" s="36" t="n">
        <v>514</v>
      </c>
      <c r="M1244" s="21">
        <f>L1244*H1244</f>
        <v/>
      </c>
      <c r="N1244" s="21">
        <f>IFERROR(IF(M1244/K1244&gt;1,K1244,M1244),0)</f>
        <v/>
      </c>
      <c r="O1244" s="36" t="n">
        <v>520</v>
      </c>
      <c r="P1244" s="21">
        <f>O1244*H1244</f>
        <v/>
      </c>
      <c r="Q1244" s="30">
        <f>IF(MONTH(E1244+1)=MONTH(E1244+6),MONTH(E1244+1),IF(MIN(EOMONTH(E1244+1,0),E1244+6)-(E1244+1)+1&gt;=3,MONTH(E1244+1),MONTH(E1244+6)))</f>
        <v/>
      </c>
      <c r="R1244" s="22">
        <f>IFERROR(K1244/P1244, 0)</f>
        <v/>
      </c>
      <c r="S1244" s="38">
        <f>IFERROR(N1244/P1244,0)</f>
        <v/>
      </c>
      <c r="T1244" s="31">
        <f>IFERROR(IF(N1244&gt;0,(N1244/K1244),MIN(1,M1244/J1244)),0)</f>
        <v/>
      </c>
      <c r="U1244" s="33" t="n"/>
    </row>
    <row r="1245">
      <c r="A1245" s="18" t="inlineStr">
        <is>
          <t>Semana 3 - Julho</t>
        </is>
      </c>
      <c r="B1245" s="27">
        <f>YEAR(E1245)</f>
        <v/>
      </c>
      <c r="C1245" s="18">
        <f>INDEX({"Janeiro";"Fevereiro";"Março";"Abril";"Maio";"Junho";"Julho";"Agosto";"Setembro";"Outubro";"Novembro";"Dezembro"},Q1245)</f>
        <v/>
      </c>
      <c r="D1245" s="19" t="n">
        <v>3</v>
      </c>
      <c r="E1245" s="20" t="n">
        <v>46216</v>
      </c>
      <c r="F1245" s="23" t="inlineStr">
        <is>
          <t>Iogurte Coco 900g</t>
        </is>
      </c>
      <c r="G1245" s="23" t="inlineStr">
        <is>
          <t>IOGURTE</t>
        </is>
      </c>
      <c r="H1245" s="34" t="n">
        <v>0.9</v>
      </c>
      <c r="I1245" s="36" t="n">
        <v>1620</v>
      </c>
      <c r="J1245" s="21">
        <f>I1245*H1245</f>
        <v/>
      </c>
      <c r="K1245" s="21">
        <f>IFERROR(IF(J1245/P1245&gt;1,P1245,J1245),0)</f>
        <v/>
      </c>
      <c r="L1245" s="36" t="n">
        <v>1410</v>
      </c>
      <c r="M1245" s="21">
        <f>L1245*H1245</f>
        <v/>
      </c>
      <c r="N1245" s="21">
        <f>IFERROR(IF(M1245/K1245&gt;1,K1245,M1245),0)</f>
        <v/>
      </c>
      <c r="O1245" s="36" t="n">
        <v>1200</v>
      </c>
      <c r="P1245" s="21">
        <f>O1245*H1245</f>
        <v/>
      </c>
      <c r="Q1245" s="30">
        <f>IF(MONTH(E1245+1)=MONTH(E1245+6),MONTH(E1245+1),IF(MIN(EOMONTH(E1245+1,0),E1245+6)-(E1245+1)+1&gt;=3,MONTH(E1245+1),MONTH(E1245+6)))</f>
        <v/>
      </c>
      <c r="R1245" s="22">
        <f>IFERROR(K1245/P1245, 0)</f>
        <v/>
      </c>
      <c r="S1245" s="38">
        <f>IFERROR(N1245/P1245,0)</f>
        <v/>
      </c>
      <c r="T1245" s="31">
        <f>IFERROR(IF(N1245&gt;0,(N1245/K1245),MIN(1,M1245/J1245)),0)</f>
        <v/>
      </c>
      <c r="U1245" s="33" t="n"/>
    </row>
    <row r="1246">
      <c r="A1246" s="18" t="inlineStr">
        <is>
          <t>Semana 3 - Julho</t>
        </is>
      </c>
      <c r="B1246" s="27">
        <f>YEAR(E1246)</f>
        <v/>
      </c>
      <c r="C1246" s="18">
        <f>INDEX({"Janeiro";"Fevereiro";"Março";"Abril";"Maio";"Junho";"Julho";"Agosto";"Setembro";"Outubro";"Novembro";"Dezembro"},Q1246)</f>
        <v/>
      </c>
      <c r="D1246" s="19" t="n">
        <v>3</v>
      </c>
      <c r="E1246" s="20" t="n">
        <v>46216</v>
      </c>
      <c r="F1246" s="23" t="inlineStr">
        <is>
          <t>Iogurte Grego Frutas vermelhas 120g</t>
        </is>
      </c>
      <c r="G1246" s="23" t="inlineStr">
        <is>
          <t>IOGURTE</t>
        </is>
      </c>
      <c r="H1246" s="34" t="n">
        <v>0.17</v>
      </c>
      <c r="I1246" s="36" t="n">
        <v>1400</v>
      </c>
      <c r="J1246" s="21">
        <f>I1246*H1246</f>
        <v/>
      </c>
      <c r="K1246" s="21">
        <f>IFERROR(IF(J1246/P1246&gt;1,P1246,J1246),0)</f>
        <v/>
      </c>
      <c r="L1246" s="36" t="n">
        <v>1201</v>
      </c>
      <c r="M1246" s="21">
        <f>L1246*H1246</f>
        <v/>
      </c>
      <c r="N1246" s="21">
        <f>IFERROR(IF(M1246/K1246&gt;1,K1246,M1246),0)</f>
        <v/>
      </c>
      <c r="O1246" s="36" t="n">
        <v>1400</v>
      </c>
      <c r="P1246" s="21">
        <f>O1246*H1246</f>
        <v/>
      </c>
      <c r="Q1246" s="30">
        <f>IF(MONTH(E1246+1)=MONTH(E1246+6),MONTH(E1246+1),IF(MIN(EOMONTH(E1246+1,0),E1246+6)-(E1246+1)+1&gt;=3,MONTH(E1246+1),MONTH(E1246+6)))</f>
        <v/>
      </c>
      <c r="R1246" s="22">
        <f>IFERROR(K1246/P1246, 0)</f>
        <v/>
      </c>
      <c r="S1246" s="38">
        <f>IFERROR(N1246/P1246,0)</f>
        <v/>
      </c>
      <c r="T1246" s="31">
        <f>IFERROR(IF(N1246&gt;0,(N1246/K1246),MIN(1,M1246/J1246)),0)</f>
        <v/>
      </c>
      <c r="U1246" s="33" t="n"/>
    </row>
    <row r="1247">
      <c r="A1247" s="18" t="inlineStr">
        <is>
          <t>Semana 3 - Julho</t>
        </is>
      </c>
      <c r="B1247" s="27">
        <f>YEAR(E1247)</f>
        <v/>
      </c>
      <c r="C1247" s="18">
        <f>INDEX({"Janeiro";"Fevereiro";"Março";"Abril";"Maio";"Junho";"Julho";"Agosto";"Setembro";"Outubro";"Novembro";"Dezembro"},Q1247)</f>
        <v/>
      </c>
      <c r="D1247" s="19" t="n">
        <v>3</v>
      </c>
      <c r="E1247" s="20" t="n">
        <v>46216</v>
      </c>
      <c r="F1247" s="23" t="inlineStr">
        <is>
          <t>Iogurte Morango 120g</t>
        </is>
      </c>
      <c r="G1247" s="23" t="inlineStr">
        <is>
          <t>IOGURTE</t>
        </is>
      </c>
      <c r="H1247" s="34" t="n">
        <v>0.12</v>
      </c>
      <c r="I1247" s="36" t="n">
        <v>16000</v>
      </c>
      <c r="J1247" s="21">
        <f>I1247*H1247</f>
        <v/>
      </c>
      <c r="K1247" s="21">
        <f>IFERROR(IF(J1247/P1247&gt;1,P1247,J1247),0)</f>
        <v/>
      </c>
      <c r="L1247" s="36" t="n">
        <v>14436</v>
      </c>
      <c r="M1247" s="21">
        <f>L1247*H1247</f>
        <v/>
      </c>
      <c r="N1247" s="21">
        <f>IFERROR(IF(M1247/K1247&gt;1,K1247,M1247),0)</f>
        <v/>
      </c>
      <c r="O1247" s="36" t="n">
        <v>15000</v>
      </c>
      <c r="P1247" s="21">
        <f>O1247*H1247</f>
        <v/>
      </c>
      <c r="Q1247" s="30">
        <f>IF(MONTH(E1247+1)=MONTH(E1247+6),MONTH(E1247+1),IF(MIN(EOMONTH(E1247+1,0),E1247+6)-(E1247+1)+1&gt;=3,MONTH(E1247+1),MONTH(E1247+6)))</f>
        <v/>
      </c>
      <c r="R1247" s="22">
        <f>IFERROR(K1247/P1247, 0)</f>
        <v/>
      </c>
      <c r="S1247" s="38">
        <f>IFERROR(N1247/P1247,0)</f>
        <v/>
      </c>
      <c r="T1247" s="31">
        <f>IFERROR(IF(N1247&gt;0,(N1247/K1247),MIN(1,M1247/J1247)),0)</f>
        <v/>
      </c>
      <c r="U1247" s="33" t="n"/>
    </row>
    <row r="1248">
      <c r="A1248" s="18" t="inlineStr">
        <is>
          <t>Semana 3 - Julho</t>
        </is>
      </c>
      <c r="B1248" s="27">
        <f>YEAR(E1248)</f>
        <v/>
      </c>
      <c r="C1248" s="18">
        <f>INDEX({"Janeiro";"Fevereiro";"Março";"Abril";"Maio";"Junho";"Julho";"Agosto";"Setembro";"Outubro";"Novembro";"Dezembro"},Q1248)</f>
        <v/>
      </c>
      <c r="D1248" s="19" t="n">
        <v>3</v>
      </c>
      <c r="E1248" s="20" t="n">
        <v>46216</v>
      </c>
      <c r="F1248" s="23" t="inlineStr">
        <is>
          <t>Iogurte Morango 185g</t>
        </is>
      </c>
      <c r="G1248" s="23" t="inlineStr">
        <is>
          <t>IOGURTE</t>
        </is>
      </c>
      <c r="H1248" s="34" t="n">
        <v>0.185</v>
      </c>
      <c r="I1248" s="36" t="n">
        <v>1820</v>
      </c>
      <c r="J1248" s="21">
        <f>I1248*H1248</f>
        <v/>
      </c>
      <c r="K1248" s="21">
        <f>IFERROR(IF(J1248/P1248&gt;1,P1248,J1248),0)</f>
        <v/>
      </c>
      <c r="L1248" s="36" t="n">
        <v>1812</v>
      </c>
      <c r="M1248" s="21">
        <f>L1248*H1248</f>
        <v/>
      </c>
      <c r="N1248" s="21">
        <f>IFERROR(IF(M1248/K1248&gt;1,K1248,M1248),0)</f>
        <v/>
      </c>
      <c r="O1248" s="36" t="n">
        <v>1560</v>
      </c>
      <c r="P1248" s="21">
        <f>O1248*H1248</f>
        <v/>
      </c>
      <c r="Q1248" s="30">
        <f>IF(MONTH(E1248+1)=MONTH(E1248+6),MONTH(E1248+1),IF(MIN(EOMONTH(E1248+1,0),E1248+6)-(E1248+1)+1&gt;=3,MONTH(E1248+1),MONTH(E1248+6)))</f>
        <v/>
      </c>
      <c r="R1248" s="22">
        <f>IFERROR(K1248/P1248, 0)</f>
        <v/>
      </c>
      <c r="S1248" s="38">
        <f>IFERROR(N1248/P1248,0)</f>
        <v/>
      </c>
      <c r="T1248" s="31">
        <f>IFERROR(IF(N1248&gt;0,(N1248/K1248),MIN(1,M1248/J1248)),0)</f>
        <v/>
      </c>
      <c r="U1248" s="33" t="n"/>
    </row>
    <row r="1249">
      <c r="A1249" s="18" t="inlineStr">
        <is>
          <t>Semana 3 - Julho</t>
        </is>
      </c>
      <c r="B1249" s="27">
        <f>YEAR(E1249)</f>
        <v/>
      </c>
      <c r="C1249" s="18">
        <f>INDEX({"Janeiro";"Fevereiro";"Março";"Abril";"Maio";"Junho";"Julho";"Agosto";"Setembro";"Outubro";"Novembro";"Dezembro"},Q1249)</f>
        <v/>
      </c>
      <c r="D1249" s="19" t="n">
        <v>3</v>
      </c>
      <c r="E1249" s="20" t="n">
        <v>46216</v>
      </c>
      <c r="F1249" s="23" t="inlineStr">
        <is>
          <t>Iogurte Morango 900G</t>
        </is>
      </c>
      <c r="G1249" s="23" t="inlineStr">
        <is>
          <t>IOGURTE</t>
        </is>
      </c>
      <c r="H1249" s="34" t="n">
        <v>0.9</v>
      </c>
      <c r="I1249" s="36" t="n">
        <v>2450</v>
      </c>
      <c r="J1249" s="21">
        <f>I1249*H1249</f>
        <v/>
      </c>
      <c r="K1249" s="21">
        <f>IFERROR(IF(J1249/P1249&gt;1,P1249,J1249),0)</f>
        <v/>
      </c>
      <c r="L1249" s="36" t="n">
        <v>2139</v>
      </c>
      <c r="M1249" s="21">
        <f>L1249*H1249</f>
        <v/>
      </c>
      <c r="N1249" s="21">
        <f>IFERROR(IF(M1249/K1249&gt;1,K1249,M1249),0)</f>
        <v/>
      </c>
      <c r="O1249" s="36" t="n">
        <v>2000</v>
      </c>
      <c r="P1249" s="21">
        <f>O1249*H1249</f>
        <v/>
      </c>
      <c r="Q1249" s="30">
        <f>IF(MONTH(E1249+1)=MONTH(E1249+6),MONTH(E1249+1),IF(MIN(EOMONTH(E1249+1,0),E1249+6)-(E1249+1)+1&gt;=3,MONTH(E1249+1),MONTH(E1249+6)))</f>
        <v/>
      </c>
      <c r="R1249" s="22">
        <f>IFERROR(K1249/P1249, 0)</f>
        <v/>
      </c>
      <c r="S1249" s="38">
        <f>IFERROR(N1249/P1249,0)</f>
        <v/>
      </c>
      <c r="T1249" s="31">
        <f>IFERROR(IF(N1249&gt;0,(N1249/K1249),MIN(1,M1249/J1249)),0)</f>
        <v/>
      </c>
      <c r="U1249" s="33" t="n"/>
    </row>
    <row r="1250">
      <c r="A1250" s="18" t="inlineStr">
        <is>
          <t>Semana 3 - Julho</t>
        </is>
      </c>
      <c r="B1250" s="27">
        <f>YEAR(E1250)</f>
        <v/>
      </c>
      <c r="C1250" s="18">
        <f>INDEX({"Janeiro";"Fevereiro";"Março";"Abril";"Maio";"Junho";"Julho";"Agosto";"Setembro";"Outubro";"Novembro";"Dezembro"},Q1250)</f>
        <v/>
      </c>
      <c r="D1250" s="19" t="n">
        <v>3</v>
      </c>
      <c r="E1250" s="20" t="n">
        <v>46216</v>
      </c>
      <c r="F1250" s="23" t="inlineStr">
        <is>
          <t>Iogurte Natural Integral 170g</t>
        </is>
      </c>
      <c r="G1250" s="23" t="inlineStr">
        <is>
          <t>IOGURTE</t>
        </is>
      </c>
      <c r="H1250" s="34" t="n">
        <v>0.17</v>
      </c>
      <c r="I1250" s="36" t="n">
        <v>3820</v>
      </c>
      <c r="J1250" s="21">
        <f>I1250*H1250</f>
        <v/>
      </c>
      <c r="K1250" s="21">
        <f>IFERROR(IF(J1250/P1250&gt;1,P1250,J1250),0)</f>
        <v/>
      </c>
      <c r="L1250" s="36" t="n">
        <v>3646</v>
      </c>
      <c r="M1250" s="21">
        <f>L1250*H1250</f>
        <v/>
      </c>
      <c r="N1250" s="21">
        <f>IFERROR(IF(M1250/K1250&gt;1,K1250,M1250),0)</f>
        <v/>
      </c>
      <c r="O1250" s="36" t="n">
        <v>3800</v>
      </c>
      <c r="P1250" s="21">
        <f>O1250*H1250</f>
        <v/>
      </c>
      <c r="Q1250" s="30">
        <f>IF(MONTH(E1250+1)=MONTH(E1250+6),MONTH(E1250+1),IF(MIN(EOMONTH(E1250+1,0),E1250+6)-(E1250+1)+1&gt;=3,MONTH(E1250+1),MONTH(E1250+6)))</f>
        <v/>
      </c>
      <c r="R1250" s="22">
        <f>IFERROR(K1250/P1250, 0)</f>
        <v/>
      </c>
      <c r="S1250" s="38">
        <f>IFERROR(N1250/P1250,0)</f>
        <v/>
      </c>
      <c r="T1250" s="31">
        <f>IFERROR(IF(N1250&gt;0,(N1250/K1250),MIN(1,M1250/J1250)),0)</f>
        <v/>
      </c>
      <c r="U1250" s="33" t="n"/>
    </row>
    <row r="1251">
      <c r="A1251" s="18" t="inlineStr">
        <is>
          <t>Semana 3 - Julho</t>
        </is>
      </c>
      <c r="B1251" s="27">
        <f>YEAR(E1251)</f>
        <v/>
      </c>
      <c r="C1251" s="18">
        <f>INDEX({"Janeiro";"Fevereiro";"Março";"Abril";"Maio";"Junho";"Julho";"Agosto";"Setembro";"Outubro";"Novembro";"Dezembro"},Q1251)</f>
        <v/>
      </c>
      <c r="D1251" s="19" t="n">
        <v>3</v>
      </c>
      <c r="E1251" s="20" t="n">
        <v>46216</v>
      </c>
      <c r="F1251" s="23" t="inlineStr">
        <is>
          <t>Iogurte Salada 120g</t>
        </is>
      </c>
      <c r="G1251" s="23" t="inlineStr">
        <is>
          <t>IOGURTE</t>
        </is>
      </c>
      <c r="H1251" s="34" t="n">
        <v>0.12</v>
      </c>
      <c r="I1251" s="36" t="n">
        <v>1000</v>
      </c>
      <c r="J1251" s="21">
        <f>I1251*H1251</f>
        <v/>
      </c>
      <c r="K1251" s="21">
        <f>IFERROR(IF(J1251/P1251&gt;1,P1251,J1251),0)</f>
        <v/>
      </c>
      <c r="L1251" s="36" t="n">
        <v>1266</v>
      </c>
      <c r="M1251" s="21">
        <f>L1251*H1251</f>
        <v/>
      </c>
      <c r="N1251" s="21">
        <f>IFERROR(IF(M1251/K1251&gt;1,K1251,M1251),0)</f>
        <v/>
      </c>
      <c r="O1251" s="36" t="n">
        <v>1000</v>
      </c>
      <c r="P1251" s="21">
        <f>O1251*H1251</f>
        <v/>
      </c>
      <c r="Q1251" s="30">
        <f>IF(MONTH(E1251+1)=MONTH(E1251+6),MONTH(E1251+1),IF(MIN(EOMONTH(E1251+1,0),E1251+6)-(E1251+1)+1&gt;=3,MONTH(E1251+1),MONTH(E1251+6)))</f>
        <v/>
      </c>
      <c r="R1251" s="22">
        <f>IFERROR(K1251/P1251, 0)</f>
        <v/>
      </c>
      <c r="S1251" s="38">
        <f>IFERROR(N1251/P1251,0)</f>
        <v/>
      </c>
      <c r="T1251" s="31">
        <f>IFERROR(IF(N1251&gt;0,(N1251/K1251),MIN(1,M1251/J1251)),0)</f>
        <v/>
      </c>
      <c r="U1251" s="33" t="n"/>
    </row>
    <row r="1252">
      <c r="A1252" s="18" t="inlineStr">
        <is>
          <t>Semana 3 - Julho</t>
        </is>
      </c>
      <c r="B1252" s="27">
        <f>YEAR(E1252)</f>
        <v/>
      </c>
      <c r="C1252" s="18">
        <f>INDEX({"Janeiro";"Fevereiro";"Março";"Abril";"Maio";"Junho";"Julho";"Agosto";"Setembro";"Outubro";"Novembro";"Dezembro"},Q1252)</f>
        <v/>
      </c>
      <c r="D1252" s="19" t="n">
        <v>3</v>
      </c>
      <c r="E1252" s="20" t="n">
        <v>46216</v>
      </c>
      <c r="F1252" s="23" t="inlineStr">
        <is>
          <t>Iogurte Salada 185g</t>
        </is>
      </c>
      <c r="G1252" s="23" t="inlineStr">
        <is>
          <t>IOGURTE</t>
        </is>
      </c>
      <c r="H1252" s="34" t="n">
        <v>0.185</v>
      </c>
      <c r="I1252" s="36" t="n">
        <v>260</v>
      </c>
      <c r="J1252" s="21">
        <f>I1252*H1252</f>
        <v/>
      </c>
      <c r="K1252" s="21">
        <f>IFERROR(IF(J1252/P1252&gt;1,P1252,J1252),0)</f>
        <v/>
      </c>
      <c r="L1252" s="36" t="n">
        <v>250</v>
      </c>
      <c r="M1252" s="21">
        <f>L1252*H1252</f>
        <v/>
      </c>
      <c r="N1252" s="21">
        <f>IFERROR(IF(M1252/K1252&gt;1,K1252,M1252),0)</f>
        <v/>
      </c>
      <c r="O1252" s="36" t="n">
        <v>260</v>
      </c>
      <c r="P1252" s="21">
        <f>O1252*H1252</f>
        <v/>
      </c>
      <c r="Q1252" s="30">
        <f>IF(MONTH(E1252+1)=MONTH(E1252+6),MONTH(E1252+1),IF(MIN(EOMONTH(E1252+1,0),E1252+6)-(E1252+1)+1&gt;=3,MONTH(E1252+1),MONTH(E1252+6)))</f>
        <v/>
      </c>
      <c r="R1252" s="22">
        <f>IFERROR(K1252/P1252, 0)</f>
        <v/>
      </c>
      <c r="S1252" s="38">
        <f>IFERROR(N1252/P1252,0)</f>
        <v/>
      </c>
      <c r="T1252" s="31">
        <f>IFERROR(IF(N1252&gt;0,(N1252/K1252),MIN(1,M1252/J1252)),0)</f>
        <v/>
      </c>
      <c r="U1252" s="33" t="n"/>
    </row>
    <row r="1253">
      <c r="A1253" s="18" t="inlineStr">
        <is>
          <t>Semana 3 - Julho</t>
        </is>
      </c>
      <c r="B1253" s="27">
        <f>YEAR(E1253)</f>
        <v/>
      </c>
      <c r="C1253" s="18">
        <f>INDEX({"Janeiro";"Fevereiro";"Março";"Abril";"Maio";"Junho";"Julho";"Agosto";"Setembro";"Outubro";"Novembro";"Dezembro"},Q1253)</f>
        <v/>
      </c>
      <c r="D1253" s="19" t="n">
        <v>3</v>
      </c>
      <c r="E1253" s="20" t="n">
        <v>46216</v>
      </c>
      <c r="F1253" s="23" t="inlineStr">
        <is>
          <t>Iogurte Salada 900g</t>
        </is>
      </c>
      <c r="G1253" s="23" t="inlineStr">
        <is>
          <t>IOGURTE</t>
        </is>
      </c>
      <c r="H1253" s="34" t="n">
        <v>0.9</v>
      </c>
      <c r="I1253" s="36" t="n">
        <v>1500</v>
      </c>
      <c r="J1253" s="21">
        <f>I1253*H1253</f>
        <v/>
      </c>
      <c r="K1253" s="21">
        <f>IFERROR(IF(J1253/P1253&gt;1,P1253,J1253),0)</f>
        <v/>
      </c>
      <c r="L1253" s="36" t="n">
        <v>1373</v>
      </c>
      <c r="M1253" s="21">
        <f>L1253*H1253</f>
        <v/>
      </c>
      <c r="N1253" s="21">
        <f>IFERROR(IF(M1253/K1253&gt;1,K1253,M1253),0)</f>
        <v/>
      </c>
      <c r="O1253" s="36" t="n">
        <v>1500</v>
      </c>
      <c r="P1253" s="21">
        <f>O1253*H1253</f>
        <v/>
      </c>
      <c r="Q1253" s="30">
        <f>IF(MONTH(E1253+1)=MONTH(E1253+6),MONTH(E1253+1),IF(MIN(EOMONTH(E1253+1,0),E1253+6)-(E1253+1)+1&gt;=3,MONTH(E1253+1),MONTH(E1253+6)))</f>
        <v/>
      </c>
      <c r="R1253" s="22">
        <f>IFERROR(K1253/P1253, 0)</f>
        <v/>
      </c>
      <c r="S1253" s="38">
        <f>IFERROR(N1253/P1253,0)</f>
        <v/>
      </c>
      <c r="T1253" s="31">
        <f>IFERROR(IF(N1253&gt;0,(N1253/K1253),MIN(1,M1253/J1253)),0)</f>
        <v/>
      </c>
      <c r="U1253" s="33" t="n"/>
    </row>
    <row r="1254">
      <c r="A1254" s="18" t="inlineStr">
        <is>
          <t>Semana 3 - Julho</t>
        </is>
      </c>
      <c r="B1254" s="27">
        <f>YEAR(E1254)</f>
        <v/>
      </c>
      <c r="C1254" s="18">
        <f>INDEX({"Janeiro";"Fevereiro";"Março";"Abril";"Maio";"Junho";"Julho";"Agosto";"Setembro";"Outubro";"Novembro";"Dezembro"},Q1254)</f>
        <v/>
      </c>
      <c r="D1254" s="19" t="n">
        <v>3</v>
      </c>
      <c r="E1254" s="20" t="n">
        <v>46216</v>
      </c>
      <c r="F1254" s="23" t="inlineStr">
        <is>
          <t>LEITE PASTEURIZADO VIÇOSA DESNATADO</t>
        </is>
      </c>
      <c r="G1254" s="23" t="inlineStr">
        <is>
          <t>LEITE PAST.</t>
        </is>
      </c>
      <c r="H1254" s="34" t="n">
        <v>1</v>
      </c>
      <c r="I1254" s="36" t="n">
        <v>800</v>
      </c>
      <c r="J1254" s="21">
        <f>I1254*H1254</f>
        <v/>
      </c>
      <c r="K1254" s="21">
        <f>IFERROR(IF(J1254/P1254&gt;1,P1254,J1254),0)</f>
        <v/>
      </c>
      <c r="L1254" s="36" t="n">
        <v>869</v>
      </c>
      <c r="M1254" s="21">
        <f>L1254*H1254</f>
        <v/>
      </c>
      <c r="N1254" s="21">
        <f>IFERROR(IF(M1254/K1254&gt;1,K1254,M1254),0)</f>
        <v/>
      </c>
      <c r="O1254" s="36" t="n">
        <v>800</v>
      </c>
      <c r="P1254" s="21">
        <f>O1254*H1254</f>
        <v/>
      </c>
      <c r="Q1254" s="30">
        <f>IF(MONTH(E1254+1)=MONTH(E1254+6),MONTH(E1254+1),IF(MIN(EOMONTH(E1254+1,0),E1254+6)-(E1254+1)+1&gt;=3,MONTH(E1254+1),MONTH(E1254+6)))</f>
        <v/>
      </c>
      <c r="R1254" s="22">
        <f>IFERROR(K1254/P1254, 0)</f>
        <v/>
      </c>
      <c r="S1254" s="38">
        <f>IFERROR(N1254/P1254,0)</f>
        <v/>
      </c>
      <c r="T1254" s="31">
        <f>IFERROR(IF(N1254&gt;0,(N1254/K1254),MIN(1,M1254/J1254)),0)</f>
        <v/>
      </c>
      <c r="U1254" s="33" t="n"/>
    </row>
    <row r="1255">
      <c r="A1255" s="18" t="inlineStr">
        <is>
          <t>Semana 3 - Julho</t>
        </is>
      </c>
      <c r="B1255" s="27">
        <f>YEAR(E1255)</f>
        <v/>
      </c>
      <c r="C1255" s="18">
        <f>INDEX({"Janeiro";"Fevereiro";"Março";"Abril";"Maio";"Junho";"Julho";"Agosto";"Setembro";"Outubro";"Novembro";"Dezembro"},Q1255)</f>
        <v/>
      </c>
      <c r="D1255" s="19" t="n">
        <v>3</v>
      </c>
      <c r="E1255" s="20" t="n">
        <v>46216</v>
      </c>
      <c r="F1255" s="23" t="inlineStr">
        <is>
          <t>LEITE PASTEURIZADO VIÇOSA INTEGRAL</t>
        </is>
      </c>
      <c r="G1255" s="23" t="inlineStr">
        <is>
          <t>LEITE PAST.</t>
        </is>
      </c>
      <c r="H1255" s="34" t="n">
        <v>1</v>
      </c>
      <c r="I1255" s="36" t="n">
        <v>24200</v>
      </c>
      <c r="J1255" s="21">
        <f>I1255*H1255</f>
        <v/>
      </c>
      <c r="K1255" s="21">
        <f>IFERROR(IF(J1255/P1255&gt;1,P1255,J1255),0)</f>
        <v/>
      </c>
      <c r="L1255" s="36" t="n">
        <v>24613</v>
      </c>
      <c r="M1255" s="21">
        <f>L1255*H1255</f>
        <v/>
      </c>
      <c r="N1255" s="21">
        <f>IFERROR(IF(M1255/K1255&gt;1,K1255,M1255),0)</f>
        <v/>
      </c>
      <c r="O1255" s="36" t="n">
        <v>24200</v>
      </c>
      <c r="P1255" s="21">
        <f>O1255*H1255</f>
        <v/>
      </c>
      <c r="Q1255" s="30">
        <f>IF(MONTH(E1255+1)=MONTH(E1255+6),MONTH(E1255+1),IF(MIN(EOMONTH(E1255+1,0),E1255+6)-(E1255+1)+1&gt;=3,MONTH(E1255+1),MONTH(E1255+6)))</f>
        <v/>
      </c>
      <c r="R1255" s="22">
        <f>IFERROR(K1255/P1255, 0)</f>
        <v/>
      </c>
      <c r="S1255" s="38">
        <f>IFERROR(N1255/P1255,0)</f>
        <v/>
      </c>
      <c r="T1255" s="31">
        <f>IFERROR(IF(N1255&gt;0,(N1255/K1255),MIN(1,M1255/J1255)),0)</f>
        <v/>
      </c>
      <c r="U1255" s="33" t="n"/>
    </row>
    <row r="1256">
      <c r="A1256" s="18" t="inlineStr">
        <is>
          <t>Semana 3 - Julho</t>
        </is>
      </c>
      <c r="B1256" s="27">
        <f>YEAR(E1256)</f>
        <v/>
      </c>
      <c r="C1256" s="18">
        <f>INDEX({"Janeiro";"Fevereiro";"Março";"Abril";"Maio";"Junho";"Julho";"Agosto";"Setembro";"Outubro";"Novembro";"Dezembro"},Q1256)</f>
        <v/>
      </c>
      <c r="D1256" s="19" t="n">
        <v>3</v>
      </c>
      <c r="E1256" s="20" t="n">
        <v>46216</v>
      </c>
      <c r="F1256" s="23" t="inlineStr">
        <is>
          <t>LEITE PASTEURIZADO VIÇOSA ZERO LACTOSE INTEGRAL 1 L</t>
        </is>
      </c>
      <c r="G1256" s="23" t="inlineStr">
        <is>
          <t>LEITE PAST.</t>
        </is>
      </c>
      <c r="H1256" s="34" t="n">
        <v>1</v>
      </c>
      <c r="I1256" s="36" t="n">
        <v>1010</v>
      </c>
      <c r="J1256" s="21">
        <f>I1256*H1256</f>
        <v/>
      </c>
      <c r="K1256" s="21">
        <f>IFERROR(IF(J1256/P1256&gt;1,P1256,J1256),0)</f>
        <v/>
      </c>
      <c r="L1256" s="36" t="n">
        <v>1119</v>
      </c>
      <c r="M1256" s="21">
        <f>L1256*H1256</f>
        <v/>
      </c>
      <c r="N1256" s="21">
        <f>IFERROR(IF(M1256/K1256&gt;1,K1256,M1256),0)</f>
        <v/>
      </c>
      <c r="O1256" s="36" t="n">
        <v>1010</v>
      </c>
      <c r="P1256" s="21">
        <f>O1256*H1256</f>
        <v/>
      </c>
      <c r="Q1256" s="30">
        <f>IF(MONTH(E1256+1)=MONTH(E1256+6),MONTH(E1256+1),IF(MIN(EOMONTH(E1256+1,0),E1256+6)-(E1256+1)+1&gt;=3,MONTH(E1256+1),MONTH(E1256+6)))</f>
        <v/>
      </c>
      <c r="R1256" s="22">
        <f>IFERROR(K1256/P1256, 0)</f>
        <v/>
      </c>
      <c r="S1256" s="38">
        <f>IFERROR(N1256/P1256,0)</f>
        <v/>
      </c>
      <c r="T1256" s="31">
        <f>IFERROR(IF(N1256&gt;0,(N1256/K1256),MIN(1,M1256/J1256)),0)</f>
        <v/>
      </c>
      <c r="U1256" s="33" t="n"/>
    </row>
    <row r="1257">
      <c r="A1257" s="18" t="inlineStr">
        <is>
          <t>Semana 3 - Julho</t>
        </is>
      </c>
      <c r="B1257" s="27">
        <f>YEAR(E1257)</f>
        <v/>
      </c>
      <c r="C1257" s="18">
        <f>INDEX({"Janeiro";"Fevereiro";"Março";"Abril";"Maio";"Junho";"Julho";"Agosto";"Setembro";"Outubro";"Novembro";"Dezembro"},Q1257)</f>
        <v/>
      </c>
      <c r="D1257" s="19" t="n">
        <v>3</v>
      </c>
      <c r="E1257" s="20" t="n">
        <v>46216</v>
      </c>
      <c r="F1257" s="23" t="inlineStr">
        <is>
          <t>Manteiga 200g</t>
        </is>
      </c>
      <c r="G1257" s="23" t="inlineStr">
        <is>
          <t>MANTEIGA</t>
        </is>
      </c>
      <c r="H1257" s="34" t="n">
        <v>0.2</v>
      </c>
      <c r="I1257" s="36" t="n">
        <v>4400</v>
      </c>
      <c r="J1257" s="21">
        <f>I1257*H1257</f>
        <v/>
      </c>
      <c r="K1257" s="21">
        <f>IFERROR(IF(J1257/P1257&gt;1,P1257,J1257),0)</f>
        <v/>
      </c>
      <c r="L1257" s="36" t="n">
        <v>4368</v>
      </c>
      <c r="M1257" s="21">
        <f>L1257*H1257</f>
        <v/>
      </c>
      <c r="N1257" s="21">
        <f>IFERROR(IF(M1257/K1257&gt;1,K1257,M1257),0)</f>
        <v/>
      </c>
      <c r="O1257" s="36" t="n">
        <v>2250</v>
      </c>
      <c r="P1257" s="21">
        <f>O1257*H1257</f>
        <v/>
      </c>
      <c r="Q1257" s="30">
        <f>IF(MONTH(E1257+1)=MONTH(E1257+6),MONTH(E1257+1),IF(MIN(EOMONTH(E1257+1,0),E1257+6)-(E1257+1)+1&gt;=3,MONTH(E1257+1),MONTH(E1257+6)))</f>
        <v/>
      </c>
      <c r="R1257" s="22">
        <f>IFERROR(K1257/P1257, 0)</f>
        <v/>
      </c>
      <c r="S1257" s="38">
        <f>IFERROR(N1257/P1257,0)</f>
        <v/>
      </c>
      <c r="T1257" s="31">
        <f>IFERROR(IF(N1257&gt;0,(N1257/K1257),MIN(1,M1257/J1257)),0)</f>
        <v/>
      </c>
      <c r="U1257" s="33" t="n"/>
    </row>
    <row r="1258">
      <c r="A1258" s="18" t="inlineStr">
        <is>
          <t>Semana 3 - Julho</t>
        </is>
      </c>
      <c r="B1258" s="27">
        <f>YEAR(E1258)</f>
        <v/>
      </c>
      <c r="C1258" s="18">
        <f>INDEX({"Janeiro";"Fevereiro";"Março";"Abril";"Maio";"Junho";"Julho";"Agosto";"Setembro";"Outubro";"Novembro";"Dezembro"},Q1258)</f>
        <v/>
      </c>
      <c r="D1258" s="19" t="n">
        <v>3</v>
      </c>
      <c r="E1258" s="20" t="n">
        <v>46216</v>
      </c>
      <c r="F1258" s="23" t="inlineStr">
        <is>
          <t>Manteiga 500g</t>
        </is>
      </c>
      <c r="G1258" s="23" t="inlineStr">
        <is>
          <t>MANTEIGA</t>
        </is>
      </c>
      <c r="H1258" s="34" t="n">
        <v>0.5</v>
      </c>
      <c r="I1258" s="36" t="n">
        <v>2200</v>
      </c>
      <c r="J1258" s="21">
        <f>I1258*H1258</f>
        <v/>
      </c>
      <c r="K1258" s="21">
        <f>IFERROR(IF(J1258/P1258&gt;1,P1258,J1258),0)</f>
        <v/>
      </c>
      <c r="L1258" s="36" t="n">
        <v>2141</v>
      </c>
      <c r="M1258" s="21">
        <f>L1258*H1258</f>
        <v/>
      </c>
      <c r="N1258" s="21">
        <f>IFERROR(IF(M1258/K1258&gt;1,K1258,M1258),0)</f>
        <v/>
      </c>
      <c r="O1258" s="36" t="n">
        <v>1550</v>
      </c>
      <c r="P1258" s="21">
        <f>O1258*H1258</f>
        <v/>
      </c>
      <c r="Q1258" s="30">
        <f>IF(MONTH(E1258+1)=MONTH(E1258+6),MONTH(E1258+1),IF(MIN(EOMONTH(E1258+1,0),E1258+6)-(E1258+1)+1&gt;=3,MONTH(E1258+1),MONTH(E1258+6)))</f>
        <v/>
      </c>
      <c r="R1258" s="22">
        <f>IFERROR(K1258/P1258, 0)</f>
        <v/>
      </c>
      <c r="S1258" s="38">
        <f>IFERROR(N1258/P1258,0)</f>
        <v/>
      </c>
      <c r="T1258" s="31">
        <f>IFERROR(IF(N1258&gt;0,(N1258/K1258),MIN(1,M1258/J1258)),0)</f>
        <v/>
      </c>
      <c r="U1258" s="33" t="n"/>
    </row>
    <row r="1259">
      <c r="A1259" s="18" t="inlineStr">
        <is>
          <t>Semana 3 - Julho</t>
        </is>
      </c>
      <c r="B1259" s="27">
        <f>YEAR(E1259)</f>
        <v/>
      </c>
      <c r="C1259" s="18">
        <f>INDEX({"Janeiro";"Fevereiro";"Março";"Abril";"Maio";"Junho";"Julho";"Agosto";"Setembro";"Outubro";"Novembro";"Dezembro"},Q1259)</f>
        <v/>
      </c>
      <c r="D1259" s="19" t="n">
        <v>3</v>
      </c>
      <c r="E1259" s="20" t="n">
        <v>46216</v>
      </c>
      <c r="F1259" s="23" t="inlineStr">
        <is>
          <t>QUEIJO MUSSARELA 3KG</t>
        </is>
      </c>
      <c r="G1259" s="23" t="inlineStr">
        <is>
          <t>QUEIJO</t>
        </is>
      </c>
      <c r="H1259" s="34" t="n">
        <v>1</v>
      </c>
      <c r="I1259" s="36" t="n">
        <v>1000</v>
      </c>
      <c r="J1259" s="21">
        <f>I1259*H1259</f>
        <v/>
      </c>
      <c r="K1259" s="21">
        <f>IFERROR(IF(J1259/P1259&gt;1,P1259,J1259),0)</f>
        <v/>
      </c>
      <c r="L1259" s="36" t="n">
        <v>1000</v>
      </c>
      <c r="M1259" s="21">
        <f>L1259*H1259</f>
        <v/>
      </c>
      <c r="N1259" s="21">
        <f>IFERROR(IF(M1259/K1259&gt;1,K1259,M1259),0)</f>
        <v/>
      </c>
      <c r="O1259" s="36" t="n">
        <v>1000</v>
      </c>
      <c r="P1259" s="21">
        <f>O1259*H1259</f>
        <v/>
      </c>
      <c r="Q1259" s="30">
        <f>IF(MONTH(E1259+1)=MONTH(E1259+6),MONTH(E1259+1),IF(MIN(EOMONTH(E1259+1,0),E1259+6)-(E1259+1)+1&gt;=3,MONTH(E1259+1),MONTH(E1259+6)))</f>
        <v/>
      </c>
      <c r="R1259" s="22">
        <f>IFERROR(K1259/P1259, 0)</f>
        <v/>
      </c>
      <c r="S1259" s="38">
        <f>IFERROR(N1259/P1259,0)</f>
        <v/>
      </c>
      <c r="T1259" s="31">
        <f>IFERROR(IF(N1259&gt;0,(N1259/K1259),MIN(1,M1259/J1259)),0)</f>
        <v/>
      </c>
      <c r="U1259" s="33" t="n"/>
    </row>
    <row r="1260">
      <c r="A1260" s="18" t="inlineStr">
        <is>
          <t>Semana 3 - Julho</t>
        </is>
      </c>
      <c r="B1260" s="27">
        <f>YEAR(E1260)</f>
        <v/>
      </c>
      <c r="C1260" s="18">
        <f>INDEX({"Janeiro";"Fevereiro";"Março";"Abril";"Maio";"Junho";"Julho";"Agosto";"Setembro";"Outubro";"Novembro";"Dezembro"},Q1260)</f>
        <v/>
      </c>
      <c r="D1260" s="19" t="n">
        <v>3</v>
      </c>
      <c r="E1260" s="20" t="n">
        <v>46216</v>
      </c>
      <c r="F1260" s="23" t="inlineStr">
        <is>
          <t>REQUEIJÃO VIÇOSA 200g</t>
        </is>
      </c>
      <c r="G1260" s="23" t="inlineStr">
        <is>
          <t>REQUEIJÃO</t>
        </is>
      </c>
      <c r="H1260" s="34" t="n">
        <v>0.2</v>
      </c>
      <c r="I1260" s="36" t="n">
        <v>2800</v>
      </c>
      <c r="J1260" s="21">
        <f>I1260*H1260</f>
        <v/>
      </c>
      <c r="K1260" s="21">
        <f>IFERROR(IF(J1260/P1260&gt;1,P1260,J1260),0)</f>
        <v/>
      </c>
      <c r="L1260" s="36" t="n">
        <v>2772</v>
      </c>
      <c r="M1260" s="21">
        <f>L1260*H1260</f>
        <v/>
      </c>
      <c r="N1260" s="21">
        <f>IFERROR(IF(M1260/K1260&gt;1,K1260,M1260),0)</f>
        <v/>
      </c>
      <c r="O1260" s="36" t="n">
        <v>2800</v>
      </c>
      <c r="P1260" s="21">
        <f>O1260*H1260</f>
        <v/>
      </c>
      <c r="Q1260" s="30">
        <f>IF(MONTH(E1260+1)=MONTH(E1260+6),MONTH(E1260+1),IF(MIN(EOMONTH(E1260+1,0),E1260+6)-(E1260+1)+1&gt;=3,MONTH(E1260+1),MONTH(E1260+6)))</f>
        <v/>
      </c>
      <c r="R1260" s="22">
        <f>IFERROR(K1260/P1260, 0)</f>
        <v/>
      </c>
      <c r="S1260" s="38">
        <f>IFERROR(N1260/P1260,0)</f>
        <v/>
      </c>
      <c r="T1260" s="31">
        <f>IFERROR(IF(N1260&gt;0,(N1260/K1260),MIN(1,M1260/J1260)),0)</f>
        <v/>
      </c>
      <c r="U1260" s="33" t="n"/>
    </row>
    <row r="1261">
      <c r="A1261" s="18" t="inlineStr">
        <is>
          <t>Semana 3 - Julho</t>
        </is>
      </c>
      <c r="B1261" s="27">
        <f>YEAR(E1261)</f>
        <v/>
      </c>
      <c r="C1261" s="18">
        <f>INDEX({"Janeiro";"Fevereiro";"Março";"Abril";"Maio";"Junho";"Julho";"Agosto";"Setembro";"Outubro";"Novembro";"Dezembro"},Q1261)</f>
        <v/>
      </c>
      <c r="D1261" s="19" t="n">
        <v>3</v>
      </c>
      <c r="E1261" s="20" t="n">
        <v>46216</v>
      </c>
      <c r="F1261" s="23" t="inlineStr">
        <is>
          <t>REQUEIJÃO VIÇOSA 400g</t>
        </is>
      </c>
      <c r="G1261" s="23" t="inlineStr">
        <is>
          <t>REQUEIJÃO</t>
        </is>
      </c>
      <c r="H1261" s="34" t="n">
        <v>0.4</v>
      </c>
      <c r="I1261" s="36" t="n">
        <v>1200</v>
      </c>
      <c r="J1261" s="21">
        <f>I1261*H1261</f>
        <v/>
      </c>
      <c r="K1261" s="21">
        <f>IFERROR(IF(J1261/P1261&gt;1,P1261,J1261),0)</f>
        <v/>
      </c>
      <c r="L1261" s="36" t="n">
        <v>2347</v>
      </c>
      <c r="M1261" s="21">
        <f>L1261*H1261</f>
        <v/>
      </c>
      <c r="N1261" s="21">
        <f>IFERROR(IF(M1261/K1261&gt;1,K1261,M1261),0)</f>
        <v/>
      </c>
      <c r="O1261" s="36" t="n">
        <v>1200</v>
      </c>
      <c r="P1261" s="21">
        <f>O1261*H1261</f>
        <v/>
      </c>
      <c r="Q1261" s="30">
        <f>IF(MONTH(E1261+1)=MONTH(E1261+6),MONTH(E1261+1),IF(MIN(EOMONTH(E1261+1,0),E1261+6)-(E1261+1)+1&gt;=3,MONTH(E1261+1),MONTH(E1261+6)))</f>
        <v/>
      </c>
      <c r="R1261" s="22">
        <f>IFERROR(K1261/P1261, 0)</f>
        <v/>
      </c>
      <c r="S1261" s="38">
        <f>IFERROR(N1261/P1261,0)</f>
        <v/>
      </c>
      <c r="T1261" s="31">
        <f>IFERROR(IF(N1261&gt;0,(N1261/K1261),MIN(1,M1261/J1261)),0)</f>
        <v/>
      </c>
      <c r="U1261" s="33" t="n"/>
    </row>
    <row r="1262">
      <c r="A1262" s="18" t="inlineStr">
        <is>
          <t>Semana 3 - Julho</t>
        </is>
      </c>
      <c r="B1262" s="27">
        <f>YEAR(E1262)</f>
        <v/>
      </c>
      <c r="C1262" s="18">
        <f>INDEX({"Janeiro";"Fevereiro";"Março";"Abril";"Maio";"Junho";"Julho";"Agosto";"Setembro";"Outubro";"Novembro";"Dezembro"},Q1262)</f>
        <v/>
      </c>
      <c r="D1262" s="19" t="n">
        <v>3</v>
      </c>
      <c r="E1262" s="20" t="n">
        <v>46216</v>
      </c>
      <c r="F1262" s="23" t="inlineStr">
        <is>
          <t>Requeijão Light 200g</t>
        </is>
      </c>
      <c r="G1262" s="23" t="inlineStr">
        <is>
          <t>REQUEIJÃO</t>
        </is>
      </c>
      <c r="H1262" s="34" t="n">
        <v>0.2</v>
      </c>
      <c r="I1262" s="36" t="n">
        <v>600</v>
      </c>
      <c r="J1262" s="21">
        <f>I1262*H1262</f>
        <v/>
      </c>
      <c r="K1262" s="21">
        <f>IFERROR(IF(J1262/P1262&gt;1,P1262,J1262),0)</f>
        <v/>
      </c>
      <c r="L1262" s="36" t="n">
        <v>580</v>
      </c>
      <c r="M1262" s="21">
        <f>L1262*H1262</f>
        <v/>
      </c>
      <c r="N1262" s="21">
        <f>IFERROR(IF(M1262/K1262&gt;1,K1262,M1262),0)</f>
        <v/>
      </c>
      <c r="O1262" s="36" t="n">
        <v>600</v>
      </c>
      <c r="P1262" s="21">
        <f>O1262*H1262</f>
        <v/>
      </c>
      <c r="Q1262" s="30">
        <f>IF(MONTH(E1262+1)=MONTH(E1262+6),MONTH(E1262+1),IF(MIN(EOMONTH(E1262+1,0),E1262+6)-(E1262+1)+1&gt;=3,MONTH(E1262+1),MONTH(E1262+6)))</f>
        <v/>
      </c>
      <c r="R1262" s="22">
        <f>IFERROR(K1262/P1262, 0)</f>
        <v/>
      </c>
      <c r="S1262" s="38">
        <f>IFERROR(N1262/P1262,0)</f>
        <v/>
      </c>
      <c r="T1262" s="31">
        <f>IFERROR(IF(N1262&gt;0,(N1262/K1262),MIN(1,M1262/J1262)),0)</f>
        <v/>
      </c>
      <c r="U1262" s="33" t="n"/>
    </row>
    <row r="1263">
      <c r="A1263" s="18" t="inlineStr">
        <is>
          <t>Semana 4 - Julho</t>
        </is>
      </c>
      <c r="B1263" s="27">
        <f>YEAR(E1263)</f>
        <v/>
      </c>
      <c r="C1263" s="18">
        <f>INDEX({"Janeiro";"Fevereiro";"Março";"Abril";"Maio";"Junho";"Julho";"Agosto";"Setembro";"Outubro";"Novembro";"Dezembro"},Q1263)</f>
        <v/>
      </c>
      <c r="D1263" s="19" t="n">
        <v>4</v>
      </c>
      <c r="E1263" s="20" t="n">
        <v>46223</v>
      </c>
      <c r="F1263" s="23" t="inlineStr">
        <is>
          <t>Doce de Leite 400g</t>
        </is>
      </c>
      <c r="G1263" s="23" t="inlineStr">
        <is>
          <t>DOCE</t>
        </is>
      </c>
      <c r="H1263" s="34" t="n">
        <v>0.4</v>
      </c>
      <c r="I1263" s="36" t="n">
        <v>30000</v>
      </c>
      <c r="J1263" s="21">
        <f>I1263*H1263</f>
        <v/>
      </c>
      <c r="K1263" s="21">
        <f>IFERROR(IF(J1263/P1263&gt;1,P1263,J1263),0)</f>
        <v/>
      </c>
      <c r="L1263" s="36" t="n">
        <v>30667</v>
      </c>
      <c r="M1263" s="21">
        <f>L1263*H1263</f>
        <v/>
      </c>
      <c r="N1263" s="21">
        <f>IFERROR(IF(M1263/K1263&gt;1,K1263,M1263),0)</f>
        <v/>
      </c>
      <c r="O1263" s="36" t="n">
        <v>24000</v>
      </c>
      <c r="P1263" s="21">
        <f>O1263*H1263</f>
        <v/>
      </c>
      <c r="Q1263" s="30">
        <f>IF(MONTH(E1263+1)=MONTH(E1263+6),MONTH(E1263+1),IF(MIN(EOMONTH(E1263+1,0),E1263+6)-(E1263+1)+1&gt;=3,MONTH(E1263+1),MONTH(E1263+6)))</f>
        <v/>
      </c>
      <c r="R1263" s="22">
        <f>IFERROR(K1263/P1263, 0)</f>
        <v/>
      </c>
      <c r="S1263" s="41">
        <f>IFERROR(N1263/P1263,0)</f>
        <v/>
      </c>
      <c r="T1263" s="31">
        <f>IFERROR(IF(N1263&gt;0,(N1263/K1263),MIN(1,M1263/J1263)),0)</f>
        <v/>
      </c>
    </row>
    <row r="1264">
      <c r="A1264" s="18" t="inlineStr">
        <is>
          <t>Semana 4 - Julho</t>
        </is>
      </c>
      <c r="B1264" s="27">
        <f>YEAR(E1264)</f>
        <v/>
      </c>
      <c r="C1264" s="18">
        <f>INDEX({"Janeiro";"Fevereiro";"Março";"Abril";"Maio";"Junho";"Julho";"Agosto";"Setembro";"Outubro";"Novembro";"Dezembro"},Q1264)</f>
        <v/>
      </c>
      <c r="D1264" s="19" t="n">
        <v>4</v>
      </c>
      <c r="E1264" s="20" t="n">
        <v>46223</v>
      </c>
      <c r="F1264" s="23" t="inlineStr">
        <is>
          <t>Doce de Leite Zero Açúcar e Lactose 400g</t>
        </is>
      </c>
      <c r="G1264" s="23" t="inlineStr">
        <is>
          <t>DOCE</t>
        </is>
      </c>
      <c r="H1264" s="34" t="n">
        <v>0.4</v>
      </c>
      <c r="I1264" s="36" t="n">
        <v>30000</v>
      </c>
      <c r="J1264" s="21">
        <f>I1264*H1264</f>
        <v/>
      </c>
      <c r="K1264" s="21">
        <f>IFERROR(IF(J1264/P1264&gt;1,P1264,J1264),0)</f>
        <v/>
      </c>
      <c r="L1264" s="36" t="n">
        <v>21576</v>
      </c>
      <c r="M1264" s="21">
        <f>L1264*H1264</f>
        <v/>
      </c>
      <c r="N1264" s="21">
        <f>IFERROR(IF(M1264/K1264&gt;1,K1264,M1264),0)</f>
        <v/>
      </c>
      <c r="O1264" s="36" t="n">
        <v>24000</v>
      </c>
      <c r="P1264" s="21">
        <f>O1264*H1264</f>
        <v/>
      </c>
      <c r="Q1264" s="30">
        <f>IF(MONTH(E1264+1)=MONTH(E1264+6),MONTH(E1264+1),IF(MIN(EOMONTH(E1264+1,0),E1264+6)-(E1264+1)+1&gt;=3,MONTH(E1264+1),MONTH(E1264+6)))</f>
        <v/>
      </c>
      <c r="R1264" s="22">
        <f>IFERROR(K1264/P1264, 0)</f>
        <v/>
      </c>
      <c r="S1264" s="41">
        <f>IFERROR(N1264/P1264,0)</f>
        <v/>
      </c>
      <c r="T1264" s="31">
        <f>IFERROR(IF(N1264&gt;0,(N1264/K1264),MIN(1,M1264/J1264)),0)</f>
        <v/>
      </c>
    </row>
    <row r="1265">
      <c r="A1265" s="18" t="inlineStr">
        <is>
          <t>Semana 4 - Julho</t>
        </is>
      </c>
      <c r="B1265" s="27">
        <f>YEAR(E1265)</f>
        <v/>
      </c>
      <c r="C1265" s="18">
        <f>INDEX({"Janeiro";"Fevereiro";"Março";"Abril";"Maio";"Junho";"Julho";"Agosto";"Setembro";"Outubro";"Novembro";"Dezembro"},Q1265)</f>
        <v/>
      </c>
      <c r="D1265" s="19" t="n">
        <v>4</v>
      </c>
      <c r="E1265" s="20" t="n">
        <v>46223</v>
      </c>
      <c r="F1265" s="23" t="inlineStr">
        <is>
          <t>Doce de Leite 800g</t>
        </is>
      </c>
      <c r="G1265" s="23" t="inlineStr">
        <is>
          <t>DOCE</t>
        </is>
      </c>
      <c r="H1265" s="34" t="n">
        <v>0.8</v>
      </c>
      <c r="I1265" s="36" t="n">
        <v>15000</v>
      </c>
      <c r="J1265" s="21">
        <f>I1265*H1265</f>
        <v/>
      </c>
      <c r="K1265" s="21">
        <f>IFERROR(IF(J1265/P1265&gt;1,P1265,J1265),0)</f>
        <v/>
      </c>
      <c r="L1265" s="36" t="n">
        <v>15655</v>
      </c>
      <c r="M1265" s="21">
        <f>L1265*H1265</f>
        <v/>
      </c>
      <c r="N1265" s="21">
        <f>IFERROR(IF(M1265/K1265&gt;1,K1265,M1265),0)</f>
        <v/>
      </c>
      <c r="O1265" s="36" t="n">
        <v>15000</v>
      </c>
      <c r="P1265" s="21">
        <f>O1265*H1265</f>
        <v/>
      </c>
      <c r="Q1265" s="30">
        <f>IF(MONTH(E1265+1)=MONTH(E1265+6),MONTH(E1265+1),IF(MIN(EOMONTH(E1265+1,0),E1265+6)-(E1265+1)+1&gt;=3,MONTH(E1265+1),MONTH(E1265+6)))</f>
        <v/>
      </c>
      <c r="R1265" s="22">
        <f>IFERROR(K1265/P1265, 0)</f>
        <v/>
      </c>
      <c r="S1265" s="41">
        <f>IFERROR(N1265/P1265,0)</f>
        <v/>
      </c>
      <c r="T1265" s="31">
        <f>IFERROR(IF(N1265&gt;0,(N1265/K1265),MIN(1,M1265/J1265)),0)</f>
        <v/>
      </c>
    </row>
    <row r="1266">
      <c r="A1266" s="18" t="inlineStr">
        <is>
          <t>Semana 4 - Julho</t>
        </is>
      </c>
      <c r="B1266" s="27">
        <f>YEAR(E1266)</f>
        <v/>
      </c>
      <c r="C1266" s="18">
        <f>INDEX({"Janeiro";"Fevereiro";"Março";"Abril";"Maio";"Junho";"Julho";"Agosto";"Setembro";"Outubro";"Novembro";"Dezembro"},Q1266)</f>
        <v/>
      </c>
      <c r="D1266" s="19" t="n">
        <v>4</v>
      </c>
      <c r="E1266" s="20" t="n">
        <v>46223</v>
      </c>
      <c r="F1266" s="23" t="inlineStr">
        <is>
          <t>Doce de Leite 5kg</t>
        </is>
      </c>
      <c r="G1266" s="23" t="inlineStr">
        <is>
          <t>DOCE</t>
        </is>
      </c>
      <c r="H1266" s="34" t="n">
        <v>5</v>
      </c>
      <c r="I1266" s="36" t="n">
        <v>2790</v>
      </c>
      <c r="J1266" s="21">
        <f>I1266*H1266</f>
        <v/>
      </c>
      <c r="K1266" s="21">
        <f>IFERROR(IF(J1266/P1266&gt;1,P1266,J1266),0)</f>
        <v/>
      </c>
      <c r="L1266" s="36" t="n">
        <v>3341</v>
      </c>
      <c r="M1266" s="21">
        <f>L1266*H1266</f>
        <v/>
      </c>
      <c r="N1266" s="21">
        <f>IFERROR(IF(M1266/K1266&gt;1,K1266,M1266),0)</f>
        <v/>
      </c>
      <c r="O1266" s="36" t="n">
        <v>2790</v>
      </c>
      <c r="P1266" s="21">
        <f>O1266*H1266</f>
        <v/>
      </c>
      <c r="Q1266" s="30">
        <f>IF(MONTH(E1266+1)=MONTH(E1266+6),MONTH(E1266+1),IF(MIN(EOMONTH(E1266+1,0),E1266+6)-(E1266+1)+1&gt;=3,MONTH(E1266+1),MONTH(E1266+6)))</f>
        <v/>
      </c>
      <c r="R1266" s="22">
        <f>IFERROR(K1266/P1266, 0)</f>
        <v/>
      </c>
      <c r="S1266" s="41">
        <f>IFERROR(N1266/P1266,0)</f>
        <v/>
      </c>
      <c r="T1266" s="31">
        <f>IFERROR(IF(N1266&gt;0,(N1266/K1266),MIN(1,M1266/J1266)),0)</f>
        <v/>
      </c>
    </row>
    <row r="1267">
      <c r="A1267" s="18" t="inlineStr">
        <is>
          <t>Semana 4 - Julho</t>
        </is>
      </c>
      <c r="B1267" s="27">
        <f>YEAR(E1267)</f>
        <v/>
      </c>
      <c r="C1267" s="18">
        <f>INDEX({"Janeiro";"Fevereiro";"Março";"Abril";"Maio";"Junho";"Julho";"Agosto";"Setembro";"Outubro";"Novembro";"Dezembro"},Q1267)</f>
        <v/>
      </c>
      <c r="D1267" s="19" t="n">
        <v>4</v>
      </c>
      <c r="E1267" s="20" t="n">
        <v>46223</v>
      </c>
      <c r="F1267" s="23" t="inlineStr">
        <is>
          <t>Doce de Leite 5kg - Bombeável</t>
        </is>
      </c>
      <c r="G1267" s="23" t="inlineStr">
        <is>
          <t>DOCE</t>
        </is>
      </c>
      <c r="H1267" s="34" t="n">
        <v>5</v>
      </c>
      <c r="I1267" s="36" t="n">
        <v>60</v>
      </c>
      <c r="J1267" s="21">
        <f>I1267*H1267</f>
        <v/>
      </c>
      <c r="K1267" s="21">
        <f>IFERROR(IF(J1267/P1267&gt;1,P1267,J1267),0)</f>
        <v/>
      </c>
      <c r="L1267" s="36" t="n">
        <v>64</v>
      </c>
      <c r="M1267" s="21">
        <f>L1267*H1267</f>
        <v/>
      </c>
      <c r="N1267" s="21">
        <f>IFERROR(IF(M1267/K1267&gt;1,K1267,M1267),0)</f>
        <v/>
      </c>
      <c r="O1267" s="36" t="n">
        <v>60</v>
      </c>
      <c r="P1267" s="21">
        <f>O1267*H1267</f>
        <v/>
      </c>
      <c r="Q1267" s="30">
        <f>IF(MONTH(E1267+1)=MONTH(E1267+6),MONTH(E1267+1),IF(MIN(EOMONTH(E1267+1,0),E1267+6)-(E1267+1)+1&gt;=3,MONTH(E1267+1),MONTH(E1267+6)))</f>
        <v/>
      </c>
      <c r="R1267" s="22">
        <f>IFERROR(K1267/P1267, 0)</f>
        <v/>
      </c>
      <c r="S1267" s="41">
        <f>IFERROR(N1267/P1267,0)</f>
        <v/>
      </c>
      <c r="T1267" s="31">
        <f>IFERROR(IF(N1267&gt;0,(N1267/K1267),MIN(1,M1267/J1267)),0)</f>
        <v/>
      </c>
    </row>
    <row r="1268">
      <c r="A1268" s="18" t="inlineStr">
        <is>
          <t>Semana 4 - Julho</t>
        </is>
      </c>
      <c r="B1268" s="27">
        <f>YEAR(E1268)</f>
        <v/>
      </c>
      <c r="C1268" s="18">
        <f>INDEX({"Janeiro";"Fevereiro";"Março";"Abril";"Maio";"Junho";"Julho";"Agosto";"Setembro";"Outubro";"Novembro";"Dezembro"},Q1268)</f>
        <v/>
      </c>
      <c r="D1268" s="19" t="n">
        <v>4</v>
      </c>
      <c r="E1268" s="20" t="n">
        <v>46223</v>
      </c>
      <c r="F1268" s="23" t="inlineStr">
        <is>
          <t>Iogurte Morango 120g</t>
        </is>
      </c>
      <c r="G1268" s="23" t="inlineStr">
        <is>
          <t>IOGURTE</t>
        </is>
      </c>
      <c r="H1268" s="34" t="n">
        <v>0.12</v>
      </c>
      <c r="I1268" s="36" t="n">
        <v>18000</v>
      </c>
      <c r="J1268" s="21">
        <f>I1268*H1268</f>
        <v/>
      </c>
      <c r="K1268" s="21">
        <f>IFERROR(IF(J1268/P1268&gt;1,P1268,J1268),0)</f>
        <v/>
      </c>
      <c r="L1268" s="36" t="n">
        <v>17139</v>
      </c>
      <c r="M1268" s="21">
        <f>L1268*H1268</f>
        <v/>
      </c>
      <c r="N1268" s="21">
        <f>IFERROR(IF(M1268/K1268&gt;1,K1268,M1268),0)</f>
        <v/>
      </c>
      <c r="O1268" s="36" t="n">
        <v>18000</v>
      </c>
      <c r="P1268" s="21">
        <f>O1268*H1268</f>
        <v/>
      </c>
      <c r="Q1268" s="30">
        <f>IF(MONTH(E1268+1)=MONTH(E1268+6),MONTH(E1268+1),IF(MIN(EOMONTH(E1268+1,0),E1268+6)-(E1268+1)+1&gt;=3,MONTH(E1268+1),MONTH(E1268+6)))</f>
        <v/>
      </c>
      <c r="R1268" s="22">
        <f>IFERROR(K1268/P1268, 0)</f>
        <v/>
      </c>
      <c r="S1268" s="41">
        <f>IFERROR(N1268/P1268,0)</f>
        <v/>
      </c>
      <c r="T1268" s="31">
        <f>IFERROR(IF(N1268&gt;0,(N1268/K1268),MIN(1,M1268/J1268)),0)</f>
        <v/>
      </c>
    </row>
    <row r="1269">
      <c r="A1269" s="18" t="inlineStr">
        <is>
          <t>Semana 4 - Julho</t>
        </is>
      </c>
      <c r="B1269" s="27">
        <f>YEAR(E1269)</f>
        <v/>
      </c>
      <c r="C1269" s="18">
        <f>INDEX({"Janeiro";"Fevereiro";"Março";"Abril";"Maio";"Junho";"Julho";"Agosto";"Setembro";"Outubro";"Novembro";"Dezembro"},Q1269)</f>
        <v/>
      </c>
      <c r="D1269" s="19" t="n">
        <v>4</v>
      </c>
      <c r="E1269" s="20" t="n">
        <v>46223</v>
      </c>
      <c r="F1269" s="23" t="inlineStr">
        <is>
          <t>Iogurte Morango 185g</t>
        </is>
      </c>
      <c r="G1269" s="23" t="inlineStr">
        <is>
          <t>IOGURTE</t>
        </is>
      </c>
      <c r="H1269" s="34" t="n">
        <v>0.185</v>
      </c>
      <c r="I1269" s="36" t="n">
        <v>1820</v>
      </c>
      <c r="J1269" s="21">
        <f>I1269*H1269</f>
        <v/>
      </c>
      <c r="K1269" s="21">
        <f>IFERROR(IF(J1269/P1269&gt;1,P1269,J1269),0)</f>
        <v/>
      </c>
      <c r="L1269" s="36" t="n">
        <v>1731</v>
      </c>
      <c r="M1269" s="21">
        <f>L1269*H1269</f>
        <v/>
      </c>
      <c r="N1269" s="21">
        <f>IFERROR(IF(M1269/K1269&gt;1,K1269,M1269),0)</f>
        <v/>
      </c>
      <c r="O1269" s="36" t="n">
        <v>1560</v>
      </c>
      <c r="P1269" s="21">
        <f>O1269*H1269</f>
        <v/>
      </c>
      <c r="Q1269" s="30">
        <f>IF(MONTH(E1269+1)=MONTH(E1269+6),MONTH(E1269+1),IF(MIN(EOMONTH(E1269+1,0),E1269+6)-(E1269+1)+1&gt;=3,MONTH(E1269+1),MONTH(E1269+6)))</f>
        <v/>
      </c>
      <c r="R1269" s="22">
        <f>IFERROR(K1269/P1269, 0)</f>
        <v/>
      </c>
      <c r="S1269" s="41">
        <f>IFERROR(N1269/P1269,0)</f>
        <v/>
      </c>
      <c r="T1269" s="31">
        <f>IFERROR(IF(N1269&gt;0,(N1269/K1269),MIN(1,M1269/J1269)),0)</f>
        <v/>
      </c>
    </row>
    <row r="1270">
      <c r="A1270" s="18" t="inlineStr">
        <is>
          <t>Semana 4 - Julho</t>
        </is>
      </c>
      <c r="B1270" s="27">
        <f>YEAR(E1270)</f>
        <v/>
      </c>
      <c r="C1270" s="18">
        <f>INDEX({"Janeiro";"Fevereiro";"Março";"Abril";"Maio";"Junho";"Julho";"Agosto";"Setembro";"Outubro";"Novembro";"Dezembro"},Q1270)</f>
        <v/>
      </c>
      <c r="D1270" s="19" t="n">
        <v>4</v>
      </c>
      <c r="E1270" s="20" t="n">
        <v>46223</v>
      </c>
      <c r="F1270" s="23" t="inlineStr">
        <is>
          <t>Iogurte Morango 900G</t>
        </is>
      </c>
      <c r="G1270" s="23" t="inlineStr">
        <is>
          <t>IOGURTE</t>
        </is>
      </c>
      <c r="H1270" s="34" t="n">
        <v>0.9</v>
      </c>
      <c r="I1270" s="36" t="n">
        <v>3870</v>
      </c>
      <c r="J1270" s="21">
        <f>I1270*H1270</f>
        <v/>
      </c>
      <c r="K1270" s="21">
        <f>IFERROR(IF(J1270/P1270&gt;1,P1270,J1270),0)</f>
        <v/>
      </c>
      <c r="L1270" s="36" t="n">
        <v>3587</v>
      </c>
      <c r="M1270" s="21">
        <f>L1270*H1270</f>
        <v/>
      </c>
      <c r="N1270" s="21">
        <f>IFERROR(IF(M1270/K1270&gt;1,K1270,M1270),0)</f>
        <v/>
      </c>
      <c r="O1270" s="36" t="n">
        <v>3200</v>
      </c>
      <c r="P1270" s="21">
        <f>O1270*H1270</f>
        <v/>
      </c>
      <c r="Q1270" s="30">
        <f>IF(MONTH(E1270+1)=MONTH(E1270+6),MONTH(E1270+1),IF(MIN(EOMONTH(E1270+1,0),E1270+6)-(E1270+1)+1&gt;=3,MONTH(E1270+1),MONTH(E1270+6)))</f>
        <v/>
      </c>
      <c r="R1270" s="22">
        <f>IFERROR(K1270/P1270, 0)</f>
        <v/>
      </c>
      <c r="S1270" s="41">
        <f>IFERROR(N1270/P1270,0)</f>
        <v/>
      </c>
      <c r="T1270" s="31">
        <f>IFERROR(IF(N1270&gt;0,(N1270/K1270),MIN(1,M1270/J1270)),0)</f>
        <v/>
      </c>
    </row>
    <row r="1271">
      <c r="A1271" s="18" t="inlineStr">
        <is>
          <t>Semana 4 - Julho</t>
        </is>
      </c>
      <c r="B1271" s="27">
        <f>YEAR(E1271)</f>
        <v/>
      </c>
      <c r="C1271" s="18">
        <f>INDEX({"Janeiro";"Fevereiro";"Março";"Abril";"Maio";"Junho";"Julho";"Agosto";"Setembro";"Outubro";"Novembro";"Dezembro"},Q1271)</f>
        <v/>
      </c>
      <c r="D1271" s="19" t="n">
        <v>4</v>
      </c>
      <c r="E1271" s="20" t="n">
        <v>46223</v>
      </c>
      <c r="F1271" s="23" t="inlineStr">
        <is>
          <t>Iogurte Coco 120g</t>
        </is>
      </c>
      <c r="G1271" s="23" t="inlineStr">
        <is>
          <t>IOGURTE</t>
        </is>
      </c>
      <c r="H1271" s="34" t="n">
        <v>0.12</v>
      </c>
      <c r="I1271" s="36" t="n">
        <v>3500</v>
      </c>
      <c r="J1271" s="21">
        <f>I1271*H1271</f>
        <v/>
      </c>
      <c r="K1271" s="21">
        <f>IFERROR(IF(J1271/P1271&gt;1,P1271,J1271),0)</f>
        <v/>
      </c>
      <c r="L1271" s="36" t="n">
        <v>3581</v>
      </c>
      <c r="M1271" s="21">
        <f>L1271*H1271</f>
        <v/>
      </c>
      <c r="N1271" s="21">
        <f>IFERROR(IF(M1271/K1271&gt;1,K1271,M1271),0)</f>
        <v/>
      </c>
      <c r="O1271" s="36" t="n">
        <v>3000</v>
      </c>
      <c r="P1271" s="21">
        <f>O1271*H1271</f>
        <v/>
      </c>
      <c r="Q1271" s="30">
        <f>IF(MONTH(E1271+1)=MONTH(E1271+6),MONTH(E1271+1),IF(MIN(EOMONTH(E1271+1,0),E1271+6)-(E1271+1)+1&gt;=3,MONTH(E1271+1),MONTH(E1271+6)))</f>
        <v/>
      </c>
      <c r="R1271" s="22">
        <f>IFERROR(K1271/P1271, 0)</f>
        <v/>
      </c>
      <c r="S1271" s="41">
        <f>IFERROR(N1271/P1271,0)</f>
        <v/>
      </c>
      <c r="T1271" s="31">
        <f>IFERROR(IF(N1271&gt;0,(N1271/K1271),MIN(1,M1271/J1271)),0)</f>
        <v/>
      </c>
    </row>
    <row r="1272">
      <c r="A1272" s="18" t="inlineStr">
        <is>
          <t>Semana 4 - Julho</t>
        </is>
      </c>
      <c r="B1272" s="27">
        <f>YEAR(E1272)</f>
        <v/>
      </c>
      <c r="C1272" s="18">
        <f>INDEX({"Janeiro";"Fevereiro";"Março";"Abril";"Maio";"Junho";"Julho";"Agosto";"Setembro";"Outubro";"Novembro";"Dezembro"},Q1272)</f>
        <v/>
      </c>
      <c r="D1272" s="19" t="n">
        <v>4</v>
      </c>
      <c r="E1272" s="20" t="n">
        <v>46223</v>
      </c>
      <c r="F1272" s="23" t="inlineStr">
        <is>
          <t>Iogurte Coco 185g</t>
        </is>
      </c>
      <c r="G1272" s="23" t="inlineStr">
        <is>
          <t>IOGURTE</t>
        </is>
      </c>
      <c r="H1272" s="34" t="n">
        <v>0.185</v>
      </c>
      <c r="I1272" s="36" t="n">
        <v>520</v>
      </c>
      <c r="J1272" s="21">
        <f>I1272*H1272</f>
        <v/>
      </c>
      <c r="K1272" s="21">
        <f>IFERROR(IF(J1272/P1272&gt;1,P1272,J1272),0)</f>
        <v/>
      </c>
      <c r="L1272" s="36" t="n">
        <v>465</v>
      </c>
      <c r="M1272" s="21">
        <f>L1272*H1272</f>
        <v/>
      </c>
      <c r="N1272" s="21">
        <f>IFERROR(IF(M1272/K1272&gt;1,K1272,M1272),0)</f>
        <v/>
      </c>
      <c r="O1272" s="36" t="n">
        <v>520</v>
      </c>
      <c r="P1272" s="21">
        <f>O1272*H1272</f>
        <v/>
      </c>
      <c r="Q1272" s="30">
        <f>IF(MONTH(E1272+1)=MONTH(E1272+6),MONTH(E1272+1),IF(MIN(EOMONTH(E1272+1,0),E1272+6)-(E1272+1)+1&gt;=3,MONTH(E1272+1),MONTH(E1272+6)))</f>
        <v/>
      </c>
      <c r="R1272" s="22">
        <f>IFERROR(K1272/P1272, 0)</f>
        <v/>
      </c>
      <c r="S1272" s="41">
        <f>IFERROR(N1272/P1272,0)</f>
        <v/>
      </c>
      <c r="T1272" s="31">
        <f>IFERROR(IF(N1272&gt;0,(N1272/K1272),MIN(1,M1272/J1272)),0)</f>
        <v/>
      </c>
    </row>
    <row r="1273">
      <c r="A1273" s="18" t="inlineStr">
        <is>
          <t>Semana 4 - Julho</t>
        </is>
      </c>
      <c r="B1273" s="27">
        <f>YEAR(E1273)</f>
        <v/>
      </c>
      <c r="C1273" s="18">
        <f>INDEX({"Janeiro";"Fevereiro";"Março";"Abril";"Maio";"Junho";"Julho";"Agosto";"Setembro";"Outubro";"Novembro";"Dezembro"},Q1273)</f>
        <v/>
      </c>
      <c r="D1273" s="19" t="n">
        <v>4</v>
      </c>
      <c r="E1273" s="20" t="n">
        <v>46223</v>
      </c>
      <c r="F1273" s="23" t="inlineStr">
        <is>
          <t>Iogurte Coco 900g</t>
        </is>
      </c>
      <c r="G1273" s="23" t="inlineStr">
        <is>
          <t>IOGURTE</t>
        </is>
      </c>
      <c r="H1273" s="34" t="n">
        <v>0.9</v>
      </c>
      <c r="I1273" s="36" t="n">
        <v>2700</v>
      </c>
      <c r="J1273" s="21">
        <f>I1273*H1273</f>
        <v/>
      </c>
      <c r="K1273" s="21">
        <f>IFERROR(IF(J1273/P1273&gt;1,P1273,J1273),0)</f>
        <v/>
      </c>
      <c r="L1273" s="36" t="n">
        <v>2608</v>
      </c>
      <c r="M1273" s="21">
        <f>L1273*H1273</f>
        <v/>
      </c>
      <c r="N1273" s="21">
        <f>IFERROR(IF(M1273/K1273&gt;1,K1273,M1273),0)</f>
        <v/>
      </c>
      <c r="O1273" s="36" t="n">
        <v>1500</v>
      </c>
      <c r="P1273" s="21">
        <f>O1273*H1273</f>
        <v/>
      </c>
      <c r="Q1273" s="30">
        <f>IF(MONTH(E1273+1)=MONTH(E1273+6),MONTH(E1273+1),IF(MIN(EOMONTH(E1273+1,0),E1273+6)-(E1273+1)+1&gt;=3,MONTH(E1273+1),MONTH(E1273+6)))</f>
        <v/>
      </c>
      <c r="R1273" s="22">
        <f>IFERROR(K1273/P1273, 0)</f>
        <v/>
      </c>
      <c r="S1273" s="41">
        <f>IFERROR(N1273/P1273,0)</f>
        <v/>
      </c>
      <c r="T1273" s="31">
        <f>IFERROR(IF(N1273&gt;0,(N1273/K1273),MIN(1,M1273/J1273)),0)</f>
        <v/>
      </c>
    </row>
    <row r="1274">
      <c r="A1274" s="18" t="inlineStr">
        <is>
          <t>Semana 4 - Julho</t>
        </is>
      </c>
      <c r="B1274" s="27">
        <f>YEAR(E1274)</f>
        <v/>
      </c>
      <c r="C1274" s="18">
        <f>INDEX({"Janeiro";"Fevereiro";"Março";"Abril";"Maio";"Junho";"Julho";"Agosto";"Setembro";"Outubro";"Novembro";"Dezembro"},Q1274)</f>
        <v/>
      </c>
      <c r="D1274" s="19" t="n">
        <v>4</v>
      </c>
      <c r="E1274" s="20" t="n">
        <v>46223</v>
      </c>
      <c r="F1274" s="23" t="inlineStr">
        <is>
          <t>Iogurte Salada 120g</t>
        </is>
      </c>
      <c r="G1274" s="23" t="inlineStr">
        <is>
          <t>IOGURTE</t>
        </is>
      </c>
      <c r="H1274" s="34" t="n">
        <v>0.12</v>
      </c>
      <c r="I1274" s="36" t="n">
        <v>2000</v>
      </c>
      <c r="J1274" s="21">
        <f>I1274*H1274</f>
        <v/>
      </c>
      <c r="K1274" s="21">
        <f>IFERROR(IF(J1274/P1274&gt;1,P1274,J1274),0)</f>
        <v/>
      </c>
      <c r="L1274" s="36" t="n">
        <v>2305</v>
      </c>
      <c r="M1274" s="21">
        <f>L1274*H1274</f>
        <v/>
      </c>
      <c r="N1274" s="21">
        <f>IFERROR(IF(M1274/K1274&gt;1,K1274,M1274),0)</f>
        <v/>
      </c>
      <c r="O1274" s="36" t="n">
        <v>2000</v>
      </c>
      <c r="P1274" s="21">
        <f>O1274*H1274</f>
        <v/>
      </c>
      <c r="Q1274" s="30">
        <f>IF(MONTH(E1274+1)=MONTH(E1274+6),MONTH(E1274+1),IF(MIN(EOMONTH(E1274+1,0),E1274+6)-(E1274+1)+1&gt;=3,MONTH(E1274+1),MONTH(E1274+6)))</f>
        <v/>
      </c>
      <c r="R1274" s="22">
        <f>IFERROR(K1274/P1274, 0)</f>
        <v/>
      </c>
      <c r="S1274" s="41">
        <f>IFERROR(N1274/P1274,0)</f>
        <v/>
      </c>
      <c r="T1274" s="31">
        <f>IFERROR(IF(N1274&gt;0,(N1274/K1274),MIN(1,M1274/J1274)),0)</f>
        <v/>
      </c>
    </row>
    <row r="1275">
      <c r="A1275" s="18" t="inlineStr">
        <is>
          <t>Semana 4 - Julho</t>
        </is>
      </c>
      <c r="B1275" s="27">
        <f>YEAR(E1275)</f>
        <v/>
      </c>
      <c r="C1275" s="18">
        <f>INDEX({"Janeiro";"Fevereiro";"Março";"Abril";"Maio";"Junho";"Julho";"Agosto";"Setembro";"Outubro";"Novembro";"Dezembro"},Q1275)</f>
        <v/>
      </c>
      <c r="D1275" s="19" t="n">
        <v>4</v>
      </c>
      <c r="E1275" s="20" t="n">
        <v>46223</v>
      </c>
      <c r="F1275" s="23" t="inlineStr">
        <is>
          <t>Iogurte Salada 185g</t>
        </is>
      </c>
      <c r="G1275" s="23" t="inlineStr">
        <is>
          <t>IOGURTE</t>
        </is>
      </c>
      <c r="H1275" s="34" t="n">
        <v>0.185</v>
      </c>
      <c r="I1275" s="36" t="n">
        <v>520</v>
      </c>
      <c r="J1275" s="21">
        <f>I1275*H1275</f>
        <v/>
      </c>
      <c r="K1275" s="21">
        <f>IFERROR(IF(J1275/P1275&gt;1,P1275,J1275),0)</f>
        <v/>
      </c>
      <c r="L1275" s="36" t="n">
        <v>459</v>
      </c>
      <c r="M1275" s="21">
        <f>L1275*H1275</f>
        <v/>
      </c>
      <c r="N1275" s="21">
        <f>IFERROR(IF(M1275/K1275&gt;1,K1275,M1275),0)</f>
        <v/>
      </c>
      <c r="O1275" s="36" t="n">
        <v>520</v>
      </c>
      <c r="P1275" s="21">
        <f>O1275*H1275</f>
        <v/>
      </c>
      <c r="Q1275" s="30">
        <f>IF(MONTH(E1275+1)=MONTH(E1275+6),MONTH(E1275+1),IF(MIN(EOMONTH(E1275+1,0),E1275+6)-(E1275+1)+1&gt;=3,MONTH(E1275+1),MONTH(E1275+6)))</f>
        <v/>
      </c>
      <c r="R1275" s="22">
        <f>IFERROR(K1275/P1275, 0)</f>
        <v/>
      </c>
      <c r="S1275" s="41">
        <f>IFERROR(N1275/P1275,0)</f>
        <v/>
      </c>
      <c r="T1275" s="31">
        <f>IFERROR(IF(N1275&gt;0,(N1275/K1275),MIN(1,M1275/J1275)),0)</f>
        <v/>
      </c>
    </row>
    <row r="1276">
      <c r="A1276" s="18" t="inlineStr">
        <is>
          <t>Semana 4 - Julho</t>
        </is>
      </c>
      <c r="B1276" s="27">
        <f>YEAR(E1276)</f>
        <v/>
      </c>
      <c r="C1276" s="18">
        <f>INDEX({"Janeiro";"Fevereiro";"Março";"Abril";"Maio";"Junho";"Julho";"Agosto";"Setembro";"Outubro";"Novembro";"Dezembro"},Q1276)</f>
        <v/>
      </c>
      <c r="D1276" s="19" t="n">
        <v>4</v>
      </c>
      <c r="E1276" s="20" t="n">
        <v>46223</v>
      </c>
      <c r="F1276" s="23" t="inlineStr">
        <is>
          <t>Iogurte Salada 900g</t>
        </is>
      </c>
      <c r="G1276" s="23" t="inlineStr">
        <is>
          <t>IOGURTE</t>
        </is>
      </c>
      <c r="H1276" s="34" t="n">
        <v>0.9</v>
      </c>
      <c r="I1276" s="36" t="n">
        <v>1500</v>
      </c>
      <c r="J1276" s="21">
        <f>I1276*H1276</f>
        <v/>
      </c>
      <c r="K1276" s="21">
        <f>IFERROR(IF(J1276/P1276&gt;1,P1276,J1276),0)</f>
        <v/>
      </c>
      <c r="L1276" s="36" t="n">
        <v>1093</v>
      </c>
      <c r="M1276" s="21">
        <f>L1276*H1276</f>
        <v/>
      </c>
      <c r="N1276" s="21">
        <f>IFERROR(IF(M1276/K1276&gt;1,K1276,M1276),0)</f>
        <v/>
      </c>
      <c r="O1276" s="36" t="n">
        <v>1500</v>
      </c>
      <c r="P1276" s="21">
        <f>O1276*H1276</f>
        <v/>
      </c>
      <c r="Q1276" s="30">
        <f>IF(MONTH(E1276+1)=MONTH(E1276+6),MONTH(E1276+1),IF(MIN(EOMONTH(E1276+1,0),E1276+6)-(E1276+1)+1&gt;=3,MONTH(E1276+1),MONTH(E1276+6)))</f>
        <v/>
      </c>
      <c r="R1276" s="22">
        <f>IFERROR(K1276/P1276, 0)</f>
        <v/>
      </c>
      <c r="S1276" s="41">
        <f>IFERROR(N1276/P1276,0)</f>
        <v/>
      </c>
      <c r="T1276" s="31">
        <f>IFERROR(IF(N1276&gt;0,(N1276/K1276),MIN(1,M1276/J1276)),0)</f>
        <v/>
      </c>
    </row>
    <row r="1277">
      <c r="A1277" s="18" t="inlineStr">
        <is>
          <t>Semana 4 - Julho</t>
        </is>
      </c>
      <c r="B1277" s="27">
        <f>YEAR(E1277)</f>
        <v/>
      </c>
      <c r="C1277" s="18">
        <f>INDEX({"Janeiro";"Fevereiro";"Março";"Abril";"Maio";"Junho";"Julho";"Agosto";"Setembro";"Outubro";"Novembro";"Dezembro"},Q1277)</f>
        <v/>
      </c>
      <c r="D1277" s="19" t="n">
        <v>4</v>
      </c>
      <c r="E1277" s="20" t="n">
        <v>46223</v>
      </c>
      <c r="F1277" s="23" t="inlineStr">
        <is>
          <t>Iogurte Abacaxi c/ Coco 120g</t>
        </is>
      </c>
      <c r="G1277" s="23" t="inlineStr">
        <is>
          <t>IOGURTE</t>
        </is>
      </c>
      <c r="H1277" s="34" t="n">
        <v>0.12</v>
      </c>
      <c r="I1277" s="36" t="n">
        <v>4000</v>
      </c>
      <c r="J1277" s="21">
        <f>I1277*H1277</f>
        <v/>
      </c>
      <c r="K1277" s="21">
        <f>IFERROR(IF(J1277/P1277&gt;1,P1277,J1277),0)</f>
        <v/>
      </c>
      <c r="L1277" s="36" t="n">
        <v>4023</v>
      </c>
      <c r="M1277" s="21">
        <f>L1277*H1277</f>
        <v/>
      </c>
      <c r="N1277" s="21">
        <f>IFERROR(IF(M1277/K1277&gt;1,K1277,M1277),0)</f>
        <v/>
      </c>
      <c r="O1277" s="36" t="n">
        <v>2000</v>
      </c>
      <c r="P1277" s="21">
        <f>O1277*H1277</f>
        <v/>
      </c>
      <c r="Q1277" s="30">
        <f>IF(MONTH(E1277+1)=MONTH(E1277+6),MONTH(E1277+1),IF(MIN(EOMONTH(E1277+1,0),E1277+6)-(E1277+1)+1&gt;=3,MONTH(E1277+1),MONTH(E1277+6)))</f>
        <v/>
      </c>
      <c r="R1277" s="22">
        <f>IFERROR(K1277/P1277, 0)</f>
        <v/>
      </c>
      <c r="S1277" s="41">
        <f>IFERROR(N1277/P1277,0)</f>
        <v/>
      </c>
      <c r="T1277" s="31">
        <f>IFERROR(IF(N1277&gt;0,(N1277/K1277),MIN(1,M1277/J1277)),0)</f>
        <v/>
      </c>
    </row>
    <row r="1278">
      <c r="A1278" s="18" t="inlineStr">
        <is>
          <t>Semana 4 - Julho</t>
        </is>
      </c>
      <c r="B1278" s="27">
        <f>YEAR(E1278)</f>
        <v/>
      </c>
      <c r="C1278" s="18">
        <f>INDEX({"Janeiro";"Fevereiro";"Março";"Abril";"Maio";"Junho";"Julho";"Agosto";"Setembro";"Outubro";"Novembro";"Dezembro"},Q1278)</f>
        <v/>
      </c>
      <c r="D1278" s="19" t="n">
        <v>4</v>
      </c>
      <c r="E1278" s="20" t="n">
        <v>46223</v>
      </c>
      <c r="F1278" s="23" t="inlineStr">
        <is>
          <t>Iogurte Abacaxi c/ Coco 185g</t>
        </is>
      </c>
      <c r="G1278" s="23" t="inlineStr">
        <is>
          <t>IOGURTE</t>
        </is>
      </c>
      <c r="H1278" s="34" t="n">
        <v>0.185</v>
      </c>
      <c r="I1278" s="36" t="n">
        <v>520</v>
      </c>
      <c r="J1278" s="21">
        <f>I1278*H1278</f>
        <v/>
      </c>
      <c r="K1278" s="21">
        <f>IFERROR(IF(J1278/P1278&gt;1,P1278,J1278),0)</f>
        <v/>
      </c>
      <c r="L1278" s="36" t="n">
        <v>502</v>
      </c>
      <c r="M1278" s="21">
        <f>L1278*H1278</f>
        <v/>
      </c>
      <c r="N1278" s="21">
        <f>IFERROR(IF(M1278/K1278&gt;1,K1278,M1278),0)</f>
        <v/>
      </c>
      <c r="O1278" s="36" t="n">
        <v>520</v>
      </c>
      <c r="P1278" s="21">
        <f>O1278*H1278</f>
        <v/>
      </c>
      <c r="Q1278" s="30">
        <f>IF(MONTH(E1278+1)=MONTH(E1278+6),MONTH(E1278+1),IF(MIN(EOMONTH(E1278+1,0),E1278+6)-(E1278+1)+1&gt;=3,MONTH(E1278+1),MONTH(E1278+6)))</f>
        <v/>
      </c>
      <c r="R1278" s="22">
        <f>IFERROR(K1278/P1278, 0)</f>
        <v/>
      </c>
      <c r="S1278" s="41">
        <f>IFERROR(N1278/P1278,0)</f>
        <v/>
      </c>
      <c r="T1278" s="31">
        <f>IFERROR(IF(N1278&gt;0,(N1278/K1278),MIN(1,M1278/J1278)),0)</f>
        <v/>
      </c>
    </row>
    <row r="1279">
      <c r="A1279" s="18" t="inlineStr">
        <is>
          <t>Semana 4 - Julho</t>
        </is>
      </c>
      <c r="B1279" s="27">
        <f>YEAR(E1279)</f>
        <v/>
      </c>
      <c r="C1279" s="18">
        <f>INDEX({"Janeiro";"Fevereiro";"Março";"Abril";"Maio";"Junho";"Julho";"Agosto";"Setembro";"Outubro";"Novembro";"Dezembro"},Q1279)</f>
        <v/>
      </c>
      <c r="D1279" s="19" t="n">
        <v>4</v>
      </c>
      <c r="E1279" s="20" t="n">
        <v>46223</v>
      </c>
      <c r="F1279" s="23" t="inlineStr">
        <is>
          <t>Iogurte Abacaxi c/ Coco 900g</t>
        </is>
      </c>
      <c r="G1279" s="23" t="inlineStr">
        <is>
          <t>IOGURTE</t>
        </is>
      </c>
      <c r="H1279" s="34" t="n">
        <v>0.9</v>
      </c>
      <c r="I1279" s="36" t="n">
        <v>1500</v>
      </c>
      <c r="J1279" s="21">
        <f>I1279*H1279</f>
        <v/>
      </c>
      <c r="K1279" s="21">
        <f>IFERROR(IF(J1279/P1279&gt;1,P1279,J1279),0)</f>
        <v/>
      </c>
      <c r="L1279" s="36" t="n">
        <v>1493</v>
      </c>
      <c r="M1279" s="21">
        <f>L1279*H1279</f>
        <v/>
      </c>
      <c r="N1279" s="21">
        <f>IFERROR(IF(M1279/K1279&gt;1,K1279,M1279),0)</f>
        <v/>
      </c>
      <c r="O1279" s="36" t="n">
        <v>1500</v>
      </c>
      <c r="P1279" s="21">
        <f>O1279*H1279</f>
        <v/>
      </c>
      <c r="Q1279" s="30">
        <f>IF(MONTH(E1279+1)=MONTH(E1279+6),MONTH(E1279+1),IF(MIN(EOMONTH(E1279+1,0),E1279+6)-(E1279+1)+1&gt;=3,MONTH(E1279+1),MONTH(E1279+6)))</f>
        <v/>
      </c>
      <c r="R1279" s="22">
        <f>IFERROR(K1279/P1279, 0)</f>
        <v/>
      </c>
      <c r="S1279" s="41">
        <f>IFERROR(N1279/P1279,0)</f>
        <v/>
      </c>
      <c r="T1279" s="31">
        <f>IFERROR(IF(N1279&gt;0,(N1279/K1279),MIN(1,M1279/J1279)),0)</f>
        <v/>
      </c>
    </row>
    <row r="1280">
      <c r="A1280" s="18" t="inlineStr">
        <is>
          <t>Semana 4 - Julho</t>
        </is>
      </c>
      <c r="B1280" s="27">
        <f>YEAR(E1280)</f>
        <v/>
      </c>
      <c r="C1280" s="18">
        <f>INDEX({"Janeiro";"Fevereiro";"Março";"Abril";"Maio";"Junho";"Julho";"Agosto";"Setembro";"Outubro";"Novembro";"Dezembro"},Q1280)</f>
        <v/>
      </c>
      <c r="D1280" s="19" t="n">
        <v>4</v>
      </c>
      <c r="E1280" s="20" t="n">
        <v>46223</v>
      </c>
      <c r="F1280" s="23" t="inlineStr">
        <is>
          <t>Iogurte Vida Leve Morango 180g</t>
        </is>
      </c>
      <c r="G1280" s="23" t="inlineStr">
        <is>
          <t>IOGURTE</t>
        </is>
      </c>
      <c r="H1280" s="34" t="n">
        <v>0.185</v>
      </c>
      <c r="I1280" s="36" t="n">
        <v>1800</v>
      </c>
      <c r="J1280" s="21">
        <f>I1280*H1280</f>
        <v/>
      </c>
      <c r="K1280" s="21">
        <f>IFERROR(IF(J1280/P1280&gt;1,P1280,J1280),0)</f>
        <v/>
      </c>
      <c r="L1280" s="36" t="n">
        <v>1783</v>
      </c>
      <c r="M1280" s="21">
        <f>L1280*H1280</f>
        <v/>
      </c>
      <c r="N1280" s="21">
        <f>IFERROR(IF(M1280/K1280&gt;1,K1280,M1280),0)</f>
        <v/>
      </c>
      <c r="O1280" s="36" t="n">
        <v>1500</v>
      </c>
      <c r="P1280" s="21">
        <f>O1280*H1280</f>
        <v/>
      </c>
      <c r="Q1280" s="30">
        <f>IF(MONTH(E1280+1)=MONTH(E1280+6),MONTH(E1280+1),IF(MIN(EOMONTH(E1280+1,0),E1280+6)-(E1280+1)+1&gt;=3,MONTH(E1280+1),MONTH(E1280+6)))</f>
        <v/>
      </c>
      <c r="R1280" s="22">
        <f>IFERROR(K1280/P1280, 0)</f>
        <v/>
      </c>
      <c r="S1280" s="41">
        <f>IFERROR(N1280/P1280,0)</f>
        <v/>
      </c>
      <c r="T1280" s="31">
        <f>IFERROR(IF(N1280&gt;0,(N1280/K1280),MIN(1,M1280/J1280)),0)</f>
        <v/>
      </c>
    </row>
    <row r="1281">
      <c r="A1281" s="18" t="inlineStr">
        <is>
          <t>Semana 4 - Julho</t>
        </is>
      </c>
      <c r="B1281" s="27">
        <f>YEAR(E1281)</f>
        <v/>
      </c>
      <c r="C1281" s="18">
        <f>INDEX({"Janeiro";"Fevereiro";"Março";"Abril";"Maio";"Junho";"Julho";"Agosto";"Setembro";"Outubro";"Novembro";"Dezembro"},Q1281)</f>
        <v/>
      </c>
      <c r="D1281" s="19" t="n">
        <v>4</v>
      </c>
      <c r="E1281" s="20" t="n">
        <v>46223</v>
      </c>
      <c r="F1281" s="23" t="inlineStr">
        <is>
          <t>Iogurte Vida Leve Morango 500g</t>
        </is>
      </c>
      <c r="G1281" s="23" t="inlineStr">
        <is>
          <t>IOGURTE</t>
        </is>
      </c>
      <c r="H1281" s="34" t="n">
        <v>0.5</v>
      </c>
      <c r="I1281" s="36" t="n">
        <v>2300</v>
      </c>
      <c r="J1281" s="21">
        <f>I1281*H1281</f>
        <v/>
      </c>
      <c r="K1281" s="21">
        <f>IFERROR(IF(J1281/P1281&gt;1,P1281,J1281),0)</f>
        <v/>
      </c>
      <c r="L1281" s="36" t="n">
        <v>2075</v>
      </c>
      <c r="M1281" s="21">
        <f>L1281*H1281</f>
        <v/>
      </c>
      <c r="N1281" s="21">
        <f>IFERROR(IF(M1281/K1281&gt;1,K1281,M1281),0)</f>
        <v/>
      </c>
      <c r="O1281" s="36" t="n">
        <v>1900</v>
      </c>
      <c r="P1281" s="21">
        <f>O1281*H1281</f>
        <v/>
      </c>
      <c r="Q1281" s="30">
        <f>IF(MONTH(E1281+1)=MONTH(E1281+6),MONTH(E1281+1),IF(MIN(EOMONTH(E1281+1,0),E1281+6)-(E1281+1)+1&gt;=3,MONTH(E1281+1),MONTH(E1281+6)))</f>
        <v/>
      </c>
      <c r="R1281" s="22">
        <f>IFERROR(K1281/P1281, 0)</f>
        <v/>
      </c>
      <c r="S1281" s="41">
        <f>IFERROR(N1281/P1281,0)</f>
        <v/>
      </c>
      <c r="T1281" s="31">
        <f>IFERROR(IF(N1281&gt;0,(N1281/K1281),MIN(1,M1281/J1281)),0)</f>
        <v/>
      </c>
    </row>
    <row r="1282">
      <c r="A1282" s="18" t="inlineStr">
        <is>
          <t>Semana 4 - Julho</t>
        </is>
      </c>
      <c r="B1282" s="27">
        <f>YEAR(E1282)</f>
        <v/>
      </c>
      <c r="C1282" s="18">
        <f>INDEX({"Janeiro";"Fevereiro";"Março";"Abril";"Maio";"Junho";"Julho";"Agosto";"Setembro";"Outubro";"Novembro";"Dezembro"},Q1282)</f>
        <v/>
      </c>
      <c r="D1282" s="19" t="n">
        <v>4</v>
      </c>
      <c r="E1282" s="20" t="n">
        <v>46223</v>
      </c>
      <c r="F1282" s="23" t="inlineStr">
        <is>
          <t>Iogurte Vida Leve Ameixa c/ Grãos 180g</t>
        </is>
      </c>
      <c r="G1282" s="23" t="inlineStr">
        <is>
          <t>IOGURTE</t>
        </is>
      </c>
      <c r="H1282" s="34" t="n">
        <v>0.18</v>
      </c>
      <c r="I1282" s="36" t="n">
        <v>1100</v>
      </c>
      <c r="J1282" s="21">
        <f>I1282*H1282</f>
        <v/>
      </c>
      <c r="K1282" s="21">
        <f>IFERROR(IF(J1282/P1282&gt;1,P1282,J1282),0)</f>
        <v/>
      </c>
      <c r="L1282" s="36" t="n">
        <v>1294</v>
      </c>
      <c r="M1282" s="21">
        <f>L1282*H1282</f>
        <v/>
      </c>
      <c r="N1282" s="21">
        <f>IFERROR(IF(M1282/K1282&gt;1,K1282,M1282),0)</f>
        <v/>
      </c>
      <c r="O1282" s="36" t="n">
        <v>900</v>
      </c>
      <c r="P1282" s="21">
        <f>O1282*H1282</f>
        <v/>
      </c>
      <c r="Q1282" s="30">
        <f>IF(MONTH(E1282+1)=MONTH(E1282+6),MONTH(E1282+1),IF(MIN(EOMONTH(E1282+1,0),E1282+6)-(E1282+1)+1&gt;=3,MONTH(E1282+1),MONTH(E1282+6)))</f>
        <v/>
      </c>
      <c r="R1282" s="22">
        <f>IFERROR(K1282/P1282, 0)</f>
        <v/>
      </c>
      <c r="S1282" s="41">
        <f>IFERROR(N1282/P1282,0)</f>
        <v/>
      </c>
      <c r="T1282" s="31">
        <f>IFERROR(IF(N1282&gt;0,(N1282/K1282),MIN(1,M1282/J1282)),0)</f>
        <v/>
      </c>
    </row>
    <row r="1283">
      <c r="A1283" s="18" t="inlineStr">
        <is>
          <t>Semana 4 - Julho</t>
        </is>
      </c>
      <c r="B1283" s="27">
        <f>YEAR(E1283)</f>
        <v/>
      </c>
      <c r="C1283" s="18">
        <f>INDEX({"Janeiro";"Fevereiro";"Março";"Abril";"Maio";"Junho";"Julho";"Agosto";"Setembro";"Outubro";"Novembro";"Dezembro"},Q1283)</f>
        <v/>
      </c>
      <c r="D1283" s="19" t="n">
        <v>4</v>
      </c>
      <c r="E1283" s="20" t="n">
        <v>46223</v>
      </c>
      <c r="F1283" s="23" t="inlineStr">
        <is>
          <t>Iogurte Vida Leve Ameixa c/ Grãos 500g</t>
        </is>
      </c>
      <c r="G1283" s="23" t="inlineStr">
        <is>
          <t>IOGURTE</t>
        </is>
      </c>
      <c r="H1283" s="34" t="n">
        <v>0.5</v>
      </c>
      <c r="I1283" s="36" t="n">
        <v>1500</v>
      </c>
      <c r="J1283" s="21">
        <f>I1283*H1283</f>
        <v/>
      </c>
      <c r="K1283" s="21">
        <f>IFERROR(IF(J1283/P1283&gt;1,P1283,J1283),0)</f>
        <v/>
      </c>
      <c r="L1283" s="36" t="n">
        <v>1326</v>
      </c>
      <c r="M1283" s="21">
        <f>L1283*H1283</f>
        <v/>
      </c>
      <c r="N1283" s="21">
        <f>IFERROR(IF(M1283/K1283&gt;1,K1283,M1283),0)</f>
        <v/>
      </c>
      <c r="O1283" s="36" t="n">
        <v>1100</v>
      </c>
      <c r="P1283" s="21">
        <f>O1283*H1283</f>
        <v/>
      </c>
      <c r="Q1283" s="30">
        <f>IF(MONTH(E1283+1)=MONTH(E1283+6),MONTH(E1283+1),IF(MIN(EOMONTH(E1283+1,0),E1283+6)-(E1283+1)+1&gt;=3,MONTH(E1283+1),MONTH(E1283+6)))</f>
        <v/>
      </c>
      <c r="R1283" s="22">
        <f>IFERROR(K1283/P1283, 0)</f>
        <v/>
      </c>
      <c r="S1283" s="41">
        <f>IFERROR(N1283/P1283,0)</f>
        <v/>
      </c>
      <c r="T1283" s="31">
        <f>IFERROR(IF(N1283&gt;0,(N1283/K1283),MIN(1,M1283/J1283)),0)</f>
        <v/>
      </c>
    </row>
    <row r="1284">
      <c r="A1284" s="18" t="inlineStr">
        <is>
          <t>Semana 4 - Julho</t>
        </is>
      </c>
      <c r="B1284" s="27">
        <f>YEAR(E1284)</f>
        <v/>
      </c>
      <c r="C1284" s="18">
        <f>INDEX({"Janeiro";"Fevereiro";"Março";"Abril";"Maio";"Junho";"Julho";"Agosto";"Setembro";"Outubro";"Novembro";"Dezembro"},Q1284)</f>
        <v/>
      </c>
      <c r="D1284" s="19" t="n">
        <v>4</v>
      </c>
      <c r="E1284" s="20" t="n">
        <v>46223</v>
      </c>
      <c r="F1284" s="23" t="inlineStr">
        <is>
          <t>Iogurte Natural Integral 170g</t>
        </is>
      </c>
      <c r="G1284" s="23" t="inlineStr">
        <is>
          <t>IOGURTE</t>
        </is>
      </c>
      <c r="H1284" s="34" t="n">
        <v>0.17</v>
      </c>
      <c r="I1284" s="36" t="n">
        <v>3820</v>
      </c>
      <c r="J1284" s="21">
        <f>I1284*H1284</f>
        <v/>
      </c>
      <c r="K1284" s="21">
        <f>IFERROR(IF(J1284/P1284&gt;1,P1284,J1284),0)</f>
        <v/>
      </c>
      <c r="L1284" s="36" t="n">
        <v>3649</v>
      </c>
      <c r="M1284" s="21">
        <f>L1284*H1284</f>
        <v/>
      </c>
      <c r="N1284" s="21">
        <f>IFERROR(IF(M1284/K1284&gt;1,K1284,M1284),0)</f>
        <v/>
      </c>
      <c r="O1284" s="36" t="n">
        <v>3800</v>
      </c>
      <c r="P1284" s="21">
        <f>O1284*H1284</f>
        <v/>
      </c>
      <c r="Q1284" s="30">
        <f>IF(MONTH(E1284+1)=MONTH(E1284+6),MONTH(E1284+1),IF(MIN(EOMONTH(E1284+1,0),E1284+6)-(E1284+1)+1&gt;=3,MONTH(E1284+1),MONTH(E1284+6)))</f>
        <v/>
      </c>
      <c r="R1284" s="22">
        <f>IFERROR(K1284/P1284, 0)</f>
        <v/>
      </c>
      <c r="S1284" s="41">
        <f>IFERROR(N1284/P1284,0)</f>
        <v/>
      </c>
      <c r="T1284" s="31">
        <f>IFERROR(IF(N1284&gt;0,(N1284/K1284),MIN(1,M1284/J1284)),0)</f>
        <v/>
      </c>
    </row>
    <row r="1285">
      <c r="A1285" s="18" t="inlineStr">
        <is>
          <t>Semana 4 - Julho</t>
        </is>
      </c>
      <c r="B1285" s="27">
        <f>YEAR(E1285)</f>
        <v/>
      </c>
      <c r="C1285" s="18">
        <f>INDEX({"Janeiro";"Fevereiro";"Março";"Abril";"Maio";"Junho";"Julho";"Agosto";"Setembro";"Outubro";"Novembro";"Dezembro"},Q1285)</f>
        <v/>
      </c>
      <c r="D1285" s="19" t="n">
        <v>4</v>
      </c>
      <c r="E1285" s="20" t="n">
        <v>46223</v>
      </c>
      <c r="F1285" s="23" t="inlineStr">
        <is>
          <t>Iogurte Natural Triplo Zero 170g</t>
        </is>
      </c>
      <c r="G1285" s="23" t="inlineStr">
        <is>
          <t>IOGURTE</t>
        </is>
      </c>
      <c r="H1285" s="34" t="n">
        <v>0.17</v>
      </c>
      <c r="I1285" s="36" t="n">
        <v>3800</v>
      </c>
      <c r="J1285" s="21">
        <f>I1285*H1285</f>
        <v/>
      </c>
      <c r="K1285" s="21">
        <f>IFERROR(IF(J1285/P1285&gt;1,P1285,J1285),0)</f>
        <v/>
      </c>
      <c r="L1285" s="36" t="n">
        <v>3757</v>
      </c>
      <c r="M1285" s="21">
        <f>L1285*H1285</f>
        <v/>
      </c>
      <c r="N1285" s="21">
        <f>IFERROR(IF(M1285/K1285&gt;1,K1285,M1285),0)</f>
        <v/>
      </c>
      <c r="O1285" s="36" t="n">
        <v>3800</v>
      </c>
      <c r="P1285" s="21">
        <f>O1285*H1285</f>
        <v/>
      </c>
      <c r="Q1285" s="30">
        <f>IF(MONTH(E1285+1)=MONTH(E1285+6),MONTH(E1285+1),IF(MIN(EOMONTH(E1285+1,0),E1285+6)-(E1285+1)+1&gt;=3,MONTH(E1285+1),MONTH(E1285+6)))</f>
        <v/>
      </c>
      <c r="R1285" s="22">
        <f>IFERROR(K1285/P1285, 0)</f>
        <v/>
      </c>
      <c r="S1285" s="41">
        <f>IFERROR(N1285/P1285,0)</f>
        <v/>
      </c>
      <c r="T1285" s="31">
        <f>IFERROR(IF(N1285&gt;0,(N1285/K1285),MIN(1,M1285/J1285)),0)</f>
        <v/>
      </c>
    </row>
    <row r="1286">
      <c r="A1286" s="18" t="inlineStr">
        <is>
          <t>Semana 4 - Julho</t>
        </is>
      </c>
      <c r="B1286" s="27">
        <f>YEAR(E1286)</f>
        <v/>
      </c>
      <c r="C1286" s="18">
        <f>INDEX({"Janeiro";"Fevereiro";"Março";"Abril";"Maio";"Junho";"Julho";"Agosto";"Setembro";"Outubro";"Novembro";"Dezembro"},Q1286)</f>
        <v/>
      </c>
      <c r="D1286" s="19" t="n">
        <v>4</v>
      </c>
      <c r="E1286" s="20" t="n">
        <v>46223</v>
      </c>
      <c r="F1286" s="23" t="inlineStr">
        <is>
          <t>Manteiga 200g</t>
        </is>
      </c>
      <c r="G1286" s="23" t="inlineStr">
        <is>
          <t>MANTEIGA</t>
        </is>
      </c>
      <c r="H1286" s="34" t="n">
        <v>0.2</v>
      </c>
      <c r="I1286" s="36" t="n">
        <v>4400</v>
      </c>
      <c r="J1286" s="21">
        <f>I1286*H1286</f>
        <v/>
      </c>
      <c r="K1286" s="21">
        <f>IFERROR(IF(J1286/P1286&gt;1,P1286,J1286),0)</f>
        <v/>
      </c>
      <c r="L1286" s="36" t="n">
        <v>4624</v>
      </c>
      <c r="M1286" s="21">
        <f>L1286*H1286</f>
        <v/>
      </c>
      <c r="N1286" s="21">
        <f>IFERROR(IF(M1286/K1286&gt;1,K1286,M1286),0)</f>
        <v/>
      </c>
      <c r="O1286" s="36" t="n">
        <v>2250</v>
      </c>
      <c r="P1286" s="21">
        <f>O1286*H1286</f>
        <v/>
      </c>
      <c r="Q1286" s="30">
        <f>IF(MONTH(E1286+1)=MONTH(E1286+6),MONTH(E1286+1),IF(MIN(EOMONTH(E1286+1,0),E1286+6)-(E1286+1)+1&gt;=3,MONTH(E1286+1),MONTH(E1286+6)))</f>
        <v/>
      </c>
      <c r="R1286" s="22">
        <f>IFERROR(K1286/P1286, 0)</f>
        <v/>
      </c>
      <c r="S1286" s="41">
        <f>IFERROR(N1286/P1286,0)</f>
        <v/>
      </c>
      <c r="T1286" s="31">
        <f>IFERROR(IF(N1286&gt;0,(N1286/K1286),MIN(1,M1286/J1286)),0)</f>
        <v/>
      </c>
    </row>
    <row r="1287">
      <c r="A1287" s="18" t="inlineStr">
        <is>
          <t>Semana 4 - Julho</t>
        </is>
      </c>
      <c r="B1287" s="27">
        <f>YEAR(E1287)</f>
        <v/>
      </c>
      <c r="C1287" s="18">
        <f>INDEX({"Janeiro";"Fevereiro";"Março";"Abril";"Maio";"Junho";"Julho";"Agosto";"Setembro";"Outubro";"Novembro";"Dezembro"},Q1287)</f>
        <v/>
      </c>
      <c r="D1287" s="19" t="n">
        <v>4</v>
      </c>
      <c r="E1287" s="20" t="n">
        <v>46223</v>
      </c>
      <c r="F1287" s="23" t="inlineStr">
        <is>
          <t>Manteiga 500g</t>
        </is>
      </c>
      <c r="G1287" s="23" t="inlineStr">
        <is>
          <t>MANTEIGA</t>
        </is>
      </c>
      <c r="H1287" s="34" t="n">
        <v>0.5</v>
      </c>
      <c r="I1287" s="36" t="n">
        <v>1650</v>
      </c>
      <c r="J1287" s="21">
        <f>I1287*H1287</f>
        <v/>
      </c>
      <c r="K1287" s="21">
        <f>IFERROR(IF(J1287/P1287&gt;1,P1287,J1287),0)</f>
        <v/>
      </c>
      <c r="L1287" s="36" t="n">
        <v>2637</v>
      </c>
      <c r="M1287" s="21">
        <f>L1287*H1287</f>
        <v/>
      </c>
      <c r="N1287" s="21">
        <f>IFERROR(IF(M1287/K1287&gt;1,K1287,M1287),0)</f>
        <v/>
      </c>
      <c r="O1287" s="36" t="n">
        <v>1550</v>
      </c>
      <c r="P1287" s="21">
        <f>O1287*H1287</f>
        <v/>
      </c>
      <c r="Q1287" s="30">
        <f>IF(MONTH(E1287+1)=MONTH(E1287+6),MONTH(E1287+1),IF(MIN(EOMONTH(E1287+1,0),E1287+6)-(E1287+1)+1&gt;=3,MONTH(E1287+1),MONTH(E1287+6)))</f>
        <v/>
      </c>
      <c r="R1287" s="22">
        <f>IFERROR(K1287/P1287, 0)</f>
        <v/>
      </c>
      <c r="S1287" s="41">
        <f>IFERROR(N1287/P1287,0)</f>
        <v/>
      </c>
      <c r="T1287" s="31">
        <f>IFERROR(IF(N1287&gt;0,(N1287/K1287),MIN(1,M1287/J1287)),0)</f>
        <v/>
      </c>
    </row>
    <row r="1288">
      <c r="A1288" s="18" t="inlineStr">
        <is>
          <t>Semana 4 - Julho</t>
        </is>
      </c>
      <c r="B1288" s="27">
        <f>YEAR(E1288)</f>
        <v/>
      </c>
      <c r="C1288" s="18">
        <f>INDEX({"Janeiro";"Fevereiro";"Março";"Abril";"Maio";"Junho";"Julho";"Agosto";"Setembro";"Outubro";"Novembro";"Dezembro"},Q1288)</f>
        <v/>
      </c>
      <c r="D1288" s="19" t="n">
        <v>4</v>
      </c>
      <c r="E1288" s="20" t="n">
        <v>46223</v>
      </c>
      <c r="F1288" s="23" t="inlineStr">
        <is>
          <t>REQUEIJÃO VIÇOSA 200g</t>
        </is>
      </c>
      <c r="G1288" s="23" t="inlineStr">
        <is>
          <t>REQUEIJÃO</t>
        </is>
      </c>
      <c r="H1288" s="34" t="n">
        <v>0.2</v>
      </c>
      <c r="I1288" s="36" t="n">
        <v>1600</v>
      </c>
      <c r="J1288" s="21">
        <f>I1288*H1288</f>
        <v/>
      </c>
      <c r="K1288" s="21">
        <f>IFERROR(IF(J1288/P1288&gt;1,P1288,J1288),0)</f>
        <v/>
      </c>
      <c r="L1288" s="36" t="n">
        <v>1599</v>
      </c>
      <c r="M1288" s="21">
        <f>L1288*H1288</f>
        <v/>
      </c>
      <c r="N1288" s="21">
        <f>IFERROR(IF(M1288/K1288&gt;1,K1288,M1288),0)</f>
        <v/>
      </c>
      <c r="O1288" s="36" t="n">
        <v>3200</v>
      </c>
      <c r="P1288" s="21">
        <f>O1288*H1288</f>
        <v/>
      </c>
      <c r="Q1288" s="30">
        <f>IF(MONTH(E1288+1)=MONTH(E1288+6),MONTH(E1288+1),IF(MIN(EOMONTH(E1288+1,0),E1288+6)-(E1288+1)+1&gt;=3,MONTH(E1288+1),MONTH(E1288+6)))</f>
        <v/>
      </c>
      <c r="R1288" s="22">
        <f>IFERROR(K1288/P1288, 0)</f>
        <v/>
      </c>
      <c r="S1288" s="41">
        <f>IFERROR(N1288/P1288,0)</f>
        <v/>
      </c>
      <c r="T1288" s="31">
        <f>IFERROR(IF(N1288&gt;0,(N1288/K1288),MIN(1,M1288/J1288)),0)</f>
        <v/>
      </c>
    </row>
    <row r="1289">
      <c r="A1289" s="18" t="inlineStr">
        <is>
          <t>Semana 4 - Julho</t>
        </is>
      </c>
      <c r="B1289" s="27">
        <f>YEAR(E1289)</f>
        <v/>
      </c>
      <c r="C1289" s="18">
        <f>INDEX({"Janeiro";"Fevereiro";"Março";"Abril";"Maio";"Junho";"Julho";"Agosto";"Setembro";"Outubro";"Novembro";"Dezembro"},Q1289)</f>
        <v/>
      </c>
      <c r="D1289" s="19" t="n">
        <v>4</v>
      </c>
      <c r="E1289" s="20" t="n">
        <v>46223</v>
      </c>
      <c r="F1289" s="23" t="inlineStr">
        <is>
          <t>REQUEIJÃO VIÇOSA 400g</t>
        </is>
      </c>
      <c r="G1289" s="23" t="inlineStr">
        <is>
          <t>REQUEIJÃO</t>
        </is>
      </c>
      <c r="H1289" s="34" t="n">
        <v>0.4</v>
      </c>
      <c r="I1289" s="36" t="n">
        <v>3000</v>
      </c>
      <c r="J1289" s="21">
        <f>I1289*H1289</f>
        <v/>
      </c>
      <c r="K1289" s="21">
        <f>IFERROR(IF(J1289/P1289&gt;1,P1289,J1289),0)</f>
        <v/>
      </c>
      <c r="L1289" s="36" t="n">
        <v>3515</v>
      </c>
      <c r="M1289" s="21">
        <f>L1289*H1289</f>
        <v/>
      </c>
      <c r="N1289" s="21">
        <f>IFERROR(IF(M1289/K1289&gt;1,K1289,M1289),0)</f>
        <v/>
      </c>
      <c r="O1289" s="36" t="n">
        <v>2800</v>
      </c>
      <c r="P1289" s="21">
        <f>O1289*H1289</f>
        <v/>
      </c>
      <c r="Q1289" s="30">
        <f>IF(MONTH(E1289+1)=MONTH(E1289+6),MONTH(E1289+1),IF(MIN(EOMONTH(E1289+1,0),E1289+6)-(E1289+1)+1&gt;=3,MONTH(E1289+1),MONTH(E1289+6)))</f>
        <v/>
      </c>
      <c r="R1289" s="22">
        <f>IFERROR(K1289/P1289, 0)</f>
        <v/>
      </c>
      <c r="S1289" s="41">
        <f>IFERROR(N1289/P1289,0)</f>
        <v/>
      </c>
      <c r="T1289" s="31">
        <f>IFERROR(IF(N1289&gt;0,(N1289/K1289),MIN(1,M1289/J1289)),0)</f>
        <v/>
      </c>
    </row>
    <row r="1290">
      <c r="A1290" s="18" t="inlineStr">
        <is>
          <t>Semana 4 - Julho</t>
        </is>
      </c>
      <c r="B1290" s="27">
        <f>YEAR(E1290)</f>
        <v/>
      </c>
      <c r="C1290" s="18">
        <f>INDEX({"Janeiro";"Fevereiro";"Março";"Abril";"Maio";"Junho";"Julho";"Agosto";"Setembro";"Outubro";"Novembro";"Dezembro"},Q1290)</f>
        <v/>
      </c>
      <c r="D1290" s="19" t="n">
        <v>4</v>
      </c>
      <c r="E1290" s="20" t="n">
        <v>46223</v>
      </c>
      <c r="F1290" s="23" t="inlineStr">
        <is>
          <t>Creme de Ricota 200g</t>
        </is>
      </c>
      <c r="G1290" s="23" t="inlineStr">
        <is>
          <t>RICOTA</t>
        </is>
      </c>
      <c r="H1290" s="34" t="n">
        <v>0.2</v>
      </c>
      <c r="I1290" s="36" t="n">
        <v>1000</v>
      </c>
      <c r="J1290" s="21">
        <f>I1290*H1290</f>
        <v/>
      </c>
      <c r="K1290" s="21">
        <f>IFERROR(IF(J1290/P1290&gt;1,P1290,J1290),0)</f>
        <v/>
      </c>
      <c r="L1290" s="36" t="n">
        <v>846</v>
      </c>
      <c r="M1290" s="21">
        <f>L1290*H1290</f>
        <v/>
      </c>
      <c r="N1290" s="21">
        <f>IFERROR(IF(M1290/K1290&gt;1,K1290,M1290),0)</f>
        <v/>
      </c>
      <c r="O1290" s="36" t="n">
        <v>600</v>
      </c>
      <c r="P1290" s="21">
        <f>O1290*H1290</f>
        <v/>
      </c>
      <c r="Q1290" s="30">
        <f>IF(MONTH(E1290+1)=MONTH(E1290+6),MONTH(E1290+1),IF(MIN(EOMONTH(E1290+1,0),E1290+6)-(E1290+1)+1&gt;=3,MONTH(E1290+1),MONTH(E1290+6)))</f>
        <v/>
      </c>
      <c r="R1290" s="22">
        <f>IFERROR(K1290/P1290, 0)</f>
        <v/>
      </c>
      <c r="S1290" s="41">
        <f>IFERROR(N1290/P1290,0)</f>
        <v/>
      </c>
      <c r="T1290" s="31">
        <f>IFERROR(IF(N1290&gt;0,(N1290/K1290),MIN(1,M1290/J1290)),0)</f>
        <v/>
      </c>
    </row>
    <row r="1291">
      <c r="A1291" s="18" t="inlineStr">
        <is>
          <t>Semana 4 - Julho</t>
        </is>
      </c>
      <c r="B1291" s="27">
        <f>YEAR(E1291)</f>
        <v/>
      </c>
      <c r="C1291" s="18">
        <f>INDEX({"Janeiro";"Fevereiro";"Março";"Abril";"Maio";"Junho";"Julho";"Agosto";"Setembro";"Outubro";"Novembro";"Dezembro"},Q1291)</f>
        <v/>
      </c>
      <c r="D1291" s="19" t="n">
        <v>4</v>
      </c>
      <c r="E1291" s="20" t="n">
        <v>46223</v>
      </c>
      <c r="F1291" s="23" t="inlineStr">
        <is>
          <t>QUEIJO MINAS PADRÃO (MEIA LUA)</t>
        </is>
      </c>
      <c r="G1291" s="23" t="inlineStr">
        <is>
          <t>QUEIJO</t>
        </is>
      </c>
      <c r="H1291" s="34" t="n">
        <v>1</v>
      </c>
      <c r="I1291" s="36" t="n">
        <v>0</v>
      </c>
      <c r="J1291" s="21">
        <f>I1291*H1291</f>
        <v/>
      </c>
      <c r="K1291" s="21">
        <f>IFERROR(IF(J1291/P1291&gt;1,P1291,J1291),0)</f>
        <v/>
      </c>
      <c r="L1291" s="36" t="n">
        <v>0</v>
      </c>
      <c r="M1291" s="21">
        <f>L1291*H1291</f>
        <v/>
      </c>
      <c r="N1291" s="21">
        <f>IFERROR(IF(M1291/K1291&gt;1,K1291,M1291),0)</f>
        <v/>
      </c>
      <c r="O1291" s="36" t="n">
        <v>200</v>
      </c>
      <c r="P1291" s="21">
        <f>O1291*H1291</f>
        <v/>
      </c>
      <c r="Q1291" s="30">
        <f>IF(MONTH(E1291+1)=MONTH(E1291+6),MONTH(E1291+1),IF(MIN(EOMONTH(E1291+1,0),E1291+6)-(E1291+1)+1&gt;=3,MONTH(E1291+1),MONTH(E1291+6)))</f>
        <v/>
      </c>
      <c r="R1291" s="22">
        <f>IFERROR(K1291/P1291, 0)</f>
        <v/>
      </c>
      <c r="S1291" s="41">
        <f>IFERROR(N1291/P1291,0)</f>
        <v/>
      </c>
      <c r="T1291" s="31">
        <f>IFERROR(IF(N1291&gt;0,(N1291/K1291),MIN(1,M1291/J1291)),0)</f>
        <v/>
      </c>
    </row>
    <row r="1292">
      <c r="A1292" s="18" t="inlineStr">
        <is>
          <t>Semana 4 - Julho</t>
        </is>
      </c>
      <c r="B1292" s="27">
        <f>YEAR(E1292)</f>
        <v/>
      </c>
      <c r="C1292" s="18">
        <f>INDEX({"Janeiro";"Fevereiro";"Março";"Abril";"Maio";"Junho";"Julho";"Agosto";"Setembro";"Outubro";"Novembro";"Dezembro"},Q1292)</f>
        <v/>
      </c>
      <c r="D1292" s="19" t="n">
        <v>4</v>
      </c>
      <c r="E1292" s="20" t="n">
        <v>46223</v>
      </c>
      <c r="F1292" s="23" t="inlineStr">
        <is>
          <t>QUEIJO MUSSARELA 3KG</t>
        </is>
      </c>
      <c r="G1292" s="23" t="inlineStr">
        <is>
          <t>QUEIJO</t>
        </is>
      </c>
      <c r="H1292" s="34" t="n">
        <v>1</v>
      </c>
      <c r="I1292" s="36" t="n">
        <v>1000</v>
      </c>
      <c r="J1292" s="21">
        <f>I1292*H1292</f>
        <v/>
      </c>
      <c r="K1292" s="21">
        <f>IFERROR(IF(J1292/P1292&gt;1,P1292,J1292),0)</f>
        <v/>
      </c>
      <c r="L1292" s="36" t="n">
        <v>1000</v>
      </c>
      <c r="M1292" s="21">
        <f>L1292*H1292</f>
        <v/>
      </c>
      <c r="N1292" s="21">
        <f>IFERROR(IF(M1292/K1292&gt;1,K1292,M1292),0)</f>
        <v/>
      </c>
      <c r="O1292" s="36" t="n">
        <v>1000</v>
      </c>
      <c r="P1292" s="21">
        <f>O1292*H1292</f>
        <v/>
      </c>
      <c r="Q1292" s="30">
        <f>IF(MONTH(E1292+1)=MONTH(E1292+6),MONTH(E1292+1),IF(MIN(EOMONTH(E1292+1,0),E1292+6)-(E1292+1)+1&gt;=3,MONTH(E1292+1),MONTH(E1292+6)))</f>
        <v/>
      </c>
      <c r="R1292" s="22">
        <f>IFERROR(K1292/P1292, 0)</f>
        <v/>
      </c>
      <c r="S1292" s="41">
        <f>IFERROR(N1292/P1292,0)</f>
        <v/>
      </c>
      <c r="T1292" s="31">
        <f>IFERROR(IF(N1292&gt;0,(N1292/K1292),MIN(1,M1292/J1292)),0)</f>
        <v/>
      </c>
    </row>
    <row r="1293">
      <c r="A1293" s="18" t="inlineStr">
        <is>
          <t>Semana 4 - Julho</t>
        </is>
      </c>
      <c r="B1293" s="27">
        <f>YEAR(E1293)</f>
        <v/>
      </c>
      <c r="C1293" s="18">
        <f>INDEX({"Janeiro";"Fevereiro";"Março";"Abril";"Maio";"Junho";"Julho";"Agosto";"Setembro";"Outubro";"Novembro";"Dezembro"},Q1293)</f>
        <v/>
      </c>
      <c r="D1293" s="19" t="n">
        <v>4</v>
      </c>
      <c r="E1293" s="20" t="n">
        <v>46223</v>
      </c>
      <c r="F1293" s="23" t="inlineStr">
        <is>
          <t>Iogurte Grego Frutas vermelhas 120g</t>
        </is>
      </c>
      <c r="G1293" s="23" t="inlineStr">
        <is>
          <t>IOGURTE</t>
        </is>
      </c>
      <c r="H1293" s="34" t="n">
        <v>0.17</v>
      </c>
      <c r="I1293" s="36" t="n">
        <v>1400</v>
      </c>
      <c r="J1293" s="21">
        <f>I1293*H1293</f>
        <v/>
      </c>
      <c r="K1293" s="21">
        <f>IFERROR(IF(J1293/P1293&gt;1,P1293,J1293),0)</f>
        <v/>
      </c>
      <c r="L1293" s="36" t="n">
        <v>1085</v>
      </c>
      <c r="M1293" s="21">
        <f>L1293*H1293</f>
        <v/>
      </c>
      <c r="N1293" s="21">
        <f>IFERROR(IF(M1293/K1293&gt;1,K1293,M1293),0)</f>
        <v/>
      </c>
      <c r="O1293" s="36" t="n">
        <v>0</v>
      </c>
      <c r="P1293" s="21">
        <f>O1293*H1293</f>
        <v/>
      </c>
      <c r="Q1293" s="30">
        <f>IF(MONTH(E1293+1)=MONTH(E1293+6),MONTH(E1293+1),IF(MIN(EOMONTH(E1293+1,0),E1293+6)-(E1293+1)+1&gt;=3,MONTH(E1293+1),MONTH(E1293+6)))</f>
        <v/>
      </c>
      <c r="R1293" s="22">
        <f>IFERROR(K1293/P1293, 0)</f>
        <v/>
      </c>
      <c r="S1293" s="41">
        <f>IFERROR(N1293/P1293,0)</f>
        <v/>
      </c>
      <c r="T1293" s="31">
        <f>IFERROR(IF(N1293&gt;0,(N1293/K1293),MIN(1,M1293/J1293)),0)</f>
        <v/>
      </c>
    </row>
    <row r="1294">
      <c r="A1294" s="18" t="inlineStr">
        <is>
          <t>Semana 4 - Julho</t>
        </is>
      </c>
      <c r="B1294" s="27">
        <f>YEAR(E1294)</f>
        <v/>
      </c>
      <c r="C1294" s="18">
        <f>INDEX({"Janeiro";"Fevereiro";"Março";"Abril";"Maio";"Junho";"Julho";"Agosto";"Setembro";"Outubro";"Novembro";"Dezembro"},Q1294)</f>
        <v/>
      </c>
      <c r="D1294" s="19" t="n">
        <v>4</v>
      </c>
      <c r="E1294" s="20" t="n">
        <v>46223</v>
      </c>
      <c r="F1294" s="23" t="inlineStr">
        <is>
          <t>LEITE PASTEURIZADO VIÇOSA DESNATADO</t>
        </is>
      </c>
      <c r="G1294" s="23" t="inlineStr">
        <is>
          <t>LEITE PAST.</t>
        </is>
      </c>
      <c r="H1294" s="34" t="n">
        <v>1</v>
      </c>
      <c r="I1294" s="36" t="n">
        <v>750</v>
      </c>
      <c r="J1294" s="21">
        <f>I1294*H1294</f>
        <v/>
      </c>
      <c r="K1294" s="21">
        <f>IFERROR(IF(J1294/P1294&gt;1,P1294,J1294),0)</f>
        <v/>
      </c>
      <c r="L1294" s="36" t="n">
        <v>809</v>
      </c>
      <c r="M1294" s="21">
        <f>L1294*H1294</f>
        <v/>
      </c>
      <c r="N1294" s="21">
        <f>IFERROR(IF(M1294/K1294&gt;1,K1294,M1294),0)</f>
        <v/>
      </c>
      <c r="O1294" s="36" t="n">
        <v>750</v>
      </c>
      <c r="P1294" s="21">
        <f>O1294*H1294</f>
        <v/>
      </c>
      <c r="Q1294" s="30">
        <f>IF(MONTH(E1294+1)=MONTH(E1294+6),MONTH(E1294+1),IF(MIN(EOMONTH(E1294+1,0),E1294+6)-(E1294+1)+1&gt;=3,MONTH(E1294+1),MONTH(E1294+6)))</f>
        <v/>
      </c>
      <c r="R1294" s="22">
        <f>IFERROR(K1294/P1294, 0)</f>
        <v/>
      </c>
      <c r="S1294" s="41">
        <f>IFERROR(N1294/P1294,0)</f>
        <v/>
      </c>
      <c r="T1294" s="31">
        <f>IFERROR(IF(N1294&gt;0,(N1294/K1294),MIN(1,M1294/J1294)),0)</f>
        <v/>
      </c>
    </row>
    <row r="1295">
      <c r="A1295" s="18" t="inlineStr">
        <is>
          <t>Semana 4 - Julho</t>
        </is>
      </c>
      <c r="B1295" s="27">
        <f>YEAR(E1295)</f>
        <v/>
      </c>
      <c r="C1295" s="18">
        <f>INDEX({"Janeiro";"Fevereiro";"Março";"Abril";"Maio";"Junho";"Julho";"Agosto";"Setembro";"Outubro";"Novembro";"Dezembro"},Q1295)</f>
        <v/>
      </c>
      <c r="D1295" s="19" t="n">
        <v>4</v>
      </c>
      <c r="E1295" s="20" t="n">
        <v>46223</v>
      </c>
      <c r="F1295" s="23" t="inlineStr">
        <is>
          <t>LEITE PASTEURIZADO VIÇOSA INTEGRAL</t>
        </is>
      </c>
      <c r="G1295" s="23" t="inlineStr">
        <is>
          <t>LEITE PAST.</t>
        </is>
      </c>
      <c r="H1295" s="34" t="n">
        <v>1</v>
      </c>
      <c r="I1295" s="36" t="n">
        <v>22800</v>
      </c>
      <c r="J1295" s="21">
        <f>I1295*H1295</f>
        <v/>
      </c>
      <c r="K1295" s="21">
        <f>IFERROR(IF(J1295/P1295&gt;1,P1295,J1295),0)</f>
        <v/>
      </c>
      <c r="L1295" s="36" t="n">
        <v>23370</v>
      </c>
      <c r="M1295" s="21">
        <f>L1295*H1295</f>
        <v/>
      </c>
      <c r="N1295" s="21">
        <f>IFERROR(IF(M1295/K1295&gt;1,K1295,M1295),0)</f>
        <v/>
      </c>
      <c r="O1295" s="36" t="n">
        <v>22800</v>
      </c>
      <c r="P1295" s="21">
        <f>O1295*H1295</f>
        <v/>
      </c>
      <c r="Q1295" s="30">
        <f>IF(MONTH(E1295+1)=MONTH(E1295+6),MONTH(E1295+1),IF(MIN(EOMONTH(E1295+1,0),E1295+6)-(E1295+1)+1&gt;=3,MONTH(E1295+1),MONTH(E1295+6)))</f>
        <v/>
      </c>
      <c r="R1295" s="22">
        <f>IFERROR(K1295/P1295, 0)</f>
        <v/>
      </c>
      <c r="S1295" s="41">
        <f>IFERROR(N1295/P1295,0)</f>
        <v/>
      </c>
      <c r="T1295" s="31">
        <f>IFERROR(IF(N1295&gt;0,(N1295/K1295),MIN(1,M1295/J1295)),0)</f>
        <v/>
      </c>
    </row>
    <row r="1296">
      <c r="A1296" s="18" t="inlineStr">
        <is>
          <t>Semana 4 - Julho</t>
        </is>
      </c>
      <c r="B1296" s="27">
        <f>YEAR(E1296)</f>
        <v/>
      </c>
      <c r="C1296" s="18">
        <f>INDEX({"Janeiro";"Fevereiro";"Março";"Abril";"Maio";"Junho";"Julho";"Agosto";"Setembro";"Outubro";"Novembro";"Dezembro"},Q1296)</f>
        <v/>
      </c>
      <c r="D1296" s="19" t="n">
        <v>4</v>
      </c>
      <c r="E1296" s="20" t="n">
        <v>46223</v>
      </c>
      <c r="F1296" s="23" t="inlineStr">
        <is>
          <t>LEITE PASTEURIZADO VIÇOSA ZERO LACTOSE INTEGRAL 1 L</t>
        </is>
      </c>
      <c r="G1296" s="23" t="inlineStr">
        <is>
          <t>LEITE PAST.</t>
        </is>
      </c>
      <c r="H1296" s="34" t="n">
        <v>1</v>
      </c>
      <c r="I1296" s="36" t="n">
        <v>960</v>
      </c>
      <c r="J1296" s="21">
        <f>I1296*H1296</f>
        <v/>
      </c>
      <c r="K1296" s="21">
        <f>IFERROR(IF(J1296/P1296&gt;1,P1296,J1296),0)</f>
        <v/>
      </c>
      <c r="L1296" s="36" t="n">
        <v>1017</v>
      </c>
      <c r="M1296" s="21">
        <f>L1296*H1296</f>
        <v/>
      </c>
      <c r="N1296" s="21">
        <f>IFERROR(IF(M1296/K1296&gt;1,K1296,M1296),0)</f>
        <v/>
      </c>
      <c r="O1296" s="36" t="n">
        <v>960</v>
      </c>
      <c r="P1296" s="21">
        <f>O1296*H1296</f>
        <v/>
      </c>
      <c r="Q1296" s="30">
        <f>IF(MONTH(E1296+1)=MONTH(E1296+6),MONTH(E1296+1),IF(MIN(EOMONTH(E1296+1,0),E1296+6)-(E1296+1)+1&gt;=3,MONTH(E1296+1),MONTH(E1296+6)))</f>
        <v/>
      </c>
      <c r="R1296" s="22">
        <f>IFERROR(K1296/P1296, 0)</f>
        <v/>
      </c>
      <c r="S1296" s="41">
        <f>IFERROR(N1296/P1296,0)</f>
        <v/>
      </c>
      <c r="T1296" s="31">
        <f>IFERROR(IF(N1296&gt;0,(N1296/K1296),MIN(1,M1296/J1296)),0)</f>
        <v/>
      </c>
    </row>
    <row r="1297">
      <c r="A1297" s="18" t="inlineStr">
        <is>
          <t>Semana 4 - Julho</t>
        </is>
      </c>
      <c r="B1297" s="27">
        <f>YEAR(E1297)</f>
        <v/>
      </c>
      <c r="C1297" s="18">
        <f>INDEX({"Janeiro";"Fevereiro";"Março";"Abril";"Maio";"Junho";"Julho";"Agosto";"Setembro";"Outubro";"Novembro";"Dezembro"},Q1297)</f>
        <v/>
      </c>
      <c r="D1297" s="19" t="n">
        <v>4</v>
      </c>
      <c r="E1297" s="20" t="n">
        <v>46223</v>
      </c>
      <c r="F1297" s="23" t="inlineStr">
        <is>
          <t>Doce de Leite 5kg - Forneável</t>
        </is>
      </c>
      <c r="G1297" s="23" t="inlineStr">
        <is>
          <t>DOCE</t>
        </is>
      </c>
      <c r="H1297" s="34" t="n">
        <v>5</v>
      </c>
      <c r="I1297" s="36" t="n">
        <v>465</v>
      </c>
      <c r="J1297" s="21">
        <f>I1297*H1297</f>
        <v/>
      </c>
      <c r="K1297" s="21">
        <f>IFERROR(IF(J1297/P1297&gt;1,P1297,J1297),0)</f>
        <v/>
      </c>
      <c r="L1297" s="36" t="n">
        <v>380</v>
      </c>
      <c r="M1297" s="21">
        <f>L1297*H1297</f>
        <v/>
      </c>
      <c r="N1297" s="21">
        <f>IFERROR(IF(M1297/K1297&gt;1,K1297,M1297),0)</f>
        <v/>
      </c>
      <c r="O1297" s="36" t="n">
        <v>465</v>
      </c>
      <c r="P1297" s="21">
        <f>O1297*H1297</f>
        <v/>
      </c>
      <c r="Q1297" s="30">
        <f>IF(MONTH(E1297+1)=MONTH(E1297+6),MONTH(E1297+1),IF(MIN(EOMONTH(E1297+1,0),E1297+6)-(E1297+1)+1&gt;=3,MONTH(E1297+1),MONTH(E1297+6)))</f>
        <v/>
      </c>
      <c r="R1297" s="22">
        <f>IFERROR(K1297/P1297, 0)</f>
        <v/>
      </c>
      <c r="S1297" s="41">
        <f>IFERROR(N1297/P1297,0)</f>
        <v/>
      </c>
      <c r="T1297" s="31">
        <f>IFERROR(IF(N1297&gt;0,(N1297/K1297),MIN(1,M1297/J1297)),0)</f>
        <v/>
      </c>
    </row>
    <row r="1298">
      <c r="A1298" s="18" t="inlineStr">
        <is>
          <t>Semana 5 - Julho</t>
        </is>
      </c>
      <c r="B1298" s="27">
        <f>YEAR(E1298)</f>
        <v/>
      </c>
      <c r="C1298" s="18">
        <f>INDEX({"Janeiro";"Fevereiro";"Março";"Abril";"Maio";"Junho";"Julho";"Agosto";"Setembro";"Outubro";"Novembro";"Dezembro"},Q1298)</f>
        <v/>
      </c>
      <c r="D1298" s="19" t="n">
        <v>5</v>
      </c>
      <c r="E1298" s="20" t="n">
        <v>46230</v>
      </c>
      <c r="F1298" s="23" t="inlineStr">
        <is>
          <t>Doce de Leite 400g</t>
        </is>
      </c>
      <c r="G1298" s="23" t="inlineStr">
        <is>
          <t>DOCE</t>
        </is>
      </c>
      <c r="H1298" s="34" t="n">
        <v>0.4</v>
      </c>
      <c r="I1298" s="36" t="n">
        <v>25200</v>
      </c>
      <c r="J1298" s="21">
        <f>I1298*H1298</f>
        <v/>
      </c>
      <c r="K1298" s="21">
        <f>IFERROR(IF(J1298/P1298&gt;1,P1298,J1298),0)</f>
        <v/>
      </c>
      <c r="L1298" s="36" t="n">
        <v>30569</v>
      </c>
      <c r="M1298" s="21">
        <f>L1298*H1298</f>
        <v/>
      </c>
      <c r="N1298" s="21">
        <f>IFERROR(IF(M1298/K1298&gt;1,K1298,M1298),0)</f>
        <v/>
      </c>
      <c r="O1298" s="36" t="n">
        <v>24000</v>
      </c>
      <c r="P1298" s="21">
        <f>O1298*H1298</f>
        <v/>
      </c>
      <c r="Q1298" s="30">
        <f>IF(MONTH(E1298+1)=MONTH(E1298+6),MONTH(E1298+1),IF(MIN(EOMONTH(E1298+1,0),E1298+6)-(E1298+1)+1&gt;=3,MONTH(E1298+1),MONTH(E1298+6)))</f>
        <v/>
      </c>
      <c r="R1298" s="22">
        <f>IFERROR(K1298/P1298, 0)</f>
        <v/>
      </c>
      <c r="S1298" s="41">
        <f>IFERROR(N1298/P1298,0)</f>
        <v/>
      </c>
      <c r="T1298" s="31">
        <f>IFERROR(IF(N1298&gt;0,(N1298/K1298),MIN(1,M1298/J1298)),0)</f>
        <v/>
      </c>
    </row>
    <row r="1299">
      <c r="A1299" s="18" t="inlineStr">
        <is>
          <t>Semana 5 - Julho</t>
        </is>
      </c>
      <c r="B1299" s="27">
        <f>YEAR(E1299)</f>
        <v/>
      </c>
      <c r="C1299" s="18">
        <f>INDEX({"Janeiro";"Fevereiro";"Março";"Abril";"Maio";"Junho";"Julho";"Agosto";"Setembro";"Outubro";"Novembro";"Dezembro"},Q1299)</f>
        <v/>
      </c>
      <c r="D1299" s="19" t="n">
        <v>5</v>
      </c>
      <c r="E1299" s="20" t="n">
        <v>46230</v>
      </c>
      <c r="F1299" s="23" t="inlineStr">
        <is>
          <t>Doce de Leite Zero Açúcar e Lactose 400g</t>
        </is>
      </c>
      <c r="G1299" s="23" t="inlineStr">
        <is>
          <t>DOCE</t>
        </is>
      </c>
      <c r="H1299" s="34" t="n">
        <v>0.4</v>
      </c>
      <c r="I1299" s="36" t="n">
        <v>24000</v>
      </c>
      <c r="J1299" s="21">
        <f>I1299*H1299</f>
        <v/>
      </c>
      <c r="K1299" s="21">
        <f>IFERROR(IF(J1299/P1299&gt;1,P1299,J1299),0)</f>
        <v/>
      </c>
      <c r="L1299" s="36" t="n">
        <v>21968</v>
      </c>
      <c r="M1299" s="21">
        <f>L1299*H1299</f>
        <v/>
      </c>
      <c r="N1299" s="21">
        <f>IFERROR(IF(M1299/K1299&gt;1,K1299,M1299),0)</f>
        <v/>
      </c>
      <c r="O1299" s="36" t="n">
        <v>24000</v>
      </c>
      <c r="P1299" s="21">
        <f>O1299*H1299</f>
        <v/>
      </c>
      <c r="Q1299" s="30">
        <f>IF(MONTH(E1299+1)=MONTH(E1299+6),MONTH(E1299+1),IF(MIN(EOMONTH(E1299+1,0),E1299+6)-(E1299+1)+1&gt;=3,MONTH(E1299+1),MONTH(E1299+6)))</f>
        <v/>
      </c>
      <c r="R1299" s="22">
        <f>IFERROR(K1299/P1299, 0)</f>
        <v/>
      </c>
      <c r="S1299" s="41">
        <f>IFERROR(N1299/P1299,0)</f>
        <v/>
      </c>
      <c r="T1299" s="31">
        <f>IFERROR(IF(N1299&gt;0,(N1299/K1299),MIN(1,M1299/J1299)),0)</f>
        <v/>
      </c>
    </row>
    <row r="1300">
      <c r="A1300" s="18" t="inlineStr">
        <is>
          <t>Semana 5 - Julho</t>
        </is>
      </c>
      <c r="B1300" s="27">
        <f>YEAR(E1300)</f>
        <v/>
      </c>
      <c r="C1300" s="18">
        <f>INDEX({"Janeiro";"Fevereiro";"Março";"Abril";"Maio";"Junho";"Julho";"Agosto";"Setembro";"Outubro";"Novembro";"Dezembro"},Q1300)</f>
        <v/>
      </c>
      <c r="D1300" s="19" t="n">
        <v>5</v>
      </c>
      <c r="E1300" s="20" t="n">
        <v>46230</v>
      </c>
      <c r="F1300" s="23" t="inlineStr">
        <is>
          <t>Doce de Leite 800g</t>
        </is>
      </c>
      <c r="G1300" s="23" t="inlineStr">
        <is>
          <t>DOCE</t>
        </is>
      </c>
      <c r="H1300" s="34" t="n">
        <v>0.8</v>
      </c>
      <c r="I1300" s="36" t="n">
        <v>12800</v>
      </c>
      <c r="J1300" s="21">
        <f>I1300*H1300</f>
        <v/>
      </c>
      <c r="K1300" s="21">
        <f>IFERROR(IF(J1300/P1300&gt;1,P1300,J1300),0)</f>
        <v/>
      </c>
      <c r="L1300" s="36" t="n">
        <v>13402</v>
      </c>
      <c r="M1300" s="21">
        <f>L1300*H1300</f>
        <v/>
      </c>
      <c r="N1300" s="21">
        <f>IFERROR(IF(M1300/K1300&gt;1,K1300,M1300),0)</f>
        <v/>
      </c>
      <c r="O1300" s="36" t="n">
        <v>15000</v>
      </c>
      <c r="P1300" s="21">
        <f>O1300*H1300</f>
        <v/>
      </c>
      <c r="Q1300" s="30">
        <f>IF(MONTH(E1300+1)=MONTH(E1300+6),MONTH(E1300+1),IF(MIN(EOMONTH(E1300+1,0),E1300+6)-(E1300+1)+1&gt;=3,MONTH(E1300+1),MONTH(E1300+6)))</f>
        <v/>
      </c>
      <c r="R1300" s="22">
        <f>IFERROR(K1300/P1300, 0)</f>
        <v/>
      </c>
      <c r="S1300" s="41">
        <f>IFERROR(N1300/P1300,0)</f>
        <v/>
      </c>
      <c r="T1300" s="31">
        <f>IFERROR(IF(N1300&gt;0,(N1300/K1300),MIN(1,M1300/J1300)),0)</f>
        <v/>
      </c>
    </row>
    <row r="1301">
      <c r="A1301" s="18" t="inlineStr">
        <is>
          <t>Semana 5 - Julho</t>
        </is>
      </c>
      <c r="B1301" s="27">
        <f>YEAR(E1301)</f>
        <v/>
      </c>
      <c r="C1301" s="18">
        <f>INDEX({"Janeiro";"Fevereiro";"Março";"Abril";"Maio";"Junho";"Julho";"Agosto";"Setembro";"Outubro";"Novembro";"Dezembro"},Q1301)</f>
        <v/>
      </c>
      <c r="D1301" s="19" t="n">
        <v>5</v>
      </c>
      <c r="E1301" s="20" t="n">
        <v>46230</v>
      </c>
      <c r="F1301" s="23" t="inlineStr">
        <is>
          <t>Doce de Leite 5kg</t>
        </is>
      </c>
      <c r="G1301" s="23" t="inlineStr">
        <is>
          <t>DOCE</t>
        </is>
      </c>
      <c r="H1301" s="34" t="n">
        <v>5</v>
      </c>
      <c r="I1301" s="36" t="n">
        <v>3000</v>
      </c>
      <c r="J1301" s="21">
        <f>I1301*H1301</f>
        <v/>
      </c>
      <c r="K1301" s="21">
        <f>IFERROR(IF(J1301/P1301&gt;1,P1301,J1301),0)</f>
        <v/>
      </c>
      <c r="L1301" s="36" t="n">
        <v>2845</v>
      </c>
      <c r="M1301" s="21">
        <f>L1301*H1301</f>
        <v/>
      </c>
      <c r="N1301" s="21">
        <f>IFERROR(IF(M1301/K1301&gt;1,K1301,M1301),0)</f>
        <v/>
      </c>
      <c r="O1301" s="36" t="n">
        <v>2790</v>
      </c>
      <c r="P1301" s="21">
        <f>O1301*H1301</f>
        <v/>
      </c>
      <c r="Q1301" s="30">
        <f>IF(MONTH(E1301+1)=MONTH(E1301+6),MONTH(E1301+1),IF(MIN(EOMONTH(E1301+1,0),E1301+6)-(E1301+1)+1&gt;=3,MONTH(E1301+1),MONTH(E1301+6)))</f>
        <v/>
      </c>
      <c r="R1301" s="22">
        <f>IFERROR(K1301/P1301, 0)</f>
        <v/>
      </c>
      <c r="S1301" s="41">
        <f>IFERROR(N1301/P1301,0)</f>
        <v/>
      </c>
      <c r="T1301" s="31">
        <f>IFERROR(IF(N1301&gt;0,(N1301/K1301),MIN(1,M1301/J1301)),0)</f>
        <v/>
      </c>
    </row>
    <row r="1302">
      <c r="A1302" s="18" t="inlineStr">
        <is>
          <t>Semana 5 - Julho</t>
        </is>
      </c>
      <c r="B1302" s="27">
        <f>YEAR(E1302)</f>
        <v/>
      </c>
      <c r="C1302" s="18">
        <f>INDEX({"Janeiro";"Fevereiro";"Março";"Abril";"Maio";"Junho";"Julho";"Agosto";"Setembro";"Outubro";"Novembro";"Dezembro"},Q1302)</f>
        <v/>
      </c>
      <c r="D1302" s="19" t="n">
        <v>5</v>
      </c>
      <c r="E1302" s="20" t="n">
        <v>46230</v>
      </c>
      <c r="F1302" s="23" t="inlineStr">
        <is>
          <t>Doce de Leite 5kg - Forneável</t>
        </is>
      </c>
      <c r="G1302" s="23" t="inlineStr">
        <is>
          <t>DOCE</t>
        </is>
      </c>
      <c r="H1302" s="34" t="n">
        <v>5</v>
      </c>
      <c r="I1302" s="36" t="n">
        <v>225</v>
      </c>
      <c r="J1302" s="21">
        <f>I1302*H1302</f>
        <v/>
      </c>
      <c r="K1302" s="21">
        <f>IFERROR(IF(J1302/P1302&gt;1,P1302,J1302),0)</f>
        <v/>
      </c>
      <c r="L1302" s="36" t="n">
        <v>198</v>
      </c>
      <c r="M1302" s="21">
        <f>L1302*H1302</f>
        <v/>
      </c>
      <c r="N1302" s="21">
        <f>IFERROR(IF(M1302/K1302&gt;1,K1302,M1302),0)</f>
        <v/>
      </c>
      <c r="O1302" s="36" t="n">
        <v>465</v>
      </c>
      <c r="P1302" s="21">
        <f>O1302*H1302</f>
        <v/>
      </c>
      <c r="Q1302" s="30">
        <f>IF(MONTH(E1302+1)=MONTH(E1302+6),MONTH(E1302+1),IF(MIN(EOMONTH(E1302+1,0),E1302+6)-(E1302+1)+1&gt;=3,MONTH(E1302+1),MONTH(E1302+6)))</f>
        <v/>
      </c>
      <c r="R1302" s="22">
        <f>IFERROR(K1302/P1302, 0)</f>
        <v/>
      </c>
      <c r="S1302" s="41">
        <f>IFERROR(N1302/P1302,0)</f>
        <v/>
      </c>
      <c r="T1302" s="31">
        <f>IFERROR(IF(N1302&gt;0,(N1302/K1302),MIN(1,M1302/J1302)),0)</f>
        <v/>
      </c>
    </row>
    <row r="1303">
      <c r="A1303" s="18" t="inlineStr">
        <is>
          <t>Semana 5 - Julho</t>
        </is>
      </c>
      <c r="B1303" s="27">
        <f>YEAR(E1303)</f>
        <v/>
      </c>
      <c r="C1303" s="18">
        <f>INDEX({"Janeiro";"Fevereiro";"Março";"Abril";"Maio";"Junho";"Julho";"Agosto";"Setembro";"Outubro";"Novembro";"Dezembro"},Q1303)</f>
        <v/>
      </c>
      <c r="D1303" s="19" t="n">
        <v>5</v>
      </c>
      <c r="E1303" s="20" t="n">
        <v>46230</v>
      </c>
      <c r="F1303" s="23" t="inlineStr">
        <is>
          <t>Doce de Leite c/ coco 400</t>
        </is>
      </c>
      <c r="G1303" s="23" t="inlineStr">
        <is>
          <t>DOCE</t>
        </is>
      </c>
      <c r="H1303" s="34" t="n">
        <v>0.4</v>
      </c>
      <c r="I1303" s="36" t="n">
        <v>6300</v>
      </c>
      <c r="J1303" s="21">
        <f>I1303*H1303</f>
        <v/>
      </c>
      <c r="K1303" s="21">
        <f>IFERROR(IF(J1303/P1303&gt;1,P1303,J1303),0)</f>
        <v/>
      </c>
      <c r="L1303" s="36" t="n">
        <v>6638</v>
      </c>
      <c r="M1303" s="21">
        <f>L1303*H1303</f>
        <v/>
      </c>
      <c r="N1303" s="21">
        <f>IFERROR(IF(M1303/K1303&gt;1,K1303,M1303),0)</f>
        <v/>
      </c>
      <c r="O1303" s="36" t="n">
        <v>6000</v>
      </c>
      <c r="P1303" s="21">
        <f>O1303*H1303</f>
        <v/>
      </c>
      <c r="Q1303" s="30">
        <f>IF(MONTH(E1303+1)=MONTH(E1303+6),MONTH(E1303+1),IF(MIN(EOMONTH(E1303+1,0),E1303+6)-(E1303+1)+1&gt;=3,MONTH(E1303+1),MONTH(E1303+6)))</f>
        <v/>
      </c>
      <c r="R1303" s="22">
        <f>IFERROR(K1303/P1303, 0)</f>
        <v/>
      </c>
      <c r="S1303" s="41">
        <f>IFERROR(N1303/P1303,0)</f>
        <v/>
      </c>
      <c r="T1303" s="31">
        <f>IFERROR(IF(N1303&gt;0,(N1303/K1303),MIN(1,M1303/J1303)),0)</f>
        <v/>
      </c>
    </row>
    <row r="1304">
      <c r="A1304" s="18" t="inlineStr">
        <is>
          <t>Semana 5 - Julho</t>
        </is>
      </c>
      <c r="B1304" s="27">
        <f>YEAR(E1304)</f>
        <v/>
      </c>
      <c r="C1304" s="18">
        <f>INDEX({"Janeiro";"Fevereiro";"Março";"Abril";"Maio";"Junho";"Julho";"Agosto";"Setembro";"Outubro";"Novembro";"Dezembro"},Q1304)</f>
        <v/>
      </c>
      <c r="D1304" s="19" t="n">
        <v>5</v>
      </c>
      <c r="E1304" s="20" t="n">
        <v>46230</v>
      </c>
      <c r="F1304" s="23" t="inlineStr">
        <is>
          <t>Doce de Leite Cacau 5kg - FOOD</t>
        </is>
      </c>
      <c r="G1304" s="23" t="inlineStr">
        <is>
          <t>DOCE</t>
        </is>
      </c>
      <c r="H1304" s="34" t="n">
        <v>5</v>
      </c>
      <c r="I1304" s="36" t="n">
        <v>500</v>
      </c>
      <c r="J1304" s="21">
        <f>I1304*H1304</f>
        <v/>
      </c>
      <c r="K1304" s="21">
        <f>IFERROR(IF(J1304/P1304&gt;1,P1304,J1304),0)</f>
        <v/>
      </c>
      <c r="L1304" s="36" t="n">
        <v>573</v>
      </c>
      <c r="M1304" s="21">
        <f>L1304*H1304</f>
        <v/>
      </c>
      <c r="N1304" s="21">
        <f>IFERROR(IF(M1304/K1304&gt;1,K1304,M1304),0)</f>
        <v/>
      </c>
      <c r="O1304" s="36" t="n">
        <v>465</v>
      </c>
      <c r="P1304" s="21">
        <f>O1304*H1304</f>
        <v/>
      </c>
      <c r="Q1304" s="30">
        <f>IF(MONTH(E1304+1)=MONTH(E1304+6),MONTH(E1304+1),IF(MIN(EOMONTH(E1304+1,0),E1304+6)-(E1304+1)+1&gt;=3,MONTH(E1304+1),MONTH(E1304+6)))</f>
        <v/>
      </c>
      <c r="R1304" s="22">
        <f>IFERROR(K1304/P1304, 0)</f>
        <v/>
      </c>
      <c r="S1304" s="41">
        <f>IFERROR(N1304/P1304,0)</f>
        <v/>
      </c>
      <c r="T1304" s="31">
        <f>IFERROR(IF(N1304&gt;0,(N1304/K1304),MIN(1,M1304/J1304)),0)</f>
        <v/>
      </c>
    </row>
    <row r="1305">
      <c r="A1305" s="18" t="inlineStr">
        <is>
          <t>Semana 5 - Julho</t>
        </is>
      </c>
      <c r="B1305" s="27">
        <f>YEAR(E1305)</f>
        <v/>
      </c>
      <c r="C1305" s="18">
        <f>INDEX({"Janeiro";"Fevereiro";"Março";"Abril";"Maio";"Junho";"Julho";"Agosto";"Setembro";"Outubro";"Novembro";"Dezembro"},Q1305)</f>
        <v/>
      </c>
      <c r="D1305" s="19" t="n">
        <v>5</v>
      </c>
      <c r="E1305" s="20" t="n">
        <v>46230</v>
      </c>
      <c r="F1305" s="23" t="inlineStr">
        <is>
          <t>Doce de Leite c/ Café 400</t>
        </is>
      </c>
      <c r="G1305" s="23" t="inlineStr">
        <is>
          <t>DOCE</t>
        </is>
      </c>
      <c r="H1305" s="34" t="n">
        <v>0.4</v>
      </c>
      <c r="I1305" s="36" t="n">
        <v>6300</v>
      </c>
      <c r="J1305" s="21">
        <f>I1305*H1305</f>
        <v/>
      </c>
      <c r="K1305" s="21">
        <f>IFERROR(IF(J1305/P1305&gt;1,P1305,J1305),0)</f>
        <v/>
      </c>
      <c r="L1305" s="36" t="n">
        <v>6350</v>
      </c>
      <c r="M1305" s="21">
        <f>L1305*H1305</f>
        <v/>
      </c>
      <c r="N1305" s="21">
        <f>IFERROR(IF(M1305/K1305&gt;1,K1305,M1305),0)</f>
        <v/>
      </c>
      <c r="O1305" s="36" t="n">
        <v>6000</v>
      </c>
      <c r="P1305" s="21">
        <f>O1305*H1305</f>
        <v/>
      </c>
      <c r="Q1305" s="30">
        <f>IF(MONTH(E1305+1)=MONTH(E1305+6),MONTH(E1305+1),IF(MIN(EOMONTH(E1305+1,0),E1305+6)-(E1305+1)+1&gt;=3,MONTH(E1305+1),MONTH(E1305+6)))</f>
        <v/>
      </c>
      <c r="R1305" s="22">
        <f>IFERROR(K1305/P1305, 0)</f>
        <v/>
      </c>
      <c r="S1305" s="41">
        <f>IFERROR(N1305/P1305,0)</f>
        <v/>
      </c>
      <c r="T1305" s="31">
        <f>IFERROR(IF(N1305&gt;0,(N1305/K1305),MIN(1,M1305/J1305)),0)</f>
        <v/>
      </c>
    </row>
    <row r="1306">
      <c r="A1306" s="18" t="inlineStr">
        <is>
          <t>Semana 5 - Julho</t>
        </is>
      </c>
      <c r="B1306" s="27">
        <f>YEAR(E1306)</f>
        <v/>
      </c>
      <c r="C1306" s="18">
        <f>INDEX({"Janeiro";"Fevereiro";"Março";"Abril";"Maio";"Junho";"Julho";"Agosto";"Setembro";"Outubro";"Novembro";"Dezembro"},Q1306)</f>
        <v/>
      </c>
      <c r="D1306" s="19" t="n">
        <v>5</v>
      </c>
      <c r="E1306" s="20" t="n">
        <v>46230</v>
      </c>
      <c r="F1306" s="23" t="inlineStr">
        <is>
          <t>Iogurte Morango 120g</t>
        </is>
      </c>
      <c r="G1306" s="23" t="inlineStr">
        <is>
          <t>IOGURTE</t>
        </is>
      </c>
      <c r="H1306" s="34" t="n">
        <v>0.12</v>
      </c>
      <c r="I1306" s="36" t="n">
        <v>21500</v>
      </c>
      <c r="J1306" s="21">
        <f>I1306*H1306</f>
        <v/>
      </c>
      <c r="K1306" s="21">
        <f>IFERROR(IF(J1306/P1306&gt;1,P1306,J1306),0)</f>
        <v/>
      </c>
      <c r="L1306" s="36" t="n">
        <v>18029</v>
      </c>
      <c r="M1306" s="21">
        <f>L1306*H1306</f>
        <v/>
      </c>
      <c r="N1306" s="21">
        <f>IFERROR(IF(M1306/K1306&gt;1,K1306,M1306),0)</f>
        <v/>
      </c>
      <c r="O1306" s="36" t="n">
        <v>18000</v>
      </c>
      <c r="P1306" s="21">
        <f>O1306*H1306</f>
        <v/>
      </c>
      <c r="Q1306" s="30">
        <f>IF(MONTH(E1306+1)=MONTH(E1306+6),MONTH(E1306+1),IF(MIN(EOMONTH(E1306+1,0),E1306+6)-(E1306+1)+1&gt;=3,MONTH(E1306+1),MONTH(E1306+6)))</f>
        <v/>
      </c>
      <c r="R1306" s="22">
        <f>IFERROR(K1306/P1306, 0)</f>
        <v/>
      </c>
      <c r="S1306" s="41">
        <f>IFERROR(N1306/P1306,0)</f>
        <v/>
      </c>
      <c r="T1306" s="31">
        <f>IFERROR(IF(N1306&gt;0,(N1306/K1306),MIN(1,M1306/J1306)),0)</f>
        <v/>
      </c>
    </row>
    <row r="1307">
      <c r="A1307" s="18" t="inlineStr">
        <is>
          <t>Semana 5 - Julho</t>
        </is>
      </c>
      <c r="B1307" s="27">
        <f>YEAR(E1307)</f>
        <v/>
      </c>
      <c r="C1307" s="18">
        <f>INDEX({"Janeiro";"Fevereiro";"Março";"Abril";"Maio";"Junho";"Julho";"Agosto";"Setembro";"Outubro";"Novembro";"Dezembro"},Q1307)</f>
        <v/>
      </c>
      <c r="D1307" s="19" t="n">
        <v>5</v>
      </c>
      <c r="E1307" s="20" t="n">
        <v>46230</v>
      </c>
      <c r="F1307" s="23" t="inlineStr">
        <is>
          <t>Iogurte Morango 185g</t>
        </is>
      </c>
      <c r="G1307" s="23" t="inlineStr">
        <is>
          <t>IOGURTE</t>
        </is>
      </c>
      <c r="H1307" s="34" t="n">
        <v>0.185</v>
      </c>
      <c r="I1307" s="36" t="n">
        <v>1820</v>
      </c>
      <c r="J1307" s="21">
        <f>I1307*H1307</f>
        <v/>
      </c>
      <c r="K1307" s="21">
        <f>IFERROR(IF(J1307/P1307&gt;1,P1307,J1307),0)</f>
        <v/>
      </c>
      <c r="L1307" s="36" t="n">
        <v>1855</v>
      </c>
      <c r="M1307" s="21">
        <f>L1307*H1307</f>
        <v/>
      </c>
      <c r="N1307" s="21">
        <f>IFERROR(IF(M1307/K1307&gt;1,K1307,M1307),0)</f>
        <v/>
      </c>
      <c r="O1307" s="36" t="n">
        <v>1820</v>
      </c>
      <c r="P1307" s="21">
        <f>O1307*H1307</f>
        <v/>
      </c>
      <c r="Q1307" s="30">
        <f>IF(MONTH(E1307+1)=MONTH(E1307+6),MONTH(E1307+1),IF(MIN(EOMONTH(E1307+1,0),E1307+6)-(E1307+1)+1&gt;=3,MONTH(E1307+1),MONTH(E1307+6)))</f>
        <v/>
      </c>
      <c r="R1307" s="22">
        <f>IFERROR(K1307/P1307, 0)</f>
        <v/>
      </c>
      <c r="S1307" s="41">
        <f>IFERROR(N1307/P1307,0)</f>
        <v/>
      </c>
      <c r="T1307" s="31">
        <f>IFERROR(IF(N1307&gt;0,(N1307/K1307),MIN(1,M1307/J1307)),0)</f>
        <v/>
      </c>
    </row>
    <row r="1308">
      <c r="A1308" s="18" t="inlineStr">
        <is>
          <t>Semana 5 - Julho</t>
        </is>
      </c>
      <c r="B1308" s="27">
        <f>YEAR(E1308)</f>
        <v/>
      </c>
      <c r="C1308" s="18">
        <f>INDEX({"Janeiro";"Fevereiro";"Março";"Abril";"Maio";"Junho";"Julho";"Agosto";"Setembro";"Outubro";"Novembro";"Dezembro"},Q1308)</f>
        <v/>
      </c>
      <c r="D1308" s="19" t="n">
        <v>5</v>
      </c>
      <c r="E1308" s="20" t="n">
        <v>46230</v>
      </c>
      <c r="F1308" s="23" t="inlineStr">
        <is>
          <t>Iogurte Morango 900G</t>
        </is>
      </c>
      <c r="G1308" s="23" t="inlineStr">
        <is>
          <t>IOGURTE</t>
        </is>
      </c>
      <c r="H1308" s="34" t="n">
        <v>0.9</v>
      </c>
      <c r="I1308" s="36" t="n">
        <v>4230</v>
      </c>
      <c r="J1308" s="21">
        <f>I1308*H1308</f>
        <v/>
      </c>
      <c r="K1308" s="21">
        <f>IFERROR(IF(J1308/P1308&gt;1,P1308,J1308),0)</f>
        <v/>
      </c>
      <c r="L1308" s="36" t="n">
        <v>4003</v>
      </c>
      <c r="M1308" s="21">
        <f>L1308*H1308</f>
        <v/>
      </c>
      <c r="N1308" s="21">
        <f>IFERROR(IF(M1308/K1308&gt;1,K1308,M1308),0)</f>
        <v/>
      </c>
      <c r="O1308" s="36" t="n">
        <v>3200</v>
      </c>
      <c r="P1308" s="21">
        <f>O1308*H1308</f>
        <v/>
      </c>
      <c r="Q1308" s="30">
        <f>IF(MONTH(E1308+1)=MONTH(E1308+6),MONTH(E1308+1),IF(MIN(EOMONTH(E1308+1,0),E1308+6)-(E1308+1)+1&gt;=3,MONTH(E1308+1),MONTH(E1308+6)))</f>
        <v/>
      </c>
      <c r="R1308" s="22">
        <f>IFERROR(K1308/P1308, 0)</f>
        <v/>
      </c>
      <c r="S1308" s="41">
        <f>IFERROR(N1308/P1308,0)</f>
        <v/>
      </c>
      <c r="T1308" s="31">
        <f>IFERROR(IF(N1308&gt;0,(N1308/K1308),MIN(1,M1308/J1308)),0)</f>
        <v/>
      </c>
    </row>
    <row r="1309">
      <c r="A1309" s="18" t="inlineStr">
        <is>
          <t>Semana 5 - Julho</t>
        </is>
      </c>
      <c r="B1309" s="27">
        <f>YEAR(E1309)</f>
        <v/>
      </c>
      <c r="C1309" s="18">
        <f>INDEX({"Janeiro";"Fevereiro";"Março";"Abril";"Maio";"Junho";"Julho";"Agosto";"Setembro";"Outubro";"Novembro";"Dezembro"},Q1309)</f>
        <v/>
      </c>
      <c r="D1309" s="19" t="n">
        <v>5</v>
      </c>
      <c r="E1309" s="20" t="n">
        <v>46230</v>
      </c>
      <c r="F1309" s="23" t="inlineStr">
        <is>
          <t>Iogurte Coco 120g</t>
        </is>
      </c>
      <c r="G1309" s="23" t="inlineStr">
        <is>
          <t>IOGURTE</t>
        </is>
      </c>
      <c r="H1309" s="34" t="n">
        <v>0.12</v>
      </c>
      <c r="I1309" s="36" t="n">
        <v>4000</v>
      </c>
      <c r="J1309" s="21">
        <f>I1309*H1309</f>
        <v/>
      </c>
      <c r="K1309" s="21">
        <f>IFERROR(IF(J1309/P1309&gt;1,P1309,J1309),0)</f>
        <v/>
      </c>
      <c r="L1309" s="36" t="n">
        <v>3979</v>
      </c>
      <c r="M1309" s="21">
        <f>L1309*H1309</f>
        <v/>
      </c>
      <c r="N1309" s="21">
        <f>IFERROR(IF(M1309/K1309&gt;1,K1309,M1309),0)</f>
        <v/>
      </c>
      <c r="O1309" s="36" t="n">
        <v>4000</v>
      </c>
      <c r="P1309" s="21">
        <f>O1309*H1309</f>
        <v/>
      </c>
      <c r="Q1309" s="30">
        <f>IF(MONTH(E1309+1)=MONTH(E1309+6),MONTH(E1309+1),IF(MIN(EOMONTH(E1309+1,0),E1309+6)-(E1309+1)+1&gt;=3,MONTH(E1309+1),MONTH(E1309+6)))</f>
        <v/>
      </c>
      <c r="R1309" s="22">
        <f>IFERROR(K1309/P1309, 0)</f>
        <v/>
      </c>
      <c r="S1309" s="41">
        <f>IFERROR(N1309/P1309,0)</f>
        <v/>
      </c>
      <c r="T1309" s="31">
        <f>IFERROR(IF(N1309&gt;0,(N1309/K1309),MIN(1,M1309/J1309)),0)</f>
        <v/>
      </c>
    </row>
    <row r="1310">
      <c r="A1310" s="18" t="inlineStr">
        <is>
          <t>Semana 5 - Julho</t>
        </is>
      </c>
      <c r="B1310" s="27">
        <f>YEAR(E1310)</f>
        <v/>
      </c>
      <c r="C1310" s="18">
        <f>INDEX({"Janeiro";"Fevereiro";"Março";"Abril";"Maio";"Junho";"Julho";"Agosto";"Setembro";"Outubro";"Novembro";"Dezembro"},Q1310)</f>
        <v/>
      </c>
      <c r="D1310" s="19" t="n">
        <v>5</v>
      </c>
      <c r="E1310" s="20" t="n">
        <v>46230</v>
      </c>
      <c r="F1310" s="23" t="inlineStr">
        <is>
          <t>Iogurte Coco 185g</t>
        </is>
      </c>
      <c r="G1310" s="23" t="inlineStr">
        <is>
          <t>IOGURTE</t>
        </is>
      </c>
      <c r="H1310" s="34" t="n">
        <v>0.185</v>
      </c>
      <c r="I1310" s="36" t="n">
        <v>780</v>
      </c>
      <c r="J1310" s="21">
        <f>I1310*H1310</f>
        <v/>
      </c>
      <c r="K1310" s="21">
        <f>IFERROR(IF(J1310/P1310&gt;1,P1310,J1310),0)</f>
        <v/>
      </c>
      <c r="L1310" s="36" t="n">
        <v>664</v>
      </c>
      <c r="M1310" s="21">
        <f>L1310*H1310</f>
        <v/>
      </c>
      <c r="N1310" s="21">
        <f>IFERROR(IF(M1310/K1310&gt;1,K1310,M1310),0)</f>
        <v/>
      </c>
      <c r="O1310" s="36" t="n">
        <v>780</v>
      </c>
      <c r="P1310" s="21">
        <f>O1310*H1310</f>
        <v/>
      </c>
      <c r="Q1310" s="30">
        <f>IF(MONTH(E1310+1)=MONTH(E1310+6),MONTH(E1310+1),IF(MIN(EOMONTH(E1310+1,0),E1310+6)-(E1310+1)+1&gt;=3,MONTH(E1310+1),MONTH(E1310+6)))</f>
        <v/>
      </c>
      <c r="R1310" s="22">
        <f>IFERROR(K1310/P1310, 0)</f>
        <v/>
      </c>
      <c r="S1310" s="41">
        <f>IFERROR(N1310/P1310,0)</f>
        <v/>
      </c>
      <c r="T1310" s="31">
        <f>IFERROR(IF(N1310&gt;0,(N1310/K1310),MIN(1,M1310/J1310)),0)</f>
        <v/>
      </c>
    </row>
    <row r="1311">
      <c r="A1311" s="18" t="inlineStr">
        <is>
          <t>Semana 5 - Julho</t>
        </is>
      </c>
      <c r="B1311" s="27">
        <f>YEAR(E1311)</f>
        <v/>
      </c>
      <c r="C1311" s="18">
        <f>INDEX({"Janeiro";"Fevereiro";"Março";"Abril";"Maio";"Junho";"Julho";"Agosto";"Setembro";"Outubro";"Novembro";"Dezembro"},Q1311)</f>
        <v/>
      </c>
      <c r="D1311" s="19" t="n">
        <v>5</v>
      </c>
      <c r="E1311" s="20" t="n">
        <v>46230</v>
      </c>
      <c r="F1311" s="23" t="inlineStr">
        <is>
          <t>Iogurte Coco 900g</t>
        </is>
      </c>
      <c r="G1311" s="23" t="inlineStr">
        <is>
          <t>IOGURTE</t>
        </is>
      </c>
      <c r="H1311" s="34" t="n">
        <v>0.9</v>
      </c>
      <c r="I1311" s="36" t="n">
        <v>1530</v>
      </c>
      <c r="J1311" s="21">
        <f>I1311*H1311</f>
        <v/>
      </c>
      <c r="K1311" s="21">
        <f>IFERROR(IF(J1311/P1311&gt;1,P1311,J1311),0)</f>
        <v/>
      </c>
      <c r="L1311" s="36" t="n">
        <v>1438</v>
      </c>
      <c r="M1311" s="21">
        <f>L1311*H1311</f>
        <v/>
      </c>
      <c r="N1311" s="21">
        <f>IFERROR(IF(M1311/K1311&gt;1,K1311,M1311),0)</f>
        <v/>
      </c>
      <c r="O1311" s="36" t="n">
        <v>1500</v>
      </c>
      <c r="P1311" s="21">
        <f>O1311*H1311</f>
        <v/>
      </c>
      <c r="Q1311" s="30">
        <f>IF(MONTH(E1311+1)=MONTH(E1311+6),MONTH(E1311+1),IF(MIN(EOMONTH(E1311+1,0),E1311+6)-(E1311+1)+1&gt;=3,MONTH(E1311+1),MONTH(E1311+6)))</f>
        <v/>
      </c>
      <c r="R1311" s="22">
        <f>IFERROR(K1311/P1311, 0)</f>
        <v/>
      </c>
      <c r="S1311" s="41">
        <f>IFERROR(N1311/P1311,0)</f>
        <v/>
      </c>
      <c r="T1311" s="31">
        <f>IFERROR(IF(N1311&gt;0,(N1311/K1311),MIN(1,M1311/J1311)),0)</f>
        <v/>
      </c>
    </row>
    <row r="1312">
      <c r="A1312" s="18" t="inlineStr">
        <is>
          <t>Semana 5 - Julho</t>
        </is>
      </c>
      <c r="B1312" s="27">
        <f>YEAR(E1312)</f>
        <v/>
      </c>
      <c r="C1312" s="18">
        <f>INDEX({"Janeiro";"Fevereiro";"Março";"Abril";"Maio";"Junho";"Julho";"Agosto";"Setembro";"Outubro";"Novembro";"Dezembro"},Q1312)</f>
        <v/>
      </c>
      <c r="D1312" s="19" t="n">
        <v>5</v>
      </c>
      <c r="E1312" s="20" t="n">
        <v>46230</v>
      </c>
      <c r="F1312" s="23" t="inlineStr">
        <is>
          <t>Iogurte Salada 120g</t>
        </is>
      </c>
      <c r="G1312" s="23" t="inlineStr">
        <is>
          <t>IOGURTE</t>
        </is>
      </c>
      <c r="H1312" s="34" t="n">
        <v>0.12</v>
      </c>
      <c r="I1312" s="36" t="n">
        <v>3000</v>
      </c>
      <c r="J1312" s="21">
        <f>I1312*H1312</f>
        <v/>
      </c>
      <c r="K1312" s="21">
        <f>IFERROR(IF(J1312/P1312&gt;1,P1312,J1312),0)</f>
        <v/>
      </c>
      <c r="L1312" s="36" t="n">
        <v>3336</v>
      </c>
      <c r="M1312" s="21">
        <f>L1312*H1312</f>
        <v/>
      </c>
      <c r="N1312" s="21">
        <f>IFERROR(IF(M1312/K1312&gt;1,K1312,M1312),0)</f>
        <v/>
      </c>
      <c r="O1312" s="36" t="n">
        <v>3000</v>
      </c>
      <c r="P1312" s="21">
        <f>O1312*H1312</f>
        <v/>
      </c>
      <c r="Q1312" s="30">
        <f>IF(MONTH(E1312+1)=MONTH(E1312+6),MONTH(E1312+1),IF(MIN(EOMONTH(E1312+1,0),E1312+6)-(E1312+1)+1&gt;=3,MONTH(E1312+1),MONTH(E1312+6)))</f>
        <v/>
      </c>
      <c r="R1312" s="22">
        <f>IFERROR(K1312/P1312, 0)</f>
        <v/>
      </c>
      <c r="S1312" s="41">
        <f>IFERROR(N1312/P1312,0)</f>
        <v/>
      </c>
      <c r="T1312" s="31">
        <f>IFERROR(IF(N1312&gt;0,(N1312/K1312),MIN(1,M1312/J1312)),0)</f>
        <v/>
      </c>
    </row>
    <row r="1313">
      <c r="A1313" s="18" t="inlineStr">
        <is>
          <t>Semana 5 - Julho</t>
        </is>
      </c>
      <c r="B1313" s="27">
        <f>YEAR(E1313)</f>
        <v/>
      </c>
      <c r="C1313" s="18">
        <f>INDEX({"Janeiro";"Fevereiro";"Março";"Abril";"Maio";"Junho";"Julho";"Agosto";"Setembro";"Outubro";"Novembro";"Dezembro"},Q1313)</f>
        <v/>
      </c>
      <c r="D1313" s="19" t="n">
        <v>5</v>
      </c>
      <c r="E1313" s="20" t="n">
        <v>46230</v>
      </c>
      <c r="F1313" s="23" t="inlineStr">
        <is>
          <t>Iogurte Salada 185g</t>
        </is>
      </c>
      <c r="G1313" s="23" t="inlineStr">
        <is>
          <t>IOGURTE</t>
        </is>
      </c>
      <c r="H1313" s="34" t="n">
        <v>0.185</v>
      </c>
      <c r="I1313" s="36" t="n">
        <v>780</v>
      </c>
      <c r="J1313" s="21">
        <f>I1313*H1313</f>
        <v/>
      </c>
      <c r="K1313" s="21">
        <f>IFERROR(IF(J1313/P1313&gt;1,P1313,J1313),0)</f>
        <v/>
      </c>
      <c r="L1313" s="36" t="n">
        <v>828</v>
      </c>
      <c r="M1313" s="21">
        <f>L1313*H1313</f>
        <v/>
      </c>
      <c r="N1313" s="21">
        <f>IFERROR(IF(M1313/K1313&gt;1,K1313,M1313),0)</f>
        <v/>
      </c>
      <c r="O1313" s="36" t="n">
        <v>780</v>
      </c>
      <c r="P1313" s="21">
        <f>O1313*H1313</f>
        <v/>
      </c>
      <c r="Q1313" s="30">
        <f>IF(MONTH(E1313+1)=MONTH(E1313+6),MONTH(E1313+1),IF(MIN(EOMONTH(E1313+1,0),E1313+6)-(E1313+1)+1&gt;=3,MONTH(E1313+1),MONTH(E1313+6)))</f>
        <v/>
      </c>
      <c r="R1313" s="22">
        <f>IFERROR(K1313/P1313, 0)</f>
        <v/>
      </c>
      <c r="S1313" s="41">
        <f>IFERROR(N1313/P1313,0)</f>
        <v/>
      </c>
      <c r="T1313" s="31">
        <f>IFERROR(IF(N1313&gt;0,(N1313/K1313),MIN(1,M1313/J1313)),0)</f>
        <v/>
      </c>
    </row>
    <row r="1314">
      <c r="A1314" s="18" t="inlineStr">
        <is>
          <t>Semana 5 - Julho</t>
        </is>
      </c>
      <c r="B1314" s="27">
        <f>YEAR(E1314)</f>
        <v/>
      </c>
      <c r="C1314" s="18">
        <f>INDEX({"Janeiro";"Fevereiro";"Março";"Abril";"Maio";"Junho";"Julho";"Agosto";"Setembro";"Outubro";"Novembro";"Dezembro"},Q1314)</f>
        <v/>
      </c>
      <c r="D1314" s="19" t="n">
        <v>5</v>
      </c>
      <c r="E1314" s="20" t="n">
        <v>46230</v>
      </c>
      <c r="F1314" s="23" t="inlineStr">
        <is>
          <t>Iogurte Salada 900g</t>
        </is>
      </c>
      <c r="G1314" s="23" t="inlineStr">
        <is>
          <t>IOGURTE</t>
        </is>
      </c>
      <c r="H1314" s="34" t="n">
        <v>0.9</v>
      </c>
      <c r="I1314" s="36" t="n">
        <v>1890</v>
      </c>
      <c r="J1314" s="21">
        <f>I1314*H1314</f>
        <v/>
      </c>
      <c r="K1314" s="21">
        <f>IFERROR(IF(J1314/P1314&gt;1,P1314,J1314),0)</f>
        <v/>
      </c>
      <c r="L1314" s="36" t="n">
        <v>1980</v>
      </c>
      <c r="M1314" s="21">
        <f>L1314*H1314</f>
        <v/>
      </c>
      <c r="N1314" s="21">
        <f>IFERROR(IF(M1314/K1314&gt;1,K1314,M1314),0)</f>
        <v/>
      </c>
      <c r="O1314" s="36" t="n">
        <v>1800</v>
      </c>
      <c r="P1314" s="21">
        <f>O1314*H1314</f>
        <v/>
      </c>
      <c r="Q1314" s="30">
        <f>IF(MONTH(E1314+1)=MONTH(E1314+6),MONTH(E1314+1),IF(MIN(EOMONTH(E1314+1,0),E1314+6)-(E1314+1)+1&gt;=3,MONTH(E1314+1),MONTH(E1314+6)))</f>
        <v/>
      </c>
      <c r="R1314" s="22">
        <f>IFERROR(K1314/P1314, 0)</f>
        <v/>
      </c>
      <c r="S1314" s="41">
        <f>IFERROR(N1314/P1314,0)</f>
        <v/>
      </c>
      <c r="T1314" s="31">
        <f>IFERROR(IF(N1314&gt;0,(N1314/K1314),MIN(1,M1314/J1314)),0)</f>
        <v/>
      </c>
    </row>
    <row r="1315">
      <c r="A1315" s="18" t="inlineStr">
        <is>
          <t>Semana 5 - Julho</t>
        </is>
      </c>
      <c r="B1315" s="27">
        <f>YEAR(E1315)</f>
        <v/>
      </c>
      <c r="C1315" s="18">
        <f>INDEX({"Janeiro";"Fevereiro";"Março";"Abril";"Maio";"Junho";"Julho";"Agosto";"Setembro";"Outubro";"Novembro";"Dezembro"},Q1315)</f>
        <v/>
      </c>
      <c r="D1315" s="19" t="n">
        <v>5</v>
      </c>
      <c r="E1315" s="20" t="n">
        <v>46230</v>
      </c>
      <c r="F1315" s="23" t="inlineStr">
        <is>
          <t>Iogurte Abacaxi c/ Coco 120g</t>
        </is>
      </c>
      <c r="G1315" s="23" t="inlineStr">
        <is>
          <t>IOGURTE</t>
        </is>
      </c>
      <c r="H1315" s="34" t="n">
        <v>0.12</v>
      </c>
      <c r="I1315" s="36" t="n">
        <v>1000</v>
      </c>
      <c r="J1315" s="21">
        <f>I1315*H1315</f>
        <v/>
      </c>
      <c r="K1315" s="21">
        <f>IFERROR(IF(J1315/P1315&gt;1,P1315,J1315),0)</f>
        <v/>
      </c>
      <c r="L1315" s="36" t="n">
        <v>1237</v>
      </c>
      <c r="M1315" s="21">
        <f>L1315*H1315</f>
        <v/>
      </c>
      <c r="N1315" s="21">
        <f>IFERROR(IF(M1315/K1315&gt;1,K1315,M1315),0)</f>
        <v/>
      </c>
      <c r="O1315" s="36" t="n">
        <v>1000</v>
      </c>
      <c r="P1315" s="21">
        <f>O1315*H1315</f>
        <v/>
      </c>
      <c r="Q1315" s="30">
        <f>IF(MONTH(E1315+1)=MONTH(E1315+6),MONTH(E1315+1),IF(MIN(EOMONTH(E1315+1,0),E1315+6)-(E1315+1)+1&gt;=3,MONTH(E1315+1),MONTH(E1315+6)))</f>
        <v/>
      </c>
      <c r="R1315" s="22">
        <f>IFERROR(K1315/P1315, 0)</f>
        <v/>
      </c>
      <c r="S1315" s="41">
        <f>IFERROR(N1315/P1315,0)</f>
        <v/>
      </c>
      <c r="T1315" s="31">
        <f>IFERROR(IF(N1315&gt;0,(N1315/K1315),MIN(1,M1315/J1315)),0)</f>
        <v/>
      </c>
    </row>
    <row r="1316">
      <c r="A1316" s="18" t="inlineStr">
        <is>
          <t>Semana 5 - Julho</t>
        </is>
      </c>
      <c r="B1316" s="27">
        <f>YEAR(E1316)</f>
        <v/>
      </c>
      <c r="C1316" s="18">
        <f>INDEX({"Janeiro";"Fevereiro";"Março";"Abril";"Maio";"Junho";"Julho";"Agosto";"Setembro";"Outubro";"Novembro";"Dezembro"},Q1316)</f>
        <v/>
      </c>
      <c r="D1316" s="19" t="n">
        <v>5</v>
      </c>
      <c r="E1316" s="20" t="n">
        <v>46230</v>
      </c>
      <c r="F1316" s="23" t="inlineStr">
        <is>
          <t>Iogurte Abacaxi c/ Coco 185g</t>
        </is>
      </c>
      <c r="G1316" s="23" t="inlineStr">
        <is>
          <t>IOGURTE</t>
        </is>
      </c>
      <c r="H1316" s="34" t="n">
        <v>0.185</v>
      </c>
      <c r="I1316" s="36" t="n">
        <v>260</v>
      </c>
      <c r="J1316" s="21">
        <f>I1316*H1316</f>
        <v/>
      </c>
      <c r="K1316" s="21">
        <f>IFERROR(IF(J1316/P1316&gt;1,P1316,J1316),0)</f>
        <v/>
      </c>
      <c r="L1316" s="36" t="n">
        <v>247</v>
      </c>
      <c r="M1316" s="21">
        <f>L1316*H1316</f>
        <v/>
      </c>
      <c r="N1316" s="21">
        <f>IFERROR(IF(M1316/K1316&gt;1,K1316,M1316),0)</f>
        <v/>
      </c>
      <c r="O1316" s="36" t="n">
        <v>260</v>
      </c>
      <c r="P1316" s="21">
        <f>O1316*H1316</f>
        <v/>
      </c>
      <c r="Q1316" s="30">
        <f>IF(MONTH(E1316+1)=MONTH(E1316+6),MONTH(E1316+1),IF(MIN(EOMONTH(E1316+1,0),E1316+6)-(E1316+1)+1&gt;=3,MONTH(E1316+1),MONTH(E1316+6)))</f>
        <v/>
      </c>
      <c r="R1316" s="22">
        <f>IFERROR(K1316/P1316, 0)</f>
        <v/>
      </c>
      <c r="S1316" s="41">
        <f>IFERROR(N1316/P1316,0)</f>
        <v/>
      </c>
      <c r="T1316" s="31">
        <f>IFERROR(IF(N1316&gt;0,(N1316/K1316),MIN(1,M1316/J1316)),0)</f>
        <v/>
      </c>
    </row>
    <row r="1317">
      <c r="A1317" s="18" t="inlineStr">
        <is>
          <t>Semana 5 - Julho</t>
        </is>
      </c>
      <c r="B1317" s="27">
        <f>YEAR(E1317)</f>
        <v/>
      </c>
      <c r="C1317" s="18">
        <f>INDEX({"Janeiro";"Fevereiro";"Março";"Abril";"Maio";"Junho";"Julho";"Agosto";"Setembro";"Outubro";"Novembro";"Dezembro"},Q1317)</f>
        <v/>
      </c>
      <c r="D1317" s="19" t="n">
        <v>5</v>
      </c>
      <c r="E1317" s="20" t="n">
        <v>46230</v>
      </c>
      <c r="F1317" s="23" t="inlineStr">
        <is>
          <t>Iogurte Abacaxi c/ Coco 900g</t>
        </is>
      </c>
      <c r="G1317" s="23" t="inlineStr">
        <is>
          <t>IOGURTE</t>
        </is>
      </c>
      <c r="H1317" s="34" t="n">
        <v>0.9</v>
      </c>
      <c r="I1317" s="36" t="n">
        <v>1530</v>
      </c>
      <c r="J1317" s="21">
        <f>I1317*H1317</f>
        <v/>
      </c>
      <c r="K1317" s="21">
        <f>IFERROR(IF(J1317/P1317&gt;1,P1317,J1317),0)</f>
        <v/>
      </c>
      <c r="L1317" s="36" t="n">
        <v>1423</v>
      </c>
      <c r="M1317" s="21">
        <f>L1317*H1317</f>
        <v/>
      </c>
      <c r="N1317" s="21">
        <f>IFERROR(IF(M1317/K1317&gt;1,K1317,M1317),0)</f>
        <v/>
      </c>
      <c r="O1317" s="36" t="n">
        <v>1500</v>
      </c>
      <c r="P1317" s="21">
        <f>O1317*H1317</f>
        <v/>
      </c>
      <c r="Q1317" s="30">
        <f>IF(MONTH(E1317+1)=MONTH(E1317+6),MONTH(E1317+1),IF(MIN(EOMONTH(E1317+1,0),E1317+6)-(E1317+1)+1&gt;=3,MONTH(E1317+1),MONTH(E1317+6)))</f>
        <v/>
      </c>
      <c r="R1317" s="22">
        <f>IFERROR(K1317/P1317, 0)</f>
        <v/>
      </c>
      <c r="S1317" s="41">
        <f>IFERROR(N1317/P1317,0)</f>
        <v/>
      </c>
      <c r="T1317" s="31">
        <f>IFERROR(IF(N1317&gt;0,(N1317/K1317),MIN(1,M1317/J1317)),0)</f>
        <v/>
      </c>
    </row>
    <row r="1318">
      <c r="A1318" s="18" t="inlineStr">
        <is>
          <t>Semana 5 - Julho</t>
        </is>
      </c>
      <c r="B1318" s="27">
        <f>YEAR(E1318)</f>
        <v/>
      </c>
      <c r="C1318" s="18">
        <f>INDEX({"Janeiro";"Fevereiro";"Março";"Abril";"Maio";"Junho";"Julho";"Agosto";"Setembro";"Outubro";"Novembro";"Dezembro"},Q1318)</f>
        <v/>
      </c>
      <c r="D1318" s="19" t="n">
        <v>5</v>
      </c>
      <c r="E1318" s="20" t="n">
        <v>46230</v>
      </c>
      <c r="F1318" s="23" t="inlineStr">
        <is>
          <t>Iogurte Natural Integral 170g</t>
        </is>
      </c>
      <c r="G1318" s="23" t="inlineStr">
        <is>
          <t>IOGURTE</t>
        </is>
      </c>
      <c r="H1318" s="34" t="n">
        <v>0.17</v>
      </c>
      <c r="I1318" s="36" t="n">
        <v>3820</v>
      </c>
      <c r="J1318" s="21">
        <f>I1318*H1318</f>
        <v/>
      </c>
      <c r="K1318" s="21">
        <f>IFERROR(IF(J1318/P1318&gt;1,P1318,J1318),0)</f>
        <v/>
      </c>
      <c r="L1318" s="36" t="n">
        <v>3631</v>
      </c>
      <c r="M1318" s="21">
        <f>L1318*H1318</f>
        <v/>
      </c>
      <c r="N1318" s="21">
        <f>IFERROR(IF(M1318/K1318&gt;1,K1318,M1318),0)</f>
        <v/>
      </c>
      <c r="O1318" s="36" t="n">
        <v>3800</v>
      </c>
      <c r="P1318" s="21">
        <f>O1318*H1318</f>
        <v/>
      </c>
      <c r="Q1318" s="30">
        <f>IF(MONTH(E1318+1)=MONTH(E1318+6),MONTH(E1318+1),IF(MIN(EOMONTH(E1318+1,0),E1318+6)-(E1318+1)+1&gt;=3,MONTH(E1318+1),MONTH(E1318+6)))</f>
        <v/>
      </c>
      <c r="R1318" s="22">
        <f>IFERROR(K1318/P1318, 0)</f>
        <v/>
      </c>
      <c r="S1318" s="41">
        <f>IFERROR(N1318/P1318,0)</f>
        <v/>
      </c>
      <c r="T1318" s="31">
        <f>IFERROR(IF(N1318&gt;0,(N1318/K1318),MIN(1,M1318/J1318)),0)</f>
        <v/>
      </c>
    </row>
    <row r="1319">
      <c r="A1319" s="18" t="inlineStr">
        <is>
          <t>Semana 5 - Julho</t>
        </is>
      </c>
      <c r="B1319" s="27">
        <f>YEAR(E1319)</f>
        <v/>
      </c>
      <c r="C1319" s="18">
        <f>INDEX({"Janeiro";"Fevereiro";"Março";"Abril";"Maio";"Junho";"Julho";"Agosto";"Setembro";"Outubro";"Novembro";"Dezembro"},Q1319)</f>
        <v/>
      </c>
      <c r="D1319" s="19" t="n">
        <v>5</v>
      </c>
      <c r="E1319" s="20" t="n">
        <v>46230</v>
      </c>
      <c r="F1319" s="23" t="inlineStr">
        <is>
          <t>Manteiga 200g</t>
        </is>
      </c>
      <c r="G1319" s="23" t="inlineStr">
        <is>
          <t>MANTEIGA</t>
        </is>
      </c>
      <c r="H1319" s="34" t="n">
        <v>0.2</v>
      </c>
      <c r="I1319" s="36" t="n">
        <v>5500</v>
      </c>
      <c r="J1319" s="21">
        <f>I1319*H1319</f>
        <v/>
      </c>
      <c r="K1319" s="21">
        <f>IFERROR(IF(J1319/P1319&gt;1,P1319,J1319),0)</f>
        <v/>
      </c>
      <c r="L1319" s="36" t="n">
        <v>4622</v>
      </c>
      <c r="M1319" s="21">
        <f>L1319*H1319</f>
        <v/>
      </c>
      <c r="N1319" s="21">
        <f>IFERROR(IF(M1319/K1319&gt;1,K1319,M1319),0)</f>
        <v/>
      </c>
      <c r="O1319" s="36" t="n">
        <v>3750</v>
      </c>
      <c r="P1319" s="21">
        <f>O1319*H1319</f>
        <v/>
      </c>
      <c r="Q1319" s="30">
        <f>IF(MONTH(E1319+1)=MONTH(E1319+6),MONTH(E1319+1),IF(MIN(EOMONTH(E1319+1,0),E1319+6)-(E1319+1)+1&gt;=3,MONTH(E1319+1),MONTH(E1319+6)))</f>
        <v/>
      </c>
      <c r="R1319" s="22">
        <f>IFERROR(K1319/P1319, 0)</f>
        <v/>
      </c>
      <c r="S1319" s="41">
        <f>IFERROR(N1319/P1319,0)</f>
        <v/>
      </c>
      <c r="T1319" s="31">
        <f>IFERROR(IF(N1319&gt;0,(N1319/K1319),MIN(1,M1319/J1319)),0)</f>
        <v/>
      </c>
    </row>
    <row r="1320">
      <c r="A1320" s="18" t="inlineStr">
        <is>
          <t>Semana 5 - Julho</t>
        </is>
      </c>
      <c r="B1320" s="27">
        <f>YEAR(E1320)</f>
        <v/>
      </c>
      <c r="C1320" s="18">
        <f>INDEX({"Janeiro";"Fevereiro";"Março";"Abril";"Maio";"Junho";"Julho";"Agosto";"Setembro";"Outubro";"Novembro";"Dezembro"},Q1320)</f>
        <v/>
      </c>
      <c r="D1320" s="19" t="n">
        <v>5</v>
      </c>
      <c r="E1320" s="20" t="n">
        <v>46230</v>
      </c>
      <c r="F1320" s="23" t="inlineStr">
        <is>
          <t>Manteiga 500g</t>
        </is>
      </c>
      <c r="G1320" s="23" t="inlineStr">
        <is>
          <t>MANTEIGA</t>
        </is>
      </c>
      <c r="H1320" s="34" t="n">
        <v>0.5</v>
      </c>
      <c r="I1320" s="36" t="n">
        <v>2200</v>
      </c>
      <c r="J1320" s="21">
        <f>I1320*H1320</f>
        <v/>
      </c>
      <c r="K1320" s="21">
        <f>IFERROR(IF(J1320/P1320&gt;1,P1320,J1320),0)</f>
        <v/>
      </c>
      <c r="L1320" s="36" t="n">
        <v>1036</v>
      </c>
      <c r="M1320" s="21">
        <f>L1320*H1320</f>
        <v/>
      </c>
      <c r="N1320" s="21">
        <f>IFERROR(IF(M1320/K1320&gt;1,K1320,M1320),0)</f>
        <v/>
      </c>
      <c r="O1320" s="36" t="n">
        <v>550</v>
      </c>
      <c r="P1320" s="21">
        <f>O1320*H1320</f>
        <v/>
      </c>
      <c r="Q1320" s="30">
        <f>IF(MONTH(E1320+1)=MONTH(E1320+6),MONTH(E1320+1),IF(MIN(EOMONTH(E1320+1,0),E1320+6)-(E1320+1)+1&gt;=3,MONTH(E1320+1),MONTH(E1320+6)))</f>
        <v/>
      </c>
      <c r="R1320" s="22">
        <f>IFERROR(K1320/P1320, 0)</f>
        <v/>
      </c>
      <c r="S1320" s="41">
        <f>IFERROR(N1320/P1320,0)</f>
        <v/>
      </c>
      <c r="T1320" s="31">
        <f>IFERROR(IF(N1320&gt;0,(N1320/K1320),MIN(1,M1320/J1320)),0)</f>
        <v/>
      </c>
    </row>
    <row r="1321">
      <c r="A1321" s="18" t="inlineStr">
        <is>
          <t>Semana 5 - Julho</t>
        </is>
      </c>
      <c r="B1321" s="27">
        <f>YEAR(E1321)</f>
        <v/>
      </c>
      <c r="C1321" s="18">
        <f>INDEX({"Janeiro";"Fevereiro";"Março";"Abril";"Maio";"Junho";"Julho";"Agosto";"Setembro";"Outubro";"Novembro";"Dezembro"},Q1321)</f>
        <v/>
      </c>
      <c r="D1321" s="19" t="n">
        <v>5</v>
      </c>
      <c r="E1321" s="20" t="n">
        <v>46230</v>
      </c>
      <c r="F1321" s="23" t="inlineStr">
        <is>
          <t>REQUEIJÃO VIÇOSA 200g</t>
        </is>
      </c>
      <c r="G1321" s="23" t="inlineStr">
        <is>
          <t>REQUEIJÃO</t>
        </is>
      </c>
      <c r="H1321" s="34" t="n">
        <v>0.2</v>
      </c>
      <c r="I1321" s="36" t="n">
        <v>2800</v>
      </c>
      <c r="J1321" s="21">
        <f>I1321*H1321</f>
        <v/>
      </c>
      <c r="K1321" s="21">
        <f>IFERROR(IF(J1321/P1321&gt;1,P1321,J1321),0)</f>
        <v/>
      </c>
      <c r="L1321" s="36" t="n">
        <v>1007</v>
      </c>
      <c r="M1321" s="21">
        <f>L1321*H1321</f>
        <v/>
      </c>
      <c r="N1321" s="21">
        <f>IFERROR(IF(M1321/K1321&gt;1,K1321,M1321),0)</f>
        <v/>
      </c>
      <c r="O1321" s="36" t="n">
        <v>2800</v>
      </c>
      <c r="P1321" s="21">
        <f>O1321*H1321</f>
        <v/>
      </c>
      <c r="Q1321" s="30">
        <f>IF(MONTH(E1321+1)=MONTH(E1321+6),MONTH(E1321+1),IF(MIN(EOMONTH(E1321+1,0),E1321+6)-(E1321+1)+1&gt;=3,MONTH(E1321+1),MONTH(E1321+6)))</f>
        <v/>
      </c>
      <c r="R1321" s="22">
        <f>IFERROR(K1321/P1321, 0)</f>
        <v/>
      </c>
      <c r="S1321" s="41">
        <f>IFERROR(N1321/P1321,0)</f>
        <v/>
      </c>
      <c r="T1321" s="31">
        <f>IFERROR(IF(N1321&gt;0,(N1321/K1321),MIN(1,M1321/J1321)),0)</f>
        <v/>
      </c>
    </row>
    <row r="1322">
      <c r="A1322" s="18" t="inlineStr">
        <is>
          <t>Semana 5 - Julho</t>
        </is>
      </c>
      <c r="B1322" s="27">
        <f>YEAR(E1322)</f>
        <v/>
      </c>
      <c r="C1322" s="18">
        <f>INDEX({"Janeiro";"Fevereiro";"Março";"Abril";"Maio";"Junho";"Julho";"Agosto";"Setembro";"Outubro";"Novembro";"Dezembro"},Q1322)</f>
        <v/>
      </c>
      <c r="D1322" s="19" t="n">
        <v>5</v>
      </c>
      <c r="E1322" s="20" t="n">
        <v>46230</v>
      </c>
      <c r="F1322" s="23" t="inlineStr">
        <is>
          <t>Requeijão Light 200g</t>
        </is>
      </c>
      <c r="G1322" s="23" t="inlineStr">
        <is>
          <t>REQUEIJÃO</t>
        </is>
      </c>
      <c r="H1322" s="34" t="n">
        <v>0.2</v>
      </c>
      <c r="I1322" s="36" t="n">
        <v>1600</v>
      </c>
      <c r="J1322" s="21">
        <f>I1322*H1322</f>
        <v/>
      </c>
      <c r="K1322" s="21">
        <f>IFERROR(IF(J1322/P1322&gt;1,P1322,J1322),0)</f>
        <v/>
      </c>
      <c r="L1322" s="36" t="n">
        <v>1268</v>
      </c>
      <c r="M1322" s="21">
        <f>L1322*H1322</f>
        <v/>
      </c>
      <c r="N1322" s="21">
        <f>IFERROR(IF(M1322/K1322&gt;1,K1322,M1322),0)</f>
        <v/>
      </c>
      <c r="O1322" s="36" t="n">
        <v>1200</v>
      </c>
      <c r="P1322" s="21">
        <f>O1322*H1322</f>
        <v/>
      </c>
      <c r="Q1322" s="30">
        <f>IF(MONTH(E1322+1)=MONTH(E1322+6),MONTH(E1322+1),IF(MIN(EOMONTH(E1322+1,0),E1322+6)-(E1322+1)+1&gt;=3,MONTH(E1322+1),MONTH(E1322+6)))</f>
        <v/>
      </c>
      <c r="R1322" s="22">
        <f>IFERROR(K1322/P1322, 0)</f>
        <v/>
      </c>
      <c r="S1322" s="41">
        <f>IFERROR(N1322/P1322,0)</f>
        <v/>
      </c>
      <c r="T1322" s="31">
        <f>IFERROR(IF(N1322&gt;0,(N1322/K1322),MIN(1,M1322/J1322)),0)</f>
        <v/>
      </c>
    </row>
    <row r="1323">
      <c r="A1323" s="18" t="inlineStr">
        <is>
          <t>Semana 5 - Julho</t>
        </is>
      </c>
      <c r="B1323" s="27">
        <f>YEAR(E1323)</f>
        <v/>
      </c>
      <c r="C1323" s="18">
        <f>INDEX({"Janeiro";"Fevereiro";"Março";"Abril";"Maio";"Junho";"Julho";"Agosto";"Setembro";"Outubro";"Novembro";"Dezembro"},Q1323)</f>
        <v/>
      </c>
      <c r="D1323" s="19" t="n">
        <v>5</v>
      </c>
      <c r="E1323" s="20" t="n">
        <v>46230</v>
      </c>
      <c r="F1323" s="23" t="inlineStr">
        <is>
          <t>REQUEIJÃO VIÇOSA 400g</t>
        </is>
      </c>
      <c r="G1323" s="23" t="inlineStr">
        <is>
          <t>REQUEIJÃO</t>
        </is>
      </c>
      <c r="H1323" s="34" t="n">
        <v>0.4</v>
      </c>
      <c r="I1323" s="36" t="n">
        <v>1800</v>
      </c>
      <c r="J1323" s="21">
        <f>I1323*H1323</f>
        <v/>
      </c>
      <c r="K1323" s="21">
        <f>IFERROR(IF(J1323/P1323&gt;1,P1323,J1323),0)</f>
        <v/>
      </c>
      <c r="L1323" s="36" t="n">
        <v>0</v>
      </c>
      <c r="M1323" s="21">
        <f>L1323*H1323</f>
        <v/>
      </c>
      <c r="N1323" s="21">
        <f>IFERROR(IF(M1323/K1323&gt;1,K1323,M1323),0)</f>
        <v/>
      </c>
      <c r="O1323" s="36" t="n">
        <v>1200</v>
      </c>
      <c r="P1323" s="21">
        <f>O1323*H1323</f>
        <v/>
      </c>
      <c r="Q1323" s="30">
        <f>IF(MONTH(E1323+1)=MONTH(E1323+6),MONTH(E1323+1),IF(MIN(EOMONTH(E1323+1,0),E1323+6)-(E1323+1)+1&gt;=3,MONTH(E1323+1),MONTH(E1323+6)))</f>
        <v/>
      </c>
      <c r="R1323" s="22">
        <f>IFERROR(K1323/P1323, 0)</f>
        <v/>
      </c>
      <c r="S1323" s="41">
        <f>IFERROR(N1323/P1323,0)</f>
        <v/>
      </c>
      <c r="T1323" s="31">
        <f>IFERROR(IF(N1323&gt;0,(N1323/K1323),MIN(1,M1323/J1323)),0)</f>
        <v/>
      </c>
    </row>
    <row r="1324">
      <c r="A1324" s="18" t="inlineStr">
        <is>
          <t>Semana 5 - Julho</t>
        </is>
      </c>
      <c r="B1324" s="27">
        <f>YEAR(E1324)</f>
        <v/>
      </c>
      <c r="C1324" s="18">
        <f>INDEX({"Janeiro";"Fevereiro";"Março";"Abril";"Maio";"Junho";"Julho";"Agosto";"Setembro";"Outubro";"Novembro";"Dezembro"},Q1324)</f>
        <v/>
      </c>
      <c r="D1324" s="19" t="n">
        <v>5</v>
      </c>
      <c r="E1324" s="20" t="n">
        <v>46230</v>
      </c>
      <c r="F1324" s="23" t="inlineStr">
        <is>
          <t>QUEIJO MINAS MEIA CURA (FRACIONADO)</t>
        </is>
      </c>
      <c r="G1324" s="23" t="inlineStr">
        <is>
          <t>QUEIJO</t>
        </is>
      </c>
      <c r="H1324" s="34" t="n">
        <v>1</v>
      </c>
      <c r="I1324" s="36" t="n">
        <v>200</v>
      </c>
      <c r="J1324" s="21">
        <f>I1324*H1324</f>
        <v/>
      </c>
      <c r="K1324" s="21">
        <f>IFERROR(IF(J1324/P1324&gt;1,P1324,J1324),0)</f>
        <v/>
      </c>
      <c r="L1324" s="36" t="n">
        <v>0</v>
      </c>
      <c r="M1324" s="21">
        <f>L1324*H1324</f>
        <v/>
      </c>
      <c r="N1324" s="21">
        <f>IFERROR(IF(M1324/K1324&gt;1,K1324,M1324),0)</f>
        <v/>
      </c>
      <c r="O1324" s="36" t="n">
        <v>200</v>
      </c>
      <c r="P1324" s="21">
        <f>O1324*H1324</f>
        <v/>
      </c>
      <c r="Q1324" s="30">
        <f>IF(MONTH(E1324+1)=MONTH(E1324+6),MONTH(E1324+1),IF(MIN(EOMONTH(E1324+1,0),E1324+6)-(E1324+1)+1&gt;=3,MONTH(E1324+1),MONTH(E1324+6)))</f>
        <v/>
      </c>
      <c r="R1324" s="22">
        <f>IFERROR(K1324/P1324, 0)</f>
        <v/>
      </c>
      <c r="S1324" s="41">
        <f>IFERROR(N1324/P1324,0)</f>
        <v/>
      </c>
      <c r="T1324" s="31">
        <f>IFERROR(IF(N1324&gt;0,(N1324/K1324),MIN(1,M1324/J1324)),0)</f>
        <v/>
      </c>
    </row>
    <row r="1325">
      <c r="A1325" s="18" t="inlineStr">
        <is>
          <t>Semana 5 - Julho</t>
        </is>
      </c>
      <c r="B1325" s="27">
        <f>YEAR(E1325)</f>
        <v/>
      </c>
      <c r="C1325" s="18">
        <f>INDEX({"Janeiro";"Fevereiro";"Março";"Abril";"Maio";"Junho";"Julho";"Agosto";"Setembro";"Outubro";"Novembro";"Dezembro"},Q1325)</f>
        <v/>
      </c>
      <c r="D1325" s="19" t="n">
        <v>5</v>
      </c>
      <c r="E1325" s="20" t="n">
        <v>46230</v>
      </c>
      <c r="F1325" s="23" t="inlineStr">
        <is>
          <t>QUEIJO MINAS PADRÃO (MEIA LUA)</t>
        </is>
      </c>
      <c r="G1325" s="23" t="inlineStr">
        <is>
          <t>QUEIJO</t>
        </is>
      </c>
      <c r="H1325" s="34" t="n">
        <v>1</v>
      </c>
      <c r="I1325" s="36" t="n">
        <v>500</v>
      </c>
      <c r="J1325" s="21">
        <f>I1325*H1325</f>
        <v/>
      </c>
      <c r="K1325" s="21">
        <f>IFERROR(IF(J1325/P1325&gt;1,P1325,J1325),0)</f>
        <v/>
      </c>
      <c r="L1325" s="36" t="n">
        <v>0</v>
      </c>
      <c r="M1325" s="21">
        <f>L1325*H1325</f>
        <v/>
      </c>
      <c r="N1325" s="21">
        <f>IFERROR(IF(M1325/K1325&gt;1,K1325,M1325),0)</f>
        <v/>
      </c>
      <c r="O1325" s="36" t="n">
        <v>400</v>
      </c>
      <c r="P1325" s="21">
        <f>O1325*H1325</f>
        <v/>
      </c>
      <c r="Q1325" s="30">
        <f>IF(MONTH(E1325+1)=MONTH(E1325+6),MONTH(E1325+1),IF(MIN(EOMONTH(E1325+1,0),E1325+6)-(E1325+1)+1&gt;=3,MONTH(E1325+1),MONTH(E1325+6)))</f>
        <v/>
      </c>
      <c r="R1325" s="22">
        <f>IFERROR(K1325/P1325, 0)</f>
        <v/>
      </c>
      <c r="S1325" s="41">
        <f>IFERROR(N1325/P1325,0)</f>
        <v/>
      </c>
      <c r="T1325" s="31">
        <f>IFERROR(IF(N1325&gt;0,(N1325/K1325),MIN(1,M1325/J1325)),0)</f>
        <v/>
      </c>
    </row>
    <row r="1326">
      <c r="A1326" s="18" t="inlineStr">
        <is>
          <t>Semana 5 - Julho</t>
        </is>
      </c>
      <c r="B1326" s="27">
        <f>YEAR(E1326)</f>
        <v/>
      </c>
      <c r="C1326" s="18">
        <f>INDEX({"Janeiro";"Fevereiro";"Março";"Abril";"Maio";"Junho";"Julho";"Agosto";"Setembro";"Outubro";"Novembro";"Dezembro"},Q1326)</f>
        <v/>
      </c>
      <c r="D1326" s="19" t="n">
        <v>5</v>
      </c>
      <c r="E1326" s="20" t="n">
        <v>46230</v>
      </c>
      <c r="F1326" s="23" t="inlineStr">
        <is>
          <t>QUEIJO MUSSARELA 3KG</t>
        </is>
      </c>
      <c r="G1326" s="23" t="inlineStr">
        <is>
          <t>QUEIJO</t>
        </is>
      </c>
      <c r="H1326" s="34" t="n">
        <v>1</v>
      </c>
      <c r="I1326" s="36" t="n">
        <v>800</v>
      </c>
      <c r="J1326" s="21">
        <f>I1326*H1326</f>
        <v/>
      </c>
      <c r="K1326" s="21">
        <f>IFERROR(IF(J1326/P1326&gt;1,P1326,J1326),0)</f>
        <v/>
      </c>
      <c r="L1326" s="36" t="n">
        <v>800</v>
      </c>
      <c r="M1326" s="21">
        <f>L1326*H1326</f>
        <v/>
      </c>
      <c r="N1326" s="21">
        <f>IFERROR(IF(M1326/K1326&gt;1,K1326,M1326),0)</f>
        <v/>
      </c>
      <c r="O1326" s="36" t="n">
        <v>1000</v>
      </c>
      <c r="P1326" s="21">
        <f>O1326*H1326</f>
        <v/>
      </c>
      <c r="Q1326" s="30">
        <f>IF(MONTH(E1326+1)=MONTH(E1326+6),MONTH(E1326+1),IF(MIN(EOMONTH(E1326+1,0),E1326+6)-(E1326+1)+1&gt;=3,MONTH(E1326+1),MONTH(E1326+6)))</f>
        <v/>
      </c>
      <c r="R1326" s="22">
        <f>IFERROR(K1326/P1326, 0)</f>
        <v/>
      </c>
      <c r="S1326" s="41">
        <f>IFERROR(N1326/P1326,0)</f>
        <v/>
      </c>
      <c r="T1326" s="31">
        <f>IFERROR(IF(N1326&gt;0,(N1326/K1326),MIN(1,M1326/J1326)),0)</f>
        <v/>
      </c>
    </row>
    <row r="1327">
      <c r="A1327" s="18" t="inlineStr">
        <is>
          <t>Semana 5 - Julho</t>
        </is>
      </c>
      <c r="B1327" s="27">
        <f>YEAR(E1327)</f>
        <v/>
      </c>
      <c r="C1327" s="18">
        <f>INDEX({"Janeiro";"Fevereiro";"Março";"Abril";"Maio";"Junho";"Julho";"Agosto";"Setembro";"Outubro";"Novembro";"Dezembro"},Q1327)</f>
        <v/>
      </c>
      <c r="D1327" s="19" t="n">
        <v>5</v>
      </c>
      <c r="E1327" s="20" t="n">
        <v>46230</v>
      </c>
      <c r="F1327" s="23" t="inlineStr">
        <is>
          <t>QUEIJO MUSSARELA LANCHE</t>
        </is>
      </c>
      <c r="G1327" s="23" t="inlineStr">
        <is>
          <t>QUEIJO</t>
        </is>
      </c>
      <c r="H1327" s="34" t="n">
        <v>1</v>
      </c>
      <c r="I1327" s="36" t="n">
        <v>200</v>
      </c>
      <c r="J1327" s="21">
        <f>I1327*H1327</f>
        <v/>
      </c>
      <c r="K1327" s="21">
        <f>IFERROR(IF(J1327/P1327&gt;1,P1327,J1327),0)</f>
        <v/>
      </c>
      <c r="L1327" s="36" t="n">
        <v>200</v>
      </c>
      <c r="M1327" s="21">
        <f>L1327*H1327</f>
        <v/>
      </c>
      <c r="N1327" s="21">
        <f>IFERROR(IF(M1327/K1327&gt;1,K1327,M1327),0)</f>
        <v/>
      </c>
      <c r="O1327" s="36" t="n">
        <v>200</v>
      </c>
      <c r="P1327" s="21">
        <f>O1327*H1327</f>
        <v/>
      </c>
      <c r="Q1327" s="30">
        <f>IF(MONTH(E1327+1)=MONTH(E1327+6),MONTH(E1327+1),IF(MIN(EOMONTH(E1327+1,0),E1327+6)-(E1327+1)+1&gt;=3,MONTH(E1327+1),MONTH(E1327+6)))</f>
        <v/>
      </c>
      <c r="R1327" s="22">
        <f>IFERROR(K1327/P1327, 0)</f>
        <v/>
      </c>
      <c r="S1327" s="41">
        <f>IFERROR(N1327/P1327,0)</f>
        <v/>
      </c>
      <c r="T1327" s="31">
        <f>IFERROR(IF(N1327&gt;0,(N1327/K1327),MIN(1,M1327/J1327)),0)</f>
        <v/>
      </c>
    </row>
    <row r="1328">
      <c r="A1328" s="18" t="inlineStr">
        <is>
          <t>Semana 5 - Julho</t>
        </is>
      </c>
      <c r="B1328" s="27">
        <f>YEAR(E1328)</f>
        <v/>
      </c>
      <c r="C1328" s="18">
        <f>INDEX({"Janeiro";"Fevereiro";"Março";"Abril";"Maio";"Junho";"Julho";"Agosto";"Setembro";"Outubro";"Novembro";"Dezembro"},Q1328)</f>
        <v/>
      </c>
      <c r="D1328" s="19" t="n">
        <v>5</v>
      </c>
      <c r="E1328" s="20" t="n">
        <v>46230</v>
      </c>
      <c r="F1328" s="23" t="inlineStr">
        <is>
          <t>LEITE PASTEURIZADO VIÇOSA DESNATADO</t>
        </is>
      </c>
      <c r="G1328" s="23" t="inlineStr">
        <is>
          <t>LEITE PAST.</t>
        </is>
      </c>
      <c r="H1328" s="34" t="n">
        <v>1</v>
      </c>
      <c r="I1328" s="36" t="n">
        <v>850</v>
      </c>
      <c r="J1328" s="21">
        <f>I1328*H1328</f>
        <v/>
      </c>
      <c r="K1328" s="21">
        <f>IFERROR(IF(J1328/P1328&gt;1,P1328,J1328),0)</f>
        <v/>
      </c>
      <c r="L1328" s="36" t="n">
        <v>919</v>
      </c>
      <c r="M1328" s="21">
        <f>L1328*H1328</f>
        <v/>
      </c>
      <c r="N1328" s="21">
        <f>IFERROR(IF(M1328/K1328&gt;1,K1328,M1328),0)</f>
        <v/>
      </c>
      <c r="O1328" s="36" t="n">
        <v>850</v>
      </c>
      <c r="P1328" s="21">
        <f>O1328*H1328</f>
        <v/>
      </c>
      <c r="Q1328" s="30">
        <f>IF(MONTH(E1328+1)=MONTH(E1328+6),MONTH(E1328+1),IF(MIN(EOMONTH(E1328+1,0),E1328+6)-(E1328+1)+1&gt;=3,MONTH(E1328+1),MONTH(E1328+6)))</f>
        <v/>
      </c>
      <c r="R1328" s="22">
        <f>IFERROR(K1328/P1328, 0)</f>
        <v/>
      </c>
      <c r="S1328" s="41">
        <f>IFERROR(N1328/P1328,0)</f>
        <v/>
      </c>
      <c r="T1328" s="31">
        <f>IFERROR(IF(N1328&gt;0,(N1328/K1328),MIN(1,M1328/J1328)),0)</f>
        <v/>
      </c>
    </row>
    <row r="1329">
      <c r="A1329" s="18" t="inlineStr">
        <is>
          <t>Semana 5 - Julho</t>
        </is>
      </c>
      <c r="B1329" s="27">
        <f>YEAR(E1329)</f>
        <v/>
      </c>
      <c r="C1329" s="18">
        <f>INDEX({"Janeiro";"Fevereiro";"Março";"Abril";"Maio";"Junho";"Julho";"Agosto";"Setembro";"Outubro";"Novembro";"Dezembro"},Q1329)</f>
        <v/>
      </c>
      <c r="D1329" s="19" t="n">
        <v>5</v>
      </c>
      <c r="E1329" s="20" t="n">
        <v>46230</v>
      </c>
      <c r="F1329" s="23" t="inlineStr">
        <is>
          <t>LEITE PASTEURIZADO VIÇOSA INTEGRAL</t>
        </is>
      </c>
      <c r="G1329" s="23" t="inlineStr">
        <is>
          <t>LEITE PAST.</t>
        </is>
      </c>
      <c r="H1329" s="34" t="n">
        <v>1</v>
      </c>
      <c r="I1329" s="36" t="n">
        <v>24980</v>
      </c>
      <c r="J1329" s="21">
        <f>I1329*H1329</f>
        <v/>
      </c>
      <c r="K1329" s="21">
        <f>IFERROR(IF(J1329/P1329&gt;1,P1329,J1329),0)</f>
        <v/>
      </c>
      <c r="L1329" s="36" t="n">
        <v>25906</v>
      </c>
      <c r="M1329" s="21">
        <f>L1329*H1329</f>
        <v/>
      </c>
      <c r="N1329" s="21">
        <f>IFERROR(IF(M1329/K1329&gt;1,K1329,M1329),0)</f>
        <v/>
      </c>
      <c r="O1329" s="36" t="n">
        <v>24980</v>
      </c>
      <c r="P1329" s="21">
        <f>O1329*H1329</f>
        <v/>
      </c>
      <c r="Q1329" s="30">
        <f>IF(MONTH(E1329+1)=MONTH(E1329+6),MONTH(E1329+1),IF(MIN(EOMONTH(E1329+1,0),E1329+6)-(E1329+1)+1&gt;=3,MONTH(E1329+1),MONTH(E1329+6)))</f>
        <v/>
      </c>
      <c r="R1329" s="22">
        <f>IFERROR(K1329/P1329, 0)</f>
        <v/>
      </c>
      <c r="S1329" s="41">
        <f>IFERROR(N1329/P1329,0)</f>
        <v/>
      </c>
      <c r="T1329" s="31">
        <f>IFERROR(IF(N1329&gt;0,(N1329/K1329),MIN(1,M1329/J1329)),0)</f>
        <v/>
      </c>
    </row>
    <row r="1330">
      <c r="A1330" s="18" t="inlineStr">
        <is>
          <t>Semana 5 - Julho</t>
        </is>
      </c>
      <c r="B1330" s="27">
        <f>YEAR(E1330)</f>
        <v/>
      </c>
      <c r="C1330" s="18">
        <f>INDEX({"Janeiro";"Fevereiro";"Março";"Abril";"Maio";"Junho";"Julho";"Agosto";"Setembro";"Outubro";"Novembro";"Dezembro"},Q1330)</f>
        <v/>
      </c>
      <c r="D1330" s="19" t="n">
        <v>5</v>
      </c>
      <c r="E1330" s="20" t="n">
        <v>46230</v>
      </c>
      <c r="F1330" s="23" t="inlineStr">
        <is>
          <t>LEITE PASTEURIZADO VIÇOSA ZERO LACTOSE INTEGRAL 1 L</t>
        </is>
      </c>
      <c r="G1330" s="23" t="inlineStr">
        <is>
          <t>LEITE PAST.</t>
        </is>
      </c>
      <c r="H1330" s="34" t="n">
        <v>1</v>
      </c>
      <c r="I1330" s="36" t="n">
        <v>1000</v>
      </c>
      <c r="J1330" s="21">
        <f>I1330*H1330</f>
        <v/>
      </c>
      <c r="K1330" s="21">
        <f>IFERROR(IF(J1330/P1330&gt;1,P1330,J1330),0)</f>
        <v/>
      </c>
      <c r="L1330" s="36" t="n">
        <v>1022</v>
      </c>
      <c r="M1330" s="21">
        <f>L1330*H1330</f>
        <v/>
      </c>
      <c r="N1330" s="21">
        <f>IFERROR(IF(M1330/K1330&gt;1,K1330,M1330),0)</f>
        <v/>
      </c>
      <c r="O1330" s="36" t="n">
        <v>1000</v>
      </c>
      <c r="P1330" s="21">
        <f>O1330*H1330</f>
        <v/>
      </c>
      <c r="Q1330" s="30">
        <f>IF(MONTH(E1330+1)=MONTH(E1330+6),MONTH(E1330+1),IF(MIN(EOMONTH(E1330+1,0),E1330+6)-(E1330+1)+1&gt;=3,MONTH(E1330+1),MONTH(E1330+6)))</f>
        <v/>
      </c>
      <c r="R1330" s="22">
        <f>IFERROR(K1330/P1330, 0)</f>
        <v/>
      </c>
      <c r="S1330" s="41">
        <f>IFERROR(N1330/P1330,0)</f>
        <v/>
      </c>
      <c r="T1330" s="31">
        <f>IFERROR(IF(N1330&gt;0,(N1330/K1330),MIN(1,M1330/J1330)),0)</f>
        <v/>
      </c>
    </row>
  </sheetData>
  <autoFilter ref="A1:U1262">
    <filterColumn colId="0" hiddenButton="0" showButton="1">
      <filters>
        <filter val="Semana 3 - Julho"/>
      </filters>
    </filterColumn>
    <filterColumn colId="2" hiddenButton="0" showButton="1">
      <filters>
        <filter val="Julho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topLeftCell="A4" workbookViewId="0">
      <selection activeCell="A11" sqref="A11"/>
    </sheetView>
  </sheetViews>
  <sheetFormatPr baseColWidth="8" defaultRowHeight="15"/>
  <cols>
    <col width="28" customWidth="1" style="40" min="1" max="1"/>
    <col width="52" customWidth="1" style="40" min="2" max="2"/>
    <col width="60" customWidth="1" style="40" min="3" max="3"/>
  </cols>
  <sheetData>
    <row r="1" ht="27.95" customHeight="1" s="40">
      <c r="A1" s="39" t="inlineStr">
        <is>
          <t>DICIONÁRIO DE COLUNAS — LÓGICA DE AJUSTE</t>
        </is>
      </c>
    </row>
    <row r="2">
      <c r="A2" s="1" t="inlineStr">
        <is>
          <t>Coluna</t>
        </is>
      </c>
      <c r="B2" s="1" t="inlineStr">
        <is>
          <t>Descrição</t>
        </is>
      </c>
      <c r="C2" s="1" t="inlineStr">
        <is>
          <t>Observação</t>
        </is>
      </c>
    </row>
    <row r="3" ht="30" customHeight="1" s="40">
      <c r="A3" s="3" t="inlineStr">
        <is>
          <t>Semana_Nome</t>
        </is>
      </c>
      <c r="B3" s="4" t="inlineStr">
        <is>
          <t>Nome original da aba/semana</t>
        </is>
      </c>
      <c r="C3" s="4" t="inlineStr">
        <is>
          <t>Ex: Semana 2 - janeiro</t>
        </is>
      </c>
    </row>
    <row r="4" ht="30" customHeight="1" s="40">
      <c r="A4" s="5" t="inlineStr">
        <is>
          <t>Mes</t>
        </is>
      </c>
      <c r="B4" s="6" t="inlineStr">
        <is>
          <t>Mês por extenso</t>
        </is>
      </c>
      <c r="C4" s="6" t="inlineStr">
        <is>
          <t>Janeiro a Junho</t>
        </is>
      </c>
    </row>
    <row r="5" ht="30" customHeight="1" s="40">
      <c r="A5" s="3" t="inlineStr">
        <is>
          <t>Mes_Num</t>
        </is>
      </c>
      <c r="B5" s="4" t="inlineStr">
        <is>
          <t>Número do mês (para ordenação)</t>
        </is>
      </c>
      <c r="C5" s="4" t="inlineStr">
        <is>
          <t>1 = Janeiro, 6 = Junho</t>
        </is>
      </c>
    </row>
    <row r="6" ht="30" customHeight="1" s="40">
      <c r="A6" s="5" t="inlineStr">
        <is>
          <t>Num_Semana</t>
        </is>
      </c>
      <c r="B6" s="6" t="inlineStr">
        <is>
          <t>Número da semana dentro do mês</t>
        </is>
      </c>
      <c r="C6" s="6" t="inlineStr">
        <is>
          <t>De 1 a 5</t>
        </is>
      </c>
    </row>
    <row r="7" ht="30" customHeight="1" s="40">
      <c r="A7" s="3" t="inlineStr">
        <is>
          <t>Primeiro_Dia_Semana</t>
        </is>
      </c>
      <c r="B7" s="4" t="inlineStr">
        <is>
          <t>Data do primeiro dia da semana</t>
        </is>
      </c>
      <c r="C7" s="4" t="inlineStr">
        <is>
          <t>Formato DD/MM/AAAA</t>
        </is>
      </c>
    </row>
    <row r="8" ht="30" customHeight="1" s="40">
      <c r="A8" s="5" t="inlineStr">
        <is>
          <t>Produto</t>
        </is>
      </c>
      <c r="B8" s="6" t="inlineStr">
        <is>
          <t>Nome do produto</t>
        </is>
      </c>
      <c r="C8" s="6" t="inlineStr">
        <is>
          <t>51 produtos distintos</t>
        </is>
      </c>
    </row>
    <row r="9" ht="30" customHeight="1" s="40">
      <c r="A9" s="3" t="inlineStr">
        <is>
          <t>Setor</t>
        </is>
      </c>
      <c r="B9" s="4" t="inlineStr">
        <is>
          <t>Classificação do setor produtivo</t>
        </is>
      </c>
      <c r="C9" s="4" t="inlineStr">
        <is>
          <t>DOCE, IOGURTE, MANTEIGA, REQUEIJÃO, RICOTA, QUEIJO, LEITE PAST.</t>
        </is>
      </c>
    </row>
    <row r="10" ht="30" customHeight="1" s="40">
      <c r="A10" s="5" t="inlineStr">
        <is>
          <t>Gramatura</t>
        </is>
      </c>
      <c r="B10" s="6" t="inlineStr">
        <is>
          <t>Peso unitário do produto em KG</t>
        </is>
      </c>
      <c r="C10" s="6" t="inlineStr">
        <is>
          <t>Usado para converter UN → KG</t>
        </is>
      </c>
    </row>
    <row r="11" ht="30" customHeight="1" s="40">
      <c r="A11" s="3" t="inlineStr">
        <is>
          <t>Qtd_Programada_UN</t>
        </is>
      </c>
      <c r="B11" s="4" t="inlineStr">
        <is>
          <t>Quantidade programada em unidades</t>
        </is>
      </c>
      <c r="C11" s="4" t="inlineStr">
        <is>
          <t>Valor original bruto</t>
        </is>
      </c>
    </row>
    <row r="12" ht="30" customHeight="1" s="40">
      <c r="A12" s="5" t="inlineStr">
        <is>
          <t>Programado_KG</t>
        </is>
      </c>
      <c r="B12" s="6" t="inlineStr">
        <is>
          <t>Quantidade programada em KG (= UN × Gramatura)</t>
        </is>
      </c>
      <c r="C12" s="6" t="inlineStr">
        <is>
          <t>Valor original bruto</t>
        </is>
      </c>
    </row>
    <row r="13" ht="30" customHeight="1" s="40">
      <c r="A13" s="3" t="inlineStr">
        <is>
          <t>Programado_Ajustado_KG</t>
        </is>
      </c>
      <c r="B13" s="4" t="inlineStr">
        <is>
          <t>Programado KG ajustado para não ultrapassar Demanda</t>
        </is>
      </c>
      <c r="C13" s="4" t="inlineStr">
        <is>
          <t>SE(Prog_KG &gt; Demanda_KG, Demanda_KG, Prog_KG) → teto = 100%</t>
        </is>
      </c>
    </row>
    <row r="14" ht="30" customHeight="1" s="40">
      <c r="A14" s="5" t="inlineStr">
        <is>
          <t>Qtd_Produzida_UN</t>
        </is>
      </c>
      <c r="B14" s="6" t="inlineStr">
        <is>
          <t>Quantidade produzida em unidades</t>
        </is>
      </c>
      <c r="C14" s="6" t="inlineStr">
        <is>
          <t>Valor real apurado</t>
        </is>
      </c>
    </row>
    <row r="15" ht="30" customHeight="1" s="40">
      <c r="A15" s="3" t="inlineStr">
        <is>
          <t>Produzido_KG</t>
        </is>
      </c>
      <c r="B15" s="4" t="inlineStr">
        <is>
          <t>Quantidade produzida em KG (= UN × Gramatura)</t>
        </is>
      </c>
      <c r="C15" s="4" t="inlineStr">
        <is>
          <t>Valor real apurado</t>
        </is>
      </c>
    </row>
    <row r="16" ht="30" customHeight="1" s="40">
      <c r="A16" s="5" t="inlineStr">
        <is>
          <t>Produzido_Ajustado_KG</t>
        </is>
      </c>
      <c r="B16" s="6" t="inlineStr">
        <is>
          <t>Produzido KG ajustado para não ultrapassar Programado</t>
        </is>
      </c>
      <c r="C16" s="6" t="inlineStr">
        <is>
          <t>SE(Prod_KG &gt; Prog_KG, Prog_KG, Prod_KG) → teto = 100%</t>
        </is>
      </c>
    </row>
    <row r="17" ht="30" customHeight="1" s="40">
      <c r="A17" s="3" t="inlineStr">
        <is>
          <t>Demanda_UN</t>
        </is>
      </c>
      <c r="B17" s="4" t="inlineStr">
        <is>
          <t>Demanda comercial em unidades</t>
        </is>
      </c>
      <c r="C17" s="4" t="inlineStr">
        <is>
          <t>Volume solicitado pelo comercial</t>
        </is>
      </c>
    </row>
    <row r="18" ht="30" customHeight="1" s="40">
      <c r="A18" s="5" t="inlineStr">
        <is>
          <t>Demanda_KG</t>
        </is>
      </c>
      <c r="B18" s="6" t="inlineStr">
        <is>
          <t>Demanda comercial em KG (= UN × Gramatura)</t>
        </is>
      </c>
      <c r="C18" s="6" t="inlineStr">
        <is>
          <t>Volume solicitado pelo comercial</t>
        </is>
      </c>
    </row>
    <row r="19" ht="30" customHeight="1" s="40">
      <c r="A19" s="3" t="inlineStr">
        <is>
          <t>Aderencia_Prog_x_Demanda</t>
        </is>
      </c>
      <c r="B19" s="4" t="inlineStr">
        <is>
          <t>Aderência Programado ÷ Demanda</t>
        </is>
      </c>
      <c r="C19" s="4" t="inlineStr">
        <is>
          <t>Pode superar 100% (sem ajuste). Use Programado_Ajustado para cap 100%.</t>
        </is>
      </c>
    </row>
    <row r="20" ht="30" customHeight="1" s="40">
      <c r="A20" s="5" t="inlineStr">
        <is>
          <t>Aderencia_Prog_x_Producao</t>
        </is>
      </c>
      <c r="B20" s="6" t="inlineStr">
        <is>
          <t>Aderência Produzido ÷ Programado</t>
        </is>
      </c>
      <c r="C20" s="6" t="inlineStr">
        <is>
          <t>Pode superar 100% (sem ajuste). Use Produzido_Ajustado para cap 100%.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2026-06-20T14:26:18Z</dcterms:created>
  <dcterms:modified xmlns:dcterms="http://purl.org/dc/terms/" xmlns:xsi="http://www.w3.org/2001/XMLSchema-instance" xsi:type="dcterms:W3CDTF">2026-08-03T12:54:21Z</dcterms:modified>
  <cp:lastModifiedBy>Wilton Luiz de Andrade Oliveira</cp:lastModifiedBy>
</cp:coreProperties>
</file>